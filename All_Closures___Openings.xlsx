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bm_aug_2022" sheetId="1" r:id="rId5"/>
    <sheet state="hidden" name="cbm_aug_2023" sheetId="2" r:id="rId6"/>
    <sheet state="hidden" name="cbm_aug_2024" sheetId="3" r:id="rId7"/>
    <sheet state="visible" name="All_openings" sheetId="4" r:id="rId8"/>
    <sheet state="visible" name="Openings_summary_since_aug_2025" sheetId="5" r:id="rId9"/>
    <sheet state="visible" name="Openings_by_month_since_aug_202" sheetId="6" r:id="rId10"/>
    <sheet state="hidden" name="cs_aug_2022" sheetId="7" r:id="rId11"/>
    <sheet state="hidden" name="cs_aug_2023" sheetId="8" r:id="rId12"/>
    <sheet state="hidden" name="cs_aug_2024" sheetId="9" r:id="rId13"/>
    <sheet state="visible" name="All_closures" sheetId="10" r:id="rId14"/>
    <sheet state="visible" name="Closures_summary_since_aug_2025" sheetId="11" r:id="rId15"/>
    <sheet state="visible" name="Closures_by_month_since_aug_202" sheetId="12" r:id="rId16"/>
    <sheet state="visible" name="Closure_demographics_since_aug_" sheetId="13" r:id="rId17"/>
    <sheet state="hidden" name="cd_aug_2022" sheetId="14" r:id="rId18"/>
    <sheet state="hidden" name="cd_aug_2023" sheetId="15" r:id="rId19"/>
    <sheet state="hidden" name="cd_aug_2024" sheetId="16" r:id="rId20"/>
    <sheet state="visible" name="Transfer_cost_to_public_schools" sheetId="17" r:id="rId21"/>
    <sheet state="visible" name="Average_enrollment_loss" sheetId="18" r:id="rId22"/>
    <sheet state="visible" name="Net_school_gain_loss" sheetId="19" r:id="rId23"/>
    <sheet state="visible" name="AnnualTransfer_cost_to_public_s" sheetId="20" r:id="rId24"/>
    <sheet state="visible" name="Annual Net_school_gain_loss" sheetId="21" r:id="rId25"/>
    <sheet state="hidden" name="opbm_aug_2023" sheetId="22" r:id="rId26"/>
    <sheet state="hidden" name="opbm_aug_2022" sheetId="23" r:id="rId27"/>
    <sheet state="hidden" name="opbm_aug_2024" sheetId="24" r:id="rId28"/>
    <sheet state="hidden" name="os_aug_2023" sheetId="25" r:id="rId29"/>
    <sheet state="hidden" name="os_aug_2024" sheetId="26" r:id="rId30"/>
    <sheet state="visible" name="Links" sheetId="27" r:id="rId31"/>
  </sheets>
  <definedNames>
    <definedName hidden="1" localSheetId="9" name="_xlnm._FilterDatabase">All_closures!$A$1:$AQ$979</definedName>
    <definedName hidden="1" localSheetId="9" name="Z_F123B67F_BABF_4FFF_B2FB_D69D39A0116C_.wvu.FilterData">All_closures!$A$1:$AQ$979</definedName>
  </definedNames>
  <calcPr/>
  <customWorkbookViews>
    <customWorkbookView activeSheetId="0" maximized="1" windowHeight="0" windowWidth="0" guid="{F123B67F-BABF-4FFF-B2FB-D69D39A0116C}" name="Filter 1"/>
  </customWorkbookViews>
</workbook>
</file>

<file path=xl/sharedStrings.xml><?xml version="1.0" encoding="utf-8"?>
<sst xmlns="http://schemas.openxmlformats.org/spreadsheetml/2006/main" count="8238" uniqueCount="4372">
  <si>
    <t>Number of Announced Closures</t>
  </si>
  <si>
    <t>Name</t>
  </si>
  <si>
    <t>Link</t>
  </si>
  <si>
    <t>Town</t>
  </si>
  <si>
    <t>State</t>
  </si>
  <si>
    <t>Region</t>
  </si>
  <si>
    <t>Type</t>
  </si>
  <si>
    <t>Date Reported</t>
  </si>
  <si>
    <t>Expected Opening Date</t>
  </si>
  <si>
    <t>Expected Enrollment</t>
  </si>
  <si>
    <t>Source/Links</t>
  </si>
  <si>
    <t>Notes</t>
  </si>
  <si>
    <t>Annual Tuition</t>
  </si>
  <si>
    <t>Tuition Notes</t>
  </si>
  <si>
    <t>Full Address</t>
  </si>
  <si>
    <t>Estimated Tract Median Family Income</t>
  </si>
  <si>
    <t>Data Year</t>
  </si>
  <si>
    <t>Microschool?</t>
  </si>
  <si>
    <t>Avenues Sillicon Valley</t>
  </si>
  <si>
    <t>https://www.asumag.com/facilities-management/business-finance/article/21238677/private-school-based-in-new-york-city-buys-property-in-san-jose-calif-plans-prek12-campus</t>
  </si>
  <si>
    <t>San Jose</t>
  </si>
  <si>
    <t>CA</t>
  </si>
  <si>
    <t>West</t>
  </si>
  <si>
    <t>Independent</t>
  </si>
  <si>
    <t>Fall 2022</t>
  </si>
  <si>
    <t>https://www.sanjoseinside.com/news/exclusive-private-school-to-open-silicon-valley-campus/</t>
  </si>
  <si>
    <t>https://www.avenues.org/sv/tuition-financial-aid</t>
  </si>
  <si>
    <t>570 Meridian Ave San Jose, CA 95126</t>
  </si>
  <si>
    <t>Christo Rey Research Triangle High School</t>
  </si>
  <si>
    <t>https://dioceseofraleigh.org/news/cristo-rey-rtp-announces-jesuit-affiliation-planned-high-school</t>
  </si>
  <si>
    <t>Raleigh</t>
  </si>
  <si>
    <t>NC</t>
  </si>
  <si>
    <t>South</t>
  </si>
  <si>
    <t>Roman Catholic</t>
  </si>
  <si>
    <t>Fall 2021</t>
  </si>
  <si>
    <t>https://www.cristoreyrt.org/</t>
  </si>
  <si>
    <t>70/month for 10 months. Sliding scale and work contributions</t>
  </si>
  <si>
    <t>https://www.cristoreyrt.org/apps/pages/index.jsp?uREC_ID=2126760&amp;type=d&amp;pREC_ID=2156787</t>
  </si>
  <si>
    <t>334 Blackwell Street, Durham, NC 27701</t>
  </si>
  <si>
    <t>All Saints Catholic Academy</t>
  </si>
  <si>
    <t>https://patch.com/connecticut/naugatuck/new-catholic-school-open-new-haven</t>
  </si>
  <si>
    <t>New Haven</t>
  </si>
  <si>
    <t>CT</t>
  </si>
  <si>
    <t>Northeast</t>
  </si>
  <si>
    <t>https://allsaintsnewhaven.org/</t>
  </si>
  <si>
    <t>Formed from merging three New Haven Catholic elementary schools</t>
  </si>
  <si>
    <t>Catholic + Non Catholic Average</t>
  </si>
  <si>
    <t>https://allsaintsnewhaven.org/admissions/tuition</t>
  </si>
  <si>
    <t>423 Ferry Street New Haven, CT 06513</t>
  </si>
  <si>
    <t xml:space="preserve">Chesterton Academy of Notre Dame </t>
  </si>
  <si>
    <t>https://www.spokesman.com/stories/2020/may/12/new-catholic-high-school-to-open-in-downtown-spoka/</t>
  </si>
  <si>
    <t>Spokane</t>
  </si>
  <si>
    <t>WA</t>
  </si>
  <si>
    <t>Fall 2020</t>
  </si>
  <si>
    <t>https://chestertonacademyofnotredame.org/</t>
  </si>
  <si>
    <t>https://chestertonacademyofnotredame.org/admissions</t>
  </si>
  <si>
    <t>2706 E Queen Ave, Spokane, WA 99217</t>
  </si>
  <si>
    <t>Fairmont San Juan Capistrano</t>
  </si>
  <si>
    <t>https://www.prnewswire.com/news-releases/fairmont-schools-to-open-new-san-juan-capistrano-campus-301059547.html</t>
  </si>
  <si>
    <t>San Juan Capistrano</t>
  </si>
  <si>
    <t>https://www.fairmontschools.com/campuses/san-juan-capistrano-campus/</t>
  </si>
  <si>
    <t>https://cdn.brandfolder.io/4N7CPF37/as/q05m7c-g0aw48-4bthtw/P12_Tuition__Fee_Information.pdf</t>
  </si>
  <si>
    <t>26333 Oso Rd, San Juan Capistrano, CA 92675</t>
  </si>
  <si>
    <t>Gloria Deo Academy</t>
  </si>
  <si>
    <t>https://www.koamnewsnow.com/new-school-opening-in-joplin-provides-unique-combination-of-private-and-homeschool-education/</t>
  </si>
  <si>
    <t>Joplin</t>
  </si>
  <si>
    <t>MO</t>
  </si>
  <si>
    <t>Midwest</t>
  </si>
  <si>
    <t>Christian</t>
  </si>
  <si>
    <t>https://gloriadeoacademy.org/</t>
  </si>
  <si>
    <t>288 average/month for 10 months</t>
  </si>
  <si>
    <t>https://gloriadeoacademy.org/tuition-fees/</t>
  </si>
  <si>
    <t>600 E 50th St, Joplin, MO 64804</t>
  </si>
  <si>
    <t>Avenues Studio Hampton</t>
  </si>
  <si>
    <t>https://www.businessinsider.com/nyc-private-school-opening-hamptons-avenues-2020-5</t>
  </si>
  <si>
    <t>New York City</t>
  </si>
  <si>
    <t>NY</t>
  </si>
  <si>
    <t>https://www.avenues.org/ht/</t>
  </si>
  <si>
    <t>Most classes online but some events in person</t>
  </si>
  <si>
    <t>11 Madison Square North  New York, NY 10010-1420</t>
  </si>
  <si>
    <t>Fusion Academy</t>
  </si>
  <si>
    <t>https://www.wickedlocal.com/story/hingham-journal/2020/06/17/new-private-school-opens-in-hingham/42940191/</t>
  </si>
  <si>
    <t>Hingham</t>
  </si>
  <si>
    <t>MA</t>
  </si>
  <si>
    <t>https://www.fusionacademy.com/campuses/hingham/</t>
  </si>
  <si>
    <t>4512 average per middle school and high school class, 6 classes per term, two terms in a year</t>
  </si>
  <si>
    <t>https://www.fusionacademy.com/campuses/hingham/tuition/</t>
  </si>
  <si>
    <t>99 Derby Street Suite 103 Hingham, MA 02043</t>
  </si>
  <si>
    <t>Saint John Neumann Catholic School</t>
  </si>
  <si>
    <t>https://www.fox43.com/article/news/local/lancaster-county/saint-john-neumann-catholic-school-will-open-in-lancaster-this-fall-replacing-saint-anne-catholic/521-49beec85-2f6b-408c-9787-e5d7d11f7c3d</t>
  </si>
  <si>
    <t>Lancaster</t>
  </si>
  <si>
    <t>PA</t>
  </si>
  <si>
    <t>https://sjncslancaster.org/</t>
  </si>
  <si>
    <t>replacing Saint Anne, which closed this year</t>
  </si>
  <si>
    <t>4445 Catholic, 5445 non catholic</t>
  </si>
  <si>
    <t>https://sjncslancaster.org/admissions</t>
  </si>
  <si>
    <t>601 E. Delp Road, Lancaster, PA 17601</t>
  </si>
  <si>
    <t>St. Joseph Academy</t>
  </si>
  <si>
    <t>https://www.stjosephacademy.com/</t>
  </si>
  <si>
    <t>Hammonton</t>
  </si>
  <si>
    <t>NJ</t>
  </si>
  <si>
    <t>https://www.nj.com/news/2020/09/shuttered-nj-catholic-school-revived-as-private-academy-by-alumni-supporters.html</t>
  </si>
  <si>
    <t>Opening as independent high school after St. Joseph Catholic High School was closed by diocese.</t>
  </si>
  <si>
    <t>328 Vine Street
Hammonton, New Jersey 08037</t>
  </si>
  <si>
    <t>Acton Academy Lincoln</t>
  </si>
  <si>
    <t>https://www.1011now.com/2020/09/22/new-school-opening-in-lincoln/</t>
  </si>
  <si>
    <t>Lincoln</t>
  </si>
  <si>
    <t>NE</t>
  </si>
  <si>
    <t>https://www.actonacademylincoln.com/</t>
  </si>
  <si>
    <t>$500 discount if all paid upfront</t>
  </si>
  <si>
    <t>https://www.actonacademylincoln.com/faq.html</t>
  </si>
  <si>
    <t>8400 Cody Drive
​Lincoln, NE 68512</t>
  </si>
  <si>
    <t>Brompton Community Center</t>
  </si>
  <si>
    <t>https://fredericksburg.com/news/local/fredericksburg-approves-new-private-school-at-braehead-manor/article_b01bac14-f92a-500e-82c9-3a6fb35861dc.html</t>
  </si>
  <si>
    <t>Fredericksburg</t>
  </si>
  <si>
    <t>VA</t>
  </si>
  <si>
    <t>https://bromptoncommunityschool.org/</t>
  </si>
  <si>
    <t>https://bromptoncommunityschool.org/admissions-tuition/</t>
  </si>
  <si>
    <t>123 Lee Dr, Fredericksburg, VA 22401</t>
  </si>
  <si>
    <t>Renaissance School</t>
  </si>
  <si>
    <t>https://communityimpact.com/dallas-fort-worth/mckinney/impacts/2021/01/26/new-mckinney-private-school-wont-require-algebra-or-calculus/</t>
  </si>
  <si>
    <t>McKinney</t>
  </si>
  <si>
    <t>TX</t>
  </si>
  <si>
    <t>https://therschool.org/</t>
  </si>
  <si>
    <t>No address yet</t>
  </si>
  <si>
    <t>Bear Town Academy</t>
  </si>
  <si>
    <t>https://www.witn.com/2021/03/10/new-elementary-school-to-open-in-new-bern/</t>
  </si>
  <si>
    <t>New Bern</t>
  </si>
  <si>
    <t>https://beartownacademy.com/</t>
  </si>
  <si>
    <t>1909 (B&amp;C) S. Glenburnie Rd. New Bern, NC</t>
  </si>
  <si>
    <t>Chesterton Academy of St. Mary's</t>
  </si>
  <si>
    <t>https://www.thebaynet.com/articles/0321/a-new-catholic-high-school-coming-to-st-marys-county.html</t>
  </si>
  <si>
    <t>Charlotte Hall</t>
  </si>
  <si>
    <t>MD</t>
  </si>
  <si>
    <t>https://www.chestertonstmarys.org/</t>
  </si>
  <si>
    <t>29530 Charlotte Hall Road, Charlotte Hall, MD 20622</t>
  </si>
  <si>
    <t>Stratford School</t>
  </si>
  <si>
    <t>https://www.pleasantonweekly.com/news/2021/03/29/new-middle-school-to-open-in-pleasanton-this-fall</t>
  </si>
  <si>
    <t>Pleasanton</t>
  </si>
  <si>
    <t>Acton Academy Sioux Falls</t>
  </si>
  <si>
    <t>https://www.keloland.com/news/education/new-acton-academy-private-school-opening-up-in-sioux-falls/</t>
  </si>
  <si>
    <t>Sioux Falls</t>
  </si>
  <si>
    <t>SD</t>
  </si>
  <si>
    <t>https://www.actonacademysiouxfalls.org/</t>
  </si>
  <si>
    <t>$700/month for 11 months</t>
  </si>
  <si>
    <t>https://www.actonacademysiouxfalls.org/faq</t>
  </si>
  <si>
    <t>3628 S Southeastern Ave, Sioux Falls, SD 57103</t>
  </si>
  <si>
    <t>Thales Academy Flowers Plantation</t>
  </si>
  <si>
    <t>https://www.facebook.com/FlowersPlantationNC/posts/its-official-thales-academy-is-coming-to-flowers-plantation-slated-to-open-july-/4191352904216730/</t>
  </si>
  <si>
    <t>Clayton</t>
  </si>
  <si>
    <t>https://www.cbs17.com/news/local-news/thales-academy-to-open-1-new-campus-a-year-earlier-than-expected-heres-where/</t>
  </si>
  <si>
    <t>Opened one year ahead of schedule</t>
  </si>
  <si>
    <t>Average of K-5 and 6-8</t>
  </si>
  <si>
    <t>https://www.thalesacademy.org/admissions/tuition-information</t>
  </si>
  <si>
    <t>65 Flowers Parkway Clayton, NC 27527</t>
  </si>
  <si>
    <t>The Linder Academy</t>
  </si>
  <si>
    <t>https://alexandrialivingmagazine.com/private-school-the-linder-academy-to-open-in-old-town/</t>
  </si>
  <si>
    <t>Alexandria</t>
  </si>
  <si>
    <t>https://www.thelinderacademy.com/</t>
  </si>
  <si>
    <t>https://www.thelinderacademy.com/faqs</t>
  </si>
  <si>
    <t xml:space="preserve">Old Town location: 607 S Washington St, Alexandria, VA 22314 
</t>
  </si>
  <si>
    <t>Old Town: $264,867</t>
  </si>
  <si>
    <t>Capstone Christian Academy</t>
  </si>
  <si>
    <t>https://www.reviewjournal.com/local/education/christian-school-plans-ivy-league-flavor-campus-in-southeast-valley-2326430/</t>
  </si>
  <si>
    <t>Las Vegas</t>
  </si>
  <si>
    <t>NV</t>
  </si>
  <si>
    <t>https://www.capstonechristian.com/</t>
  </si>
  <si>
    <t>https://www.capstonechristian.com/requesttuition</t>
  </si>
  <si>
    <t>985 E Serene Ave, Las Vegas, NV 89123</t>
  </si>
  <si>
    <t>Thales Academy Greenville</t>
  </si>
  <si>
    <t>https://greenvillejournal.com/education/thales-academy-to-open-greenville-location-in-hartness-community/</t>
  </si>
  <si>
    <t>Greenville</t>
  </si>
  <si>
    <t>Fall 2023</t>
  </si>
  <si>
    <t>https://www.thalesacademy.org/</t>
  </si>
  <si>
    <t>Applications open Sep. 2022 (No expected enrollment or campus address yet)</t>
  </si>
  <si>
    <t>Village School of South Orange</t>
  </si>
  <si>
    <t>https://www.tapinto.net/towns/soma/sections/education/articles/parents-to-launch-south-orange-maplewood-s-first-independent-elementary-school</t>
  </si>
  <si>
    <t>South Orange</t>
  </si>
  <si>
    <t>Aiming for 30 the first few years, then to grow to over 100</t>
  </si>
  <si>
    <t xml:space="preserve">https://villageschoolsouthorange.org/ </t>
  </si>
  <si>
    <t>https://villageschoolsouthorange.org/admission</t>
  </si>
  <si>
    <t xml:space="preserve">
111 Irvington Ave South Orange, NJ 07079</t>
  </si>
  <si>
    <t>Mother of Mercy Academy</t>
  </si>
  <si>
    <t>https://motherofmercyacademy.org/</t>
  </si>
  <si>
    <t>Pittsburgh</t>
  </si>
  <si>
    <t>https://diopitt.org/news/new-names-announced-for-newly-merged-catholic-schools</t>
  </si>
  <si>
    <t>5200 Greenridge Drive
Pittsburgh, PA 15236</t>
  </si>
  <si>
    <t>Lazy H Ranch</t>
  </si>
  <si>
    <t>https://www.hmbreview.com/news/lazy-h-ranch-opens-new-private-school/article_02feb0ec-be38-11eb-9aa0-c32a40f6cf51.html</t>
  </si>
  <si>
    <t>Half Moon Bay</t>
  </si>
  <si>
    <t>https://www.littlehelementary.com/</t>
  </si>
  <si>
    <t>$1600 month for 10 months</t>
  </si>
  <si>
    <t>https://www.littlehelementary.com/schedule-and-tuition</t>
  </si>
  <si>
    <t>3100 Miramontes Point Road
Half Moon Bay, Ca 94019</t>
  </si>
  <si>
    <t>FaithPrep Indiana</t>
  </si>
  <si>
    <t>https://in.chalkbeat.org/2021/6/1/22463572/vouchers-virtual-private-schools-indiana</t>
  </si>
  <si>
    <t>Virtual</t>
  </si>
  <si>
    <t>IN</t>
  </si>
  <si>
    <t>500 students expected for the first year, intends to expand to 2,500 over next 5 years</t>
  </si>
  <si>
    <r>
      <rPr>
        <rFont val="Calibri"/>
        <color rgb="FF1155CC"/>
        <sz val="11.0"/>
        <u/>
      </rPr>
      <t>https://in.chalkbeat.org/2021/6/1/22463572/vouchers-virtual-private-schools-indiana</t>
    </r>
    <r>
      <rPr>
        <rFont val="Calibri"/>
        <color rgb="FF1155CC"/>
        <sz val="11.0"/>
        <u/>
      </rPr>
      <t xml:space="preserve">; </t>
    </r>
    <r>
      <rPr>
        <rFont val="Calibri"/>
        <color rgb="FF1155CC"/>
        <sz val="11.0"/>
        <u/>
      </rPr>
      <t>https://www.in.gov/sboe/files/faithprep-indiana-seeking-accreditation-summary.pdf</t>
    </r>
    <r>
      <rPr>
        <rFont val="Calibri"/>
        <color rgb="FF1155CC"/>
        <sz val="11.0"/>
        <u/>
      </rPr>
      <t xml:space="preserve">; </t>
    </r>
    <r>
      <rPr>
        <rFont val="Calibri"/>
        <color rgb="FF1155CC"/>
        <sz val="11.0"/>
        <u/>
      </rPr>
      <t>https://www.faithprep.com/</t>
    </r>
  </si>
  <si>
    <t>$6,250 for elementary students/$7,250 for middle and high schoolers</t>
  </si>
  <si>
    <t>Geo Focus Academy</t>
  </si>
  <si>
    <t>Initially can enroll up to 700 students, intends to expand to 1,000 students over time</t>
  </si>
  <si>
    <r>
      <rPr>
        <rFont val="Calibri"/>
        <color rgb="FF1155CC"/>
        <sz val="11.0"/>
        <u/>
      </rPr>
      <t>https://www.in.gov/sboe/files/geo-focus-academy-seeking-accreditation-summary.docx.pdf</t>
    </r>
    <r>
      <rPr>
        <rFont val="Calibri"/>
        <sz val="11.0"/>
      </rPr>
      <t xml:space="preserve">; </t>
    </r>
    <r>
      <rPr>
        <rFont val="Calibri"/>
        <color rgb="FF1155CC"/>
        <sz val="11.0"/>
        <u/>
      </rPr>
      <t>https://geoacademies.org/focus-academy/</t>
    </r>
  </si>
  <si>
    <t>3145 N. Meridian St.
Indianapolis, IN 46208</t>
  </si>
  <si>
    <t>Lumen Verum Academy</t>
  </si>
  <si>
    <t>https://www.patriotledger.com/story/news/2021/06/01/first-all-new-catholic-secondary-school-half-century-open/5287812001/</t>
  </si>
  <si>
    <t>Boston</t>
  </si>
  <si>
    <t>25 enrolled initially</t>
  </si>
  <si>
    <t>https://lumenverumacademy.org/</t>
  </si>
  <si>
    <t>66 Brooks Dr, Braintree, MA 02184</t>
  </si>
  <si>
    <t>Jean Charles Academy</t>
  </si>
  <si>
    <t>https://lynnjournal.com/2021/06/02/jean-charles-academy-an-accessible-dual-language-private-school-to-open-in-lynn/</t>
  </si>
  <si>
    <t>Lynn</t>
  </si>
  <si>
    <t xml:space="preserve">Up to 40 first year, continuing to expand yearly until can offer a full K-12 program </t>
  </si>
  <si>
    <t>https://www.jeancharlesacademy.org/faqs</t>
  </si>
  <si>
    <t>JCA tuition is based on a shared economy structure. Families can choose to pay all of the tuition or contribute half of the cost via cash and the other half by sharing their time and/or talent with the school."</t>
  </si>
  <si>
    <t>498 Essex St Lynn, MA 01902</t>
  </si>
  <si>
    <t>Northeast Christian High School</t>
  </si>
  <si>
    <t>https://ktvo.com/news/local/new-christian-high-school-in-kirksville-hopes-for-big-changes-in-its-future</t>
  </si>
  <si>
    <t>Kirksville</t>
  </si>
  <si>
    <t>No tuition information available yet</t>
  </si>
  <si>
    <t>https://www.northeastchs.com/admissions-standards/tuition-fees</t>
  </si>
  <si>
    <t>1702 N Elson St, Kirksville, MO 63501</t>
  </si>
  <si>
    <t>Yellowhab Norfolk</t>
  </si>
  <si>
    <t>https://www.pilotonline.com/news/education/vp-nw-pharrell-williams-yellowhab-school-20210607-hhyzrj6cmjg7pae4s77tqdl3ye-story.html</t>
  </si>
  <si>
    <t>Norfolk</t>
  </si>
  <si>
    <t>School started by Pharell Williams' nonprofit; Cannot find address?</t>
  </si>
  <si>
    <t>Tuition-free for at least the first year</t>
  </si>
  <si>
    <t>https://teamyellow.org/yellowhab</t>
  </si>
  <si>
    <t>Evergreen Christian High School</t>
  </si>
  <si>
    <t>https://loudounnow.com/2021/06/10/evergreen-christian-high-school-eyes-fall-opening/</t>
  </si>
  <si>
    <t>Leesburg</t>
  </si>
  <si>
    <t>21336 Evergreen Mills Rd, Leesburg, VA 20175</t>
  </si>
  <si>
    <t>Cedar School</t>
  </si>
  <si>
    <t>https://www.greenwichtime.com/local/article/Cedar-School-to-join-educational-landscape-in-16241434.php</t>
  </si>
  <si>
    <t>Greenwich</t>
  </si>
  <si>
    <t>Special needs</t>
  </si>
  <si>
    <t>25 students first year, maxiumum enrollment of 100 for following years</t>
  </si>
  <si>
    <t>https://www.thecedarschool.org/</t>
  </si>
  <si>
    <t>School is for dyslexic/language-based learning difference students</t>
  </si>
  <si>
    <t>https://www.thecedarschool.org/admissions/tuition-and-fees.cfm</t>
  </si>
  <si>
    <t>200 Pemberwick Rd Greenwich, CT 06831</t>
  </si>
  <si>
    <t>Shawnee Nazarene Academy</t>
  </si>
  <si>
    <t>https://shawneemissionpost.com/2021/06/28/shawnee-nazarene-academy-126016/</t>
  </si>
  <si>
    <t>Shawnee</t>
  </si>
  <si>
    <t>KS</t>
  </si>
  <si>
    <t>Capacity is 50 students for now</t>
  </si>
  <si>
    <t>https://shawneenaz.org/shawnee-naz-academy</t>
  </si>
  <si>
    <t>https://umuhh8.nucleus.church/download/a18e823af076e1dd6516f4e26b3c3896298e3a48.pdf</t>
  </si>
  <si>
    <t xml:space="preserve">5539 Quivira Rd Shawnee, KS 66203
</t>
  </si>
  <si>
    <t>Arbor Academy</t>
  </si>
  <si>
    <t>https://communityimpact.com/austin/georgetown/education/2021/06/15/project-based-private-school-in-georgetown-now-enrolling-for-august-opening/</t>
  </si>
  <si>
    <t>Georgetown</t>
  </si>
  <si>
    <t>https://www.arboracademy.org/</t>
  </si>
  <si>
    <t>https://www.arboracademy.org/enroll</t>
  </si>
  <si>
    <t>412 E 19th St Georgetown, TX 78626</t>
  </si>
  <si>
    <t>Challenge Prepatory Academy</t>
  </si>
  <si>
    <t>https://www.wjbf.com/cyber/cyber-education-prep-school-opening-in-harrisburg-this-fall/</t>
  </si>
  <si>
    <t>Augusta</t>
  </si>
  <si>
    <t>GA</t>
  </si>
  <si>
    <t>https://www.challengeprepacademy.org/</t>
  </si>
  <si>
    <t>https://www.challengeprepacademy.org/tuition</t>
  </si>
  <si>
    <t>1948 Ellis St Augusta, GA 30904</t>
  </si>
  <si>
    <t>Catskill Wheelhouse Community</t>
  </si>
  <si>
    <t>https://www.hudsonvalley360.com/news/greenecounty/private-elementary-school-to-open-in-fall/article_8a0c7d79-6eec-500f-a668-fd3a543abe76.html</t>
  </si>
  <si>
    <t>Cairo</t>
  </si>
  <si>
    <t>http://www.catskillwheelhouse.org/</t>
  </si>
  <si>
    <t>Sliding scale based on need; ranges from 0 to 18,000</t>
  </si>
  <si>
    <r>
      <rPr>
        <rFont val="Calibri"/>
        <color rgb="FF1155CC"/>
        <sz val="11.0"/>
        <u/>
      </rPr>
      <t>http://www.catskillwheelhouse.org/forest-school</t>
    </r>
    <r>
      <rPr>
        <rFont val="Calibri"/>
        <sz val="11.0"/>
      </rPr>
      <t xml:space="preserve">; </t>
    </r>
    <r>
      <rPr>
        <rFont val="Calibri"/>
        <color rgb="FF1155CC"/>
        <sz val="11.0"/>
        <u/>
      </rPr>
      <t>http://www.catskillwheelhouse.org/community-school</t>
    </r>
  </si>
  <si>
    <t>665 Main St Cairo, NY 12413</t>
  </si>
  <si>
    <t>St. Catherine of Siena Academy</t>
  </si>
  <si>
    <t>https://www.wwnytv.com/2021/06/23/canton-sees-return-catholic-elementary-education/</t>
  </si>
  <si>
    <t>Canton</t>
  </si>
  <si>
    <t>https://www.sienaacademy.org/</t>
  </si>
  <si>
    <t>https://www.sienaacademy.org/faqs</t>
  </si>
  <si>
    <t>2 Powers St, Canton, NY 13617</t>
  </si>
  <si>
    <t>Prairie Song Academy</t>
  </si>
  <si>
    <t>https://www.kirksvilledailyexpress.com/story/news/2021/07/07/prairie-song-academy-montessori-based-school-opening-kirksville-year/7842192002/</t>
  </si>
  <si>
    <t>https://prairiesongacademy.com/</t>
  </si>
  <si>
    <t>Sliding tuition scale, average of 703.13/semester, two semesters in a year</t>
  </si>
  <si>
    <t>https://prairiesongacademy.com/enrollment/tuition/</t>
  </si>
  <si>
    <t>1301 E PATTERSON STREET KIRKSVILLE MO 63501</t>
  </si>
  <si>
    <t>Scenic City Montessori</t>
  </si>
  <si>
    <t>https://www.timesfreepress.com/news/local/story/2021/jul/25/two-new-montessori-schools-open-chattanoogare/550975/</t>
  </si>
  <si>
    <t>Chattanooga</t>
  </si>
  <si>
    <t>TN</t>
  </si>
  <si>
    <t>&lt;30</t>
  </si>
  <si>
    <t>https://www.themontessorischool.net/</t>
  </si>
  <si>
    <t>8801 K-5, 9449 6-8</t>
  </si>
  <si>
    <t>https://www.themontessorischool.net/tuition-terms/</t>
  </si>
  <si>
    <t xml:space="preserve">6310 Dayton Blvd Hixson, TN 37343
</t>
  </si>
  <si>
    <t>Polaris Village Academy</t>
  </si>
  <si>
    <t>https://www.stardem.com/news/tuition-free-private-school-opening-in-easton/article_c7d28f7f-b185-53e1-a416-fa3b051519b8.html</t>
  </si>
  <si>
    <t>Easton</t>
  </si>
  <si>
    <t>https://polarisvillageacademy.org/</t>
  </si>
  <si>
    <t>Tuition free</t>
  </si>
  <si>
    <t>31 Jowite St, Easton, MD 21601</t>
  </si>
  <si>
    <t>Mother Mary Lange Catholic School</t>
  </si>
  <si>
    <t>https://www.ncregister.com/cna/new-catholic-school-in-baltimore-holds-blessing-ceremony</t>
  </si>
  <si>
    <t>Baltimore</t>
  </si>
  <si>
    <t>&gt;400</t>
  </si>
  <si>
    <t>https://mmlcs.org/</t>
  </si>
  <si>
    <t>https://mmlcs.org/admissions/tuition</t>
  </si>
  <si>
    <t>200 N Martin Luther King Jr Blvd, Baltimore, MD 21201</t>
  </si>
  <si>
    <t>New Mexico Trinity Prep</t>
  </si>
  <si>
    <t>https://www.santafenewmexican.com/news/education/new-private-online-high-school-to-be-offered-in-new-mexico/article_31593ba2-f09b-11eb-8778-f700e9e28bd4.html</t>
  </si>
  <si>
    <t>NM</t>
  </si>
  <si>
    <t>https://www.nmtrinityprep.school/index.php</t>
  </si>
  <si>
    <t>Online school</t>
  </si>
  <si>
    <t>199/month for min. 10 months</t>
  </si>
  <si>
    <t>https://www.nmtrinityprep.school/index.php/nmtp-enroll-now</t>
  </si>
  <si>
    <t>Star Academy</t>
  </si>
  <si>
    <t>https://theswellesleyreport.com/2021/08/wellesley-business-buzz-star-academy-eyes-fall-opening-dont-let-the-scaffolding-scare-ya-beer-wine-delivered/</t>
  </si>
  <si>
    <t>Wellesley</t>
  </si>
  <si>
    <t>https://staracademyboston.com/</t>
  </si>
  <si>
    <t>https://staracademyboston.com/general-info</t>
  </si>
  <si>
    <t>10 ATWOOD STREET WELLESLEY, MA 02482</t>
  </si>
  <si>
    <t>Chesterton Academy of Our Lady of Walsingham</t>
  </si>
  <si>
    <t>https://olwclassical.org/</t>
  </si>
  <si>
    <t>Colorado Springs</t>
  </si>
  <si>
    <t>CO</t>
  </si>
  <si>
    <t>https://olwclassical.org/admissions/#tuition-and-aid</t>
  </si>
  <si>
    <t>8755 Scarborough Dr. Colorado Springs, CO 80920</t>
  </si>
  <si>
    <t>Acton Midwest</t>
  </si>
  <si>
    <t>https://www.news8000.com/ribbon-cutting-ceremony-marks-opening-of-acton-academy/</t>
  </si>
  <si>
    <t>Onalaska</t>
  </si>
  <si>
    <t>WI</t>
  </si>
  <si>
    <t>17-20</t>
  </si>
  <si>
    <t>https://www.actonmidwest.org/home</t>
  </si>
  <si>
    <t>https://www.actonmidwest.org/about-acton-midwest/faq</t>
  </si>
  <si>
    <t>923 12th Avenue South, Onalaska, WI 54650</t>
  </si>
  <si>
    <t>BASIS Independent Manhattan</t>
  </si>
  <si>
    <t>https://www.wfmz.com/news/pr_newswire/pr_newswire_business/spring-education-group-celebrates-new-school-openings-in-2021/article_7f3caae8-66c5-5d7b-b9a7-555f6e308f58.html</t>
  </si>
  <si>
    <t>https://manhattan.basisindependent.com/</t>
  </si>
  <si>
    <t>K-10 average</t>
  </si>
  <si>
    <t>https://manhattan.basisindependent.com/admissions/tuition-fees/</t>
  </si>
  <si>
    <t>795 Columbus Ave, New York, NY 10025</t>
  </si>
  <si>
    <t>Stratford Almaden Preschool</t>
  </si>
  <si>
    <t>https://www.stratfordschools.com/schools/northern-california/south-bay/san-jose-almaden/</t>
  </si>
  <si>
    <t>10 month price, 12 month: $23,272</t>
  </si>
  <si>
    <t>https://www.stratfordschools.com/schools/northern-california/south-bay/san-jose-almaden/admissions/tuition/</t>
  </si>
  <si>
    <t>5200 Dent Ave San Jose, CA 95118</t>
  </si>
  <si>
    <t>Stratford Milpitas Corning Elementary School</t>
  </si>
  <si>
    <t>Milpitas</t>
  </si>
  <si>
    <t>https://www.stratfordschools.com/schools/northern-california/south-bay/milpitas-corning/</t>
  </si>
  <si>
    <t>K-8 average</t>
  </si>
  <si>
    <t>https://www.stratfordschools.com/schools/northern-california/south-bay/milpitas-corning/admissions/tuition/</t>
  </si>
  <si>
    <t>25 Corning Ave, Milpitas, CA 95035</t>
  </si>
  <si>
    <t>Stratford Online Academy</t>
  </si>
  <si>
    <t>https://www.stratfordschools.com/stratford-blog/announcing-the-second-year-of-stratford-schools-online-academy/</t>
  </si>
  <si>
    <t>K-5 average</t>
  </si>
  <si>
    <t>https://www.stratfordschools.com/our-programs/online-academy/</t>
  </si>
  <si>
    <t>Stratford Pleasanton Middle School</t>
  </si>
  <si>
    <t>https://www.stratfordschools.com/schools/northern-california/east-bay/pleasanton-middle-school/</t>
  </si>
  <si>
    <t>https://www.stratfordschools.com/schools/northern-california/east-bay/pleasanton-middle-school/admissions/tuition/</t>
  </si>
  <si>
    <t>3800 Stoneridge Drive, Pleasanton, CA 94588</t>
  </si>
  <si>
    <t>BridgeWay Prepatory Christian School</t>
  </si>
  <si>
    <t>https://www.dailyadvance.com/news/local/christian-private-school-set-to-open-in-moyock/article_8a5176ce-c708-578e-bd8a-e39fcca2252f.html</t>
  </si>
  <si>
    <t>Moyock</t>
  </si>
  <si>
    <t>https://www.bwpcskids.org/</t>
  </si>
  <si>
    <t>https://www.bwpcskids.org/admissions</t>
  </si>
  <si>
    <t>243 Caratoke Hwy Moyock, NC 27958</t>
  </si>
  <si>
    <t>Carlsbad Prep Academy</t>
  </si>
  <si>
    <t>https://www.currentargus.com/story/news/education/2021/09/08/faith-based-private-school-opening-carlsbad/5695769001/</t>
  </si>
  <si>
    <t>Carlsbad</t>
  </si>
  <si>
    <t>https://www.carlsbadprepacademy.com/</t>
  </si>
  <si>
    <t>$500/month x 9 months</t>
  </si>
  <si>
    <t>805 Walter St
Carlsbad, NM 88220</t>
  </si>
  <si>
    <t>BASIS Bellevue</t>
  </si>
  <si>
    <t>https://www.bellevuereporter.com/news/bellevue-to-have-new-private-school-by-2022-school-year/</t>
  </si>
  <si>
    <t>Bellevue</t>
  </si>
  <si>
    <t>100 then 450</t>
  </si>
  <si>
    <t>https://bellevue.basisindependent.com/</t>
  </si>
  <si>
    <t>2-7 average</t>
  </si>
  <si>
    <t>https://bellevue.basisindependent.com/admissions/tuition-fees/</t>
  </si>
  <si>
    <t>15749 NE 4th St. Bellevue, WA 98008</t>
  </si>
  <si>
    <t>BASIS Brooklyn</t>
  </si>
  <si>
    <t>https://patch.com/new-york/brooklyn/classifieds/announcements/258982/basis-independent-schools-to-open-brooklyn-lower-school-campus</t>
  </si>
  <si>
    <t>Brooklyn</t>
  </si>
  <si>
    <t>https://blog.basisindependent.com/bklyn/lowerschoolcampusdesign</t>
  </si>
  <si>
    <t>https://brooklyn.basisindependent.com/admissions/tuition-fees/</t>
  </si>
  <si>
    <t>405 Gold St, Brooklyn, NY 11201</t>
  </si>
  <si>
    <t>Kanye West Donda Academy</t>
  </si>
  <si>
    <t>https://www.simivalleyacorn.com/articles/kanye-west-reportedly-looking-to-open-school-between-simi-moorpark/</t>
  </si>
  <si>
    <t>Simi Valley</t>
  </si>
  <si>
    <t>https://donda.world/</t>
  </si>
  <si>
    <t>No Tuition</t>
  </si>
  <si>
    <t>1625 Tierra Rejada Rd, Simi Valley, CA 93065</t>
  </si>
  <si>
    <t>BASIS Sunnyvale Lower School Campus</t>
  </si>
  <si>
    <t>https://www.prnewswire.com/news-releases/top-private-school-basis-independent-silicon-valley-to-open-new-lower-campus-fall-2022-301386394.html</t>
  </si>
  <si>
    <t>Sunnyvale</t>
  </si>
  <si>
    <t>1500 Partridge Ave Sunnyvale, CA 94087</t>
  </si>
  <si>
    <t>Kaleidoscope Heights Academy</t>
  </si>
  <si>
    <t>https://www.wlbt.com/2021/10/01/kaleidoscope-heights-opens-fill-void-special-needs-students/</t>
  </si>
  <si>
    <t>Jackson</t>
  </si>
  <si>
    <t>MS</t>
  </si>
  <si>
    <t>https://www.kaleidoscopeheights.org/</t>
  </si>
  <si>
    <t>sliding scale</t>
  </si>
  <si>
    <t>https://www.kaleidoscopeheights.org/tuition-and-fees</t>
  </si>
  <si>
    <t>411 Briarwood Drive Building 400 Jackson, MS 39206</t>
  </si>
  <si>
    <t>Saint John Paul the Great</t>
  </si>
  <si>
    <t>https://denvercatholic.org/st-john-paul-the-great-introducing-denvers-newest-catholic-classical-high-school-open-house-oct-30/</t>
  </si>
  <si>
    <t>Denver</t>
  </si>
  <si>
    <t>440 capacity</t>
  </si>
  <si>
    <t>https://www.jpthegreatdenver.org/</t>
  </si>
  <si>
    <t>https://www.jpthegreatdenver.org/soon</t>
  </si>
  <si>
    <t>2256 S Logan St. Denver, CO 80210</t>
  </si>
  <si>
    <t>Trilogy STEM Academy</t>
  </si>
  <si>
    <t>https://www.hometownsource.com/press_and_news/news/local/trilogy-stem-academy-roger-s-first-private-high-school/article_0a5436b6-3762-11ec-9b10-5738d2db8a1d.html</t>
  </si>
  <si>
    <t>Rogers</t>
  </si>
  <si>
    <t>MN</t>
  </si>
  <si>
    <t>40 to start (20 for 2 9th grade classes)</t>
  </si>
  <si>
    <t>https://www.trilogystemacademy.org/</t>
  </si>
  <si>
    <t>https://www.trilogystemacademy.org/affordability</t>
  </si>
  <si>
    <t>14020 Northdale Boulevard Rogers, MN 55374</t>
  </si>
  <si>
    <t>Chesterton Academy of St. George</t>
  </si>
  <si>
    <t>https://www.mlive.com/news/jackson/2021/11/new-private-high-school-in-jackson-finds-home-in-wing-of-adult-care-facility.html</t>
  </si>
  <si>
    <t>https://www.castgeorge.com/</t>
  </si>
  <si>
    <t>https://www.castgeorge.com/admissions/#tuition-and-aid</t>
  </si>
  <si>
    <t>1000 E Porter St
Jackson, MS 39201</t>
  </si>
  <si>
    <t>Ascend Academy</t>
  </si>
  <si>
    <t>https://www.spokanepublicradio.org/post/new-school-serve-autistic-students-spokane#stream/0</t>
  </si>
  <si>
    <t>Spring 2022</t>
  </si>
  <si>
    <t>http://ascendacademy.org/</t>
  </si>
  <si>
    <t>Free tuition, funded by donations as a nonprofit</t>
  </si>
  <si>
    <t>http://ascendacademy.org/free-private-school/</t>
  </si>
  <si>
    <t>1117 E Westview Ct. Spokane WA 99218</t>
  </si>
  <si>
    <t>Chesterton Academy of St. Patrick</t>
  </si>
  <si>
    <t>https://www.kvmr.org/kvmr-event/chesterton-academy-information-night/</t>
  </si>
  <si>
    <t>Grass Valley</t>
  </si>
  <si>
    <t>https://caofstpatrick.org/</t>
  </si>
  <si>
    <t>423 Dalton Street, Grass Valley, CA 95945</t>
  </si>
  <si>
    <t>Cristo Rey</t>
  </si>
  <si>
    <t>https://communitynewspapers.com/biscayne-bay/cristo-rey-miami-high-school-to-open-its-doors-july-2022/</t>
  </si>
  <si>
    <t>North Miami</t>
  </si>
  <si>
    <t>FL</t>
  </si>
  <si>
    <t>Summer 2022</t>
  </si>
  <si>
    <t>https://www.cristoreymiami.org/about/fast-facts</t>
  </si>
  <si>
    <t>Hope to grow to 400 by 2025</t>
  </si>
  <si>
    <t>"average annual of $500-$750 per year) work study + step up scholarships factored in</t>
  </si>
  <si>
    <t>125 NE 119th Street North Miami, FL 33161</t>
  </si>
  <si>
    <t>Bright Start Learning Center</t>
  </si>
  <si>
    <t>https://www.alxnow.com/2021/12/09/new-incredibly-small-private-school-coming-to-cameron-station/</t>
  </si>
  <si>
    <t>https://www.brightstartva.com/</t>
  </si>
  <si>
    <t>The child care program will be separate from classes for 3-12 year olds</t>
  </si>
  <si>
    <t>4917 Brenman Park Dr, Alexandria, VA 22304</t>
  </si>
  <si>
    <t>Aegis Institute</t>
  </si>
  <si>
    <t>https://www.gainesville.com/story/news/education/2021/12/29/married-couple-seeks-start-new-private-school-modernize-curriculum/9037024002/</t>
  </si>
  <si>
    <t>Gainesville</t>
  </si>
  <si>
    <t>https://www.theaegisinstitute.com/</t>
  </si>
  <si>
    <t>3809 NW 40th St., Gainesville, FL 32606</t>
  </si>
  <si>
    <t>Righteous Warrior Academy</t>
  </si>
  <si>
    <t>https://www.polkio.com/news/dallas-couple-takes-leap-of-faith-opening-new-christian-private-school/article_b94351d0-6e7f-11ec-82a6-b750e0924f8f.html</t>
  </si>
  <si>
    <t>Dallas</t>
  </si>
  <si>
    <t>OR</t>
  </si>
  <si>
    <t>https://righteouswarrioracademy.com/</t>
  </si>
  <si>
    <t>Want class sizes of 10-20, unclear how many classes</t>
  </si>
  <si>
    <t>500 monthly x 12 months</t>
  </si>
  <si>
    <t>https://righteouswarrioracademy.com/pre-register%2Ftuition</t>
  </si>
  <si>
    <t>289 East Ellendale Avenue Suite 403, Dallas, OR 97338</t>
  </si>
  <si>
    <t>Kingdom United Education</t>
  </si>
  <si>
    <t>https://dailyjournalonline.com/news/local/education/plans-afoot-to-open-new-school/article_c6693e85-7b46-5adf-b1e0-1a86436a4300.html</t>
  </si>
  <si>
    <t>Bonne Terre</t>
  </si>
  <si>
    <t>https://www.kingdomunitededu.com/</t>
  </si>
  <si>
    <t>Dream Center Academy</t>
  </si>
  <si>
    <t>https://www.wlky.com/article/west-louisville-christian-school-opens-looks-to-expand/38793624</t>
  </si>
  <si>
    <t>Louisville</t>
  </si>
  <si>
    <t>KY</t>
  </si>
  <si>
    <t>Hoping to expand</t>
  </si>
  <si>
    <t>Average of donation amounts that cover high school/elementary tuition</t>
  </si>
  <si>
    <t>https://ndky.org/dreamcenteracademychristianschool/</t>
  </si>
  <si>
    <t>1190 S 40th St, Louisville, KY 40211</t>
  </si>
  <si>
    <t>Capstone Classical Academy</t>
  </si>
  <si>
    <t>https://www.inforum.com/news/fargo/new-private-school-set-to-open-in-fargo-this-fall</t>
  </si>
  <si>
    <t>Fargo</t>
  </si>
  <si>
    <t>ND</t>
  </si>
  <si>
    <t>https://capstoneclassical.com/</t>
  </si>
  <si>
    <t>Hoping to reach 560, has 17 applications first week</t>
  </si>
  <si>
    <t>https://capstoneclassical.com/tuition/</t>
  </si>
  <si>
    <t>3910 25th St. S, Fargo, ND 58104</t>
  </si>
  <si>
    <t>Cornerstone Christian Academy</t>
  </si>
  <si>
    <t>https://loudounnow.com/2022/02/07/cornerstone-chapel-plans-school-at-middleburg-academy-site/</t>
  </si>
  <si>
    <t>Middleburg</t>
  </si>
  <si>
    <t>https://cornerstonechapel.net/cca</t>
  </si>
  <si>
    <t>They purchased the campus that used to be Middleburg Academy (closed June 2020)</t>
  </si>
  <si>
    <t>Still finalizing numbers</t>
  </si>
  <si>
    <t>35321 Notre Dame Ln, Middleburg, VA 20117</t>
  </si>
  <si>
    <t>Veritas Collegiate Academy</t>
  </si>
  <si>
    <t>https://www.arlnow.com/2022/02/09/new-private-school-set-to-open-this-fall-in-aurora-highlands-church/</t>
  </si>
  <si>
    <t>Arlington</t>
  </si>
  <si>
    <t>https://www.veritasacademydc.com/crystal-city</t>
  </si>
  <si>
    <t>935 23rd St S. Arlington, VA 22202</t>
  </si>
  <si>
    <t>Santa Fe Christian</t>
  </si>
  <si>
    <t>https://www.santafenewmexican.com/news/local_news/residents-concerned-about-traffic-from-planned-private-school-on-old-pecos-trail/article_fe228638-8859-11ec-84d5-831bb7ee0b73.html</t>
  </si>
  <si>
    <t>Santa Fe</t>
  </si>
  <si>
    <t>https://santafechristian.org/</t>
  </si>
  <si>
    <t>3201 Zafarano Drive, Suite C, #263 Santa Fe, NM 87507</t>
  </si>
  <si>
    <t>Discovery Learners' Academy</t>
  </si>
  <si>
    <t>https://www.chattanoogan.com/2022/2/10/443206/Discovery-Learners-Academy-Offers.aspx</t>
  </si>
  <si>
    <t>https://discoverylearnersacademy.org/</t>
  </si>
  <si>
    <t>https://discoverylearnersacademy.org/about</t>
  </si>
  <si>
    <t>3933 S Mission Oaks Dr Chattanooga, TN 37412</t>
  </si>
  <si>
    <t>Trinity Lutheran Classical High School</t>
  </si>
  <si>
    <t>https://www.jsonline.com/story/communities/southwest/news/west-allis/2022/02/22/trinity-lutheran-church-west-allis-plans-open-new-high-school/6879919001/</t>
  </si>
  <si>
    <t>West Allis</t>
  </si>
  <si>
    <t>Lutheran</t>
  </si>
  <si>
    <t>https://www.trinitywa.org/classical-school.html</t>
  </si>
  <si>
    <t>2500 S 68th St, Milwaukee, WI 53219</t>
  </si>
  <si>
    <t>E.A. Young Academy</t>
  </si>
  <si>
    <t>https://communityimpact.com/dallas-fort-worth/keller-roanoke-northeast-fort-worth/education/2022/02/22/k-12-gifted-talented-and-high-ability-private-school-planning-to-open-in-roanoke/</t>
  </si>
  <si>
    <t>Roanoke</t>
  </si>
  <si>
    <t>https://www.eayoungacademy.com/ (website for a different branch)</t>
  </si>
  <si>
    <t>608 Henrietta Creek Rd. Roanoke, TX 76262</t>
  </si>
  <si>
    <t>Limestone School</t>
  </si>
  <si>
    <t>https://lawrencekstimes.com/2022/03/03/limestone-school-reimagining-edu/</t>
  </si>
  <si>
    <t>Lawrence</t>
  </si>
  <si>
    <t>https://limestoneschool.com/</t>
  </si>
  <si>
    <t>K max 12, 1st and 2nd mixed with a 24 max</t>
  </si>
  <si>
    <t>1915 Rhode Island St, Lawrence KS 66046</t>
  </si>
  <si>
    <t>Fusion Academy Palm Beach Gardens</t>
  </si>
  <si>
    <t>https://www.prnewswire.com/news-releases/fusion-academy-opening-four-new-schools-this-spring-301502154.html</t>
  </si>
  <si>
    <t>Palm Beach Gardens</t>
  </si>
  <si>
    <t>https://www.fusionacademy.com/campuses/palm-beach-gardens/</t>
  </si>
  <si>
    <t>4160 average per middle school and high school class, 6 classes per term, two terms in a year</t>
  </si>
  <si>
    <t>https://www.fusionacademy.com/campuses/palm-beach-gardens/tuition/</t>
  </si>
  <si>
    <t>11300 Legacy Avenue, Palm Beach Gardens, FL 33410</t>
  </si>
  <si>
    <t>Fusion Academy Santa Barbara</t>
  </si>
  <si>
    <t>Santa Barbara</t>
  </si>
  <si>
    <t>https://www.fusionacademy.com/campuses/santa-barbara/</t>
  </si>
  <si>
    <t>3975 average per middle school and high school class, 6 classes per semester, two semesters in a year</t>
  </si>
  <si>
    <t>https://www.fusionacademy.com/campuses/santa-barbara/tuition/</t>
  </si>
  <si>
    <t>510 State Street, Santa Barbara, CA 93101</t>
  </si>
  <si>
    <t>Fusion Academy Franklin</t>
  </si>
  <si>
    <t>Franklin</t>
  </si>
  <si>
    <t>https://www.fusionacademy.com/campuses/franklin/</t>
  </si>
  <si>
    <t>4425 average per middle school and high school class, 6 classes per term, two terms in a year</t>
  </si>
  <si>
    <t>https://www.fusionacademy.com/campuses/franklin/tuition/</t>
  </si>
  <si>
    <t>2550 Meridian Boulevard, Franklin, TN 37067</t>
  </si>
  <si>
    <t>Fusion Academy Boulder County</t>
  </si>
  <si>
    <t>Boulder</t>
  </si>
  <si>
    <t>https://www.fusionacademy.com/campuses/boulder-county/</t>
  </si>
  <si>
    <t>4063 average per middle school and high school class, 6 classes per term, two terms in a year</t>
  </si>
  <si>
    <t>https://www.fusionacademy.com/campuses/boulder-county/tuition/</t>
  </si>
  <si>
    <t>168 Centennial Parkway, Louisville, CO 80027</t>
  </si>
  <si>
    <t>Grace Christian Academy</t>
  </si>
  <si>
    <t>https://swvatoday.com/community/article_25d7c574-a48b-11ec-ac56-c3358c5cd3c9.html</t>
  </si>
  <si>
    <t>Atkins</t>
  </si>
  <si>
    <t>442 Freedom Tabernacle Ln, Atkins, VA 24311</t>
  </si>
  <si>
    <t>Marian University Preparatory School</t>
  </si>
  <si>
    <t>https://www.businesswire.com/news/home/20220322005224/en/Marian-University-Launches-New-K-12-Private-School-Offers-Flexible-Faith-Based-Learning-Across-Indiana</t>
  </si>
  <si>
    <t>Indianapolis</t>
  </si>
  <si>
    <t>https://muprep.k12.com/</t>
  </si>
  <si>
    <t>https://muprep.k12.com/resources/general-faqs.html</t>
  </si>
  <si>
    <t>2916 30th Street Indianapolis, IN 46222</t>
  </si>
  <si>
    <t>Chrysostom Academy</t>
  </si>
  <si>
    <t>https://www.wfmz.com/news/area/lehighvalley/st-john-chrysostom-orthodox-school-to-open-this-fall-at-monocacy-manor-in-bethlehem/article_1d9254d8-aac6-11ec-a176-d3b54451e79d.html</t>
  </si>
  <si>
    <t>Bethlehem</t>
  </si>
  <si>
    <t>Orthodox</t>
  </si>
  <si>
    <t>The new school will offer first through ninth grade education when it opens this fall but says in its statement that its plan it to have classes through 12th grade.</t>
  </si>
  <si>
    <t>average. grades 1-4=$6,250; 5-8=$7,500; 9-12=$11,000</t>
  </si>
  <si>
    <t>https://chrysostomacademy.org/admission/tuition-fee-schedule/</t>
  </si>
  <si>
    <t>395 Bridle Path Rd, Bethlehem, PA 18017</t>
  </si>
  <si>
    <t>Basilica High School of St. Mary Star of the Sea</t>
  </si>
  <si>
    <t>https://basilicaschoolkeywest.com/2022/03/the-basilica-school-to-expand-to-high-school/</t>
  </si>
  <si>
    <t>Key West</t>
  </si>
  <si>
    <t>180 number in 3 years</t>
  </si>
  <si>
    <t>700 Truman Avenue Key West, Florida  33040</t>
  </si>
  <si>
    <t>Individualized Intellect Institute</t>
  </si>
  <si>
    <t>https://www.localmemphis.com/article/news/education/memphis-tennessee-academy-health-sciences-i3-charter-school/522-2dd90604-b503-4b77-ba6b-eacbadb6514a</t>
  </si>
  <si>
    <t>Memphis</t>
  </si>
  <si>
    <t>350 in person, 300 online</t>
  </si>
  <si>
    <t>Tuition Free</t>
  </si>
  <si>
    <t>https://www.i3memphis.com/enrollment</t>
  </si>
  <si>
    <t>1299 E. McLemore Ave Memphis, TN 38106</t>
  </si>
  <si>
    <t>Natural Connections Academy</t>
  </si>
  <si>
    <t>https://cdapress.com/news/2022/apr/15/new-private-school-opens-enrollment/</t>
  </si>
  <si>
    <t>Worley</t>
  </si>
  <si>
    <t>ID</t>
  </si>
  <si>
    <t>https://www.naturalconnectionsacademy.net/</t>
  </si>
  <si>
    <t>5827 W Conkling Rd, Worley, ID 83876</t>
  </si>
  <si>
    <t>New Montgomery Prepatory Academy</t>
  </si>
  <si>
    <t>https://www.montgomery-herald.com/news/august-opening-eyed-for-montgomery-preparatory-academy/article_9ebd043e-be78-11ec-ace9-0f89269a0e36.html</t>
  </si>
  <si>
    <t>Montgomery</t>
  </si>
  <si>
    <t>WV</t>
  </si>
  <si>
    <t>hoping to reach 150</t>
  </si>
  <si>
    <t>https://mlmpipa.org/montgomerypa/</t>
  </si>
  <si>
    <t>(address unknown)</t>
  </si>
  <si>
    <t>Lufkin Christian Academy</t>
  </si>
  <si>
    <t>https://kfox95.com/new-christian-private-school-coming-this-fall-in-lufkin-texas/</t>
  </si>
  <si>
    <t>Lufkin</t>
  </si>
  <si>
    <t>Texas</t>
  </si>
  <si>
    <t>https://www.kltv.com/2022/05/04/lufkin-christian-academy-set-open-fall-2022/</t>
  </si>
  <si>
    <t>50 for first year, plan to grow</t>
  </si>
  <si>
    <t>https://www.facebook.com/lcalufkintexas/photos/a.106878485141515/156001843562512/</t>
  </si>
  <si>
    <t>5101 S Chestnut St Lufkin, TX 75901</t>
  </si>
  <si>
    <t>Freedom Prepatory</t>
  </si>
  <si>
    <t>https://www.ksn.com/news/local/independent-christian-school-opening-in-august/</t>
  </si>
  <si>
    <t>Wichita</t>
  </si>
  <si>
    <t>Kansas</t>
  </si>
  <si>
    <t>60 enrolled, expect 100-150 for future</t>
  </si>
  <si>
    <t>"Enrollment fees and tuition will be set once enrollment is filled."</t>
  </si>
  <si>
    <t>https://freedomprep.wixsite.com/website/admissions</t>
  </si>
  <si>
    <t>3724 N. Pepper Ridge St Wichita, KS 67205</t>
  </si>
  <si>
    <t>Louisville Urban Classical Academy</t>
  </si>
  <si>
    <t>https://www.whas11.com/video/news/local/new-private-school-opens-in-west-louisville/417-818f1727-9eee-4576-9188-8d81f76db71b</t>
  </si>
  <si>
    <t>tuition free</t>
  </si>
  <si>
    <t>https://www.lucaky.org/about</t>
  </si>
  <si>
    <t>1606 W. Chestnut Louisville, KY 40203</t>
  </si>
  <si>
    <t>Coastside Leadership Academy</t>
  </si>
  <si>
    <t>https://www.hmbreview.com/news/2-new-schools-opening-on-coastside/article_895ee5fe-d632-11ec-bb50-77ee85942359.html</t>
  </si>
  <si>
    <t>Moss Beach</t>
  </si>
  <si>
    <t>https://coastsideleadershipacademy.com/join-us</t>
  </si>
  <si>
    <t>Hemisphere School</t>
  </si>
  <si>
    <t>2,900 x 12</t>
  </si>
  <si>
    <t>http://www.hemisphereschool.org/cost</t>
  </si>
  <si>
    <t>Chesterton Academy of Wichita Falls</t>
  </si>
  <si>
    <t>https://www.timesrecordnews.com/story/news/2022/06/10/new-catholic-high-school-slated-open-2023-wichita-falls-chesterton-academy/7490147001/</t>
  </si>
  <si>
    <t>Wichita Falls</t>
  </si>
  <si>
    <t>https://www.chestertonacademywf.org/</t>
  </si>
  <si>
    <t>Seton Academy</t>
  </si>
  <si>
    <t>https://www.fosters.com/story/news/education/2022/07/14/seton-academy-rochester-nh/10028995002/</t>
  </si>
  <si>
    <t>Rochester</t>
  </si>
  <si>
    <t>NH</t>
  </si>
  <si>
    <t>40-60 expected</t>
  </si>
  <si>
    <t>https://seton.academy/admissions</t>
  </si>
  <si>
    <t>189 N Main St. Rochester, NH 03867</t>
  </si>
  <si>
    <t>Oak Grove Christian Academy</t>
  </si>
  <si>
    <t>https://www.dailyadvance.com/chowan/features/school_news/oak-grove-christian-academy-will-open-this-fall/article_a2d5ed11-990c-5840-a80f-2404553341a1.html</t>
  </si>
  <si>
    <t>Edenton</t>
  </si>
  <si>
    <t>$2450 for K-4, $2950 for 5-8</t>
  </si>
  <si>
    <t>https://www.oakgroveedenton.com/blank-page</t>
  </si>
  <si>
    <t>131 Morristown Road Edenton, NC 27932</t>
  </si>
  <si>
    <t>Heart Dream Christian Academy</t>
  </si>
  <si>
    <t>https://www.marshallnewsmessenger.com/news/new-christian-private-school-in-marshall-to-start-classes-in-august/article_4e26f7c6-e855-11ec-91b3-a787f2185cc8.html</t>
  </si>
  <si>
    <t>Marshall</t>
  </si>
  <si>
    <t>1315 Calloway St, Marshall, TX 75670</t>
  </si>
  <si>
    <t>Alpha School - Brownsville</t>
  </si>
  <si>
    <r>
      <rPr>
        <rFont val="Calibri"/>
        <color rgb="FF1155CC"/>
        <sz val="11.0"/>
        <u/>
      </rPr>
      <t>https://alpha.school/brownsville/</t>
    </r>
  </si>
  <si>
    <t>Brownsville</t>
  </si>
  <si>
    <t>N/A</t>
  </si>
  <si>
    <t>PreK-8</t>
  </si>
  <si>
    <t>591 N. Central Ave, Brownsville, TX 78521</t>
  </si>
  <si>
    <t>Fusion Academy Folsom</t>
  </si>
  <si>
    <t>https://www.bizjournals.com/sacramento/news/2022/07/31/fusion-academy-campus-folsom-palladio.html</t>
  </si>
  <si>
    <t>Folsom</t>
  </si>
  <si>
    <t>Spring 2023</t>
  </si>
  <si>
    <t>420 Palladio Pkwy, Folsom, CA 95630</t>
  </si>
  <si>
    <t>Southside Academy</t>
  </si>
  <si>
    <t>https://www.rockymounttelegram.com/features/school_news/new-private-school-welcomes-students/article_20e2a9c7-01d5-5b2b-b238-a199275af21e.html</t>
  </si>
  <si>
    <t>Rocky Mount</t>
  </si>
  <si>
    <t>Parents pay $35/month due to school choice partnership</t>
  </si>
  <si>
    <t>https://www.southside.academy/admissions</t>
  </si>
  <si>
    <t>2221 W. Raleigh Blvd. Rocky Mount, NC 27803</t>
  </si>
  <si>
    <t>Gateway Private School Dublin</t>
  </si>
  <si>
    <t>https://wset.com/news/back-to-school/pulaski-county-virginia-celebrates-repurposing-old-elementary-school-into-new-private-school-dublin-gateway-private-school</t>
  </si>
  <si>
    <t>Dublin</t>
  </si>
  <si>
    <t>$210/day</t>
  </si>
  <si>
    <t>https://gatewayprivateschool.com/admissions</t>
  </si>
  <si>
    <t>205 5th St. Dublin, VA 24084</t>
  </si>
  <si>
    <t>Grand Canyon Private Academy</t>
  </si>
  <si>
    <t>https://www.businesswire.com/news/home/20220802005806/en/Learn-Your-Way-to-Excellence-Enroll-in-New-Grand-Canyon-Private-Academy</t>
  </si>
  <si>
    <t>AZ</t>
  </si>
  <si>
    <t>$5,500 for K-5, $6,500 for 6-10</t>
  </si>
  <si>
    <t>https://gcpa.k12.com/resources/tuition.html</t>
  </si>
  <si>
    <t>Heritage Plains Christian Academy</t>
  </si>
  <si>
    <t>https://www.montenews.com/2022/08/04/new-private-school-opening-in-montevideo/</t>
  </si>
  <si>
    <t>Montevideo</t>
  </si>
  <si>
    <t>http://heritagechristianacademymontevideo.com/</t>
  </si>
  <si>
    <t>Stella Maris Academy</t>
  </si>
  <si>
    <t>https://www.stellamaris.academy/news/2021/10/28/sma-secures-facilities-for-new-high-school</t>
  </si>
  <si>
    <t>Duluth</t>
  </si>
  <si>
    <t>Opening new high school campus. Just 9th grade for now but plans to expand to 9-12</t>
  </si>
  <si>
    <t>https://www.stellamaris.academy/tuition</t>
  </si>
  <si>
    <t>4321 Allendale Ave, Duluth, MN 55803</t>
  </si>
  <si>
    <t>Genesis Learning Academy</t>
  </si>
  <si>
    <t>https://abc11.com/genesis-christian-school-black-owned-private-fayetteville/12143393/</t>
  </si>
  <si>
    <t>Fayetteville</t>
  </si>
  <si>
    <t>starting with kindergarten to second grade with up to 15 children, plans to expand</t>
  </si>
  <si>
    <t>https://www.glajaguars.com/_files/ugd/fe819b_f7918898e2154410983d08233b84ce9b.pdf</t>
  </si>
  <si>
    <t>6917 Raeford Rd. Fayetteville, NC 28314</t>
  </si>
  <si>
    <t>Hope Academy of Stephens County</t>
  </si>
  <si>
    <t>https://www.duncanbanner.com/community/new-school-new-year-hope-academy-launches-aug-22/article_afb9c460-20a3-11ed-9521-3379edce571d.html</t>
  </si>
  <si>
    <t>Comanche</t>
  </si>
  <si>
    <t>OK</t>
  </si>
  <si>
    <t>$350/month for 9 months but has annual discount</t>
  </si>
  <si>
    <t>https://www.hopeacademyok.org/apply-now</t>
  </si>
  <si>
    <t>US-81 &amp; Refinery Rd, Comanche, OK 73529</t>
  </si>
  <si>
    <t xml:space="preserve">Wonder School Marfa
</t>
  </si>
  <si>
    <t>https://www.wonderschoolmarfa.org/</t>
  </si>
  <si>
    <t>Marfa</t>
  </si>
  <si>
    <t>https://bigbendsentinel.com/2023/06/07/marfas-wonder-school-looks-back-on-inaugural-school-year/</t>
  </si>
  <si>
    <t>Microschool, eventually k-8, ages 5-9 currently.</t>
  </si>
  <si>
    <t xml:space="preserve">118 W Washington St, Marfa, TX 79843
</t>
  </si>
  <si>
    <t>Brighter Days Academy</t>
  </si>
  <si>
    <t>https://www.rrdailyherald.com/news/local/brighter-days-academy-opens-in-scotland-neck/article_3ed65839-e268-554d-80a7-2d0a4ba44113.html</t>
  </si>
  <si>
    <t>Scotland Neck</t>
  </si>
  <si>
    <t>https://img1.wsimg.com/blobby/go/181fe007-4c6f-41cd-8601-1f0192e81fe2/downloads/Brighter%20Days%20Academy%20Inc.%20Tuition%20Chart.pdf?ver=1661327547163</t>
  </si>
  <si>
    <t>91 Food Lion Rd. Scotland Neck NC 27874</t>
  </si>
  <si>
    <t>Columbus Classical Academy</t>
  </si>
  <si>
    <t>https://www.prnewswire.com/news-releases/local-parents-community-members-announce-plans-to-open-classical-k-12-private-school-in-columbus-ohio-301606977.html</t>
  </si>
  <si>
    <t>Columbus</t>
  </si>
  <si>
    <t>OH</t>
  </si>
  <si>
    <t>Tuition will depend on donors, no government money</t>
  </si>
  <si>
    <t>https://columbusclassical.org/admissions.html#tuition</t>
  </si>
  <si>
    <t>Westside Christian School</t>
  </si>
  <si>
    <t>https://www.christianpost.com/news/school-opening-in-ohio-church-to-be-a-model-of-affordability.html</t>
  </si>
  <si>
    <t>Plan to use Ohio choice voucher</t>
  </si>
  <si>
    <t>https://www.wc.school/resources</t>
  </si>
  <si>
    <t>2435 Eakin Rd, Columbus, OH 43204</t>
  </si>
  <si>
    <t>Huron Classical Liberal Arts Academy</t>
  </si>
  <si>
    <t>https://wgrt.com/are-you-interested-in-a-new-private-school-with-a-hillsdale-college-curriculum/</t>
  </si>
  <si>
    <t>St. Clair</t>
  </si>
  <si>
    <t>MI</t>
  </si>
  <si>
    <t>Fall 2024</t>
  </si>
  <si>
    <t>https://www.huronclassical.com/</t>
  </si>
  <si>
    <t>Khadijah Bint Khuwalid Islamic Stem Academy for Girls</t>
  </si>
  <si>
    <t>https://ktvz.com/cnn-regional/2022/09/05/new-all-girl-muslim-stem-school-opens-in-germantown/</t>
  </si>
  <si>
    <t>Philadelphia</t>
  </si>
  <si>
    <t>Muslim</t>
  </si>
  <si>
    <t>https://khadijahbintkhuwalidislamicstemacademygirls.org/</t>
  </si>
  <si>
    <t>n/a</t>
  </si>
  <si>
    <t>Need to send inquiry to find out cost.</t>
  </si>
  <si>
    <t>5007-B Germantown Avenue Philadelphia, PA 19144</t>
  </si>
  <si>
    <t>Manifestations: School for Innovation &amp; Learning.</t>
  </si>
  <si>
    <t>https://www.wfla.com/news/hillsborough-county/local-educator-opens-free-k-12-private-school-in-east-tampa/</t>
  </si>
  <si>
    <t>East Tampa</t>
  </si>
  <si>
    <t>No website listed yet</t>
  </si>
  <si>
    <t>Tuition free with FL school choice programs</t>
  </si>
  <si>
    <t>Nurtured Growth Learning Center</t>
  </si>
  <si>
    <t>https://www.nurturedgrowthlearningcenter.com/</t>
  </si>
  <si>
    <t>Kalispell</t>
  </si>
  <si>
    <t>MT</t>
  </si>
  <si>
    <t>https://dailyinterlake.com/news/2022/dec/13/Mom-starts-school-neurodivergent-children/</t>
  </si>
  <si>
    <t>First FB post 6/21/22; added to tracker based on news article 12/13/22</t>
  </si>
  <si>
    <t>https://www.nurturedgrowthlearningcenter.com/admissions</t>
  </si>
  <si>
    <t>1322 Whitefish Stage Kalispell, MT 59901</t>
  </si>
  <si>
    <t>Chesterton Academy of Our Lady of Hope</t>
  </si>
  <si>
    <t>https://www.chestertonri.org/</t>
  </si>
  <si>
    <t>Warwick</t>
  </si>
  <si>
    <t>RI</t>
  </si>
  <si>
    <t>https://pbn.com/chesterton-academy-to-open-new-catholic-high-school-in-r-i-next-fall/</t>
  </si>
  <si>
    <t>https://www.chestertonri.org/admissions</t>
  </si>
  <si>
    <t>487 Jefferson Blvd, Warwick RI 02886</t>
  </si>
  <si>
    <t>Highlands Latin School Owensboro</t>
  </si>
  <si>
    <t>https://highlandslatin.org/owensboro/</t>
  </si>
  <si>
    <t>Ownesboro</t>
  </si>
  <si>
    <t>https://www.messenger-inquirer.com/news/new-private-school-planned-for-2023/article_4bd11710-a9d4-538f-8d7c-b9f62b993947.html</t>
  </si>
  <si>
    <t>First FB post 11/22/22</t>
  </si>
  <si>
    <t>K-3</t>
  </si>
  <si>
    <t>2600 Lewis Lane Owensboro, KY 42301</t>
  </si>
  <si>
    <t xml:space="preserve">Our Lady of the Cross </t>
  </si>
  <si>
    <t>https://www.ourladyofthecross.org/</t>
  </si>
  <si>
    <t>Lebanon</t>
  </si>
  <si>
    <t>https://lancasteronline.com/news/regional/our-lady-of-the-cross-marks-its-first-day-as-lebanon-countys-new-catholic-school/article_e70f312e-14cf-11ec-9b77-0f086b212fbb.html</t>
  </si>
  <si>
    <t>Enrollment at start of Fall 2021</t>
  </si>
  <si>
    <t>1691 Grace Ave.
Lebanon PA 17046</t>
  </si>
  <si>
    <t>PROUD Academy</t>
  </si>
  <si>
    <t>https://www.proudacademyct.org/</t>
  </si>
  <si>
    <t>https://www.courant.com/news/connecticut/hc-news-connecticut-lgbtq-private-school-20230129-plwoht6si5a7jpd6ehoofqcoqm-story.html</t>
  </si>
  <si>
    <t>Range is 30-40K</t>
  </si>
  <si>
    <t>https://www.proudacademyct.org/faqs</t>
  </si>
  <si>
    <t>Vail Valley Unbound</t>
  </si>
  <si>
    <t>https://vailvalleyunbound.org/</t>
  </si>
  <si>
    <t>Edwards</t>
  </si>
  <si>
    <t>https://www.vaildaily.com/news/a-new-k-5-school-is-coming-to-edwards-this-fall/</t>
  </si>
  <si>
    <t>https://vailvalleyunbound.org/about/faq/</t>
  </si>
  <si>
    <t>137 Main Street #G-004, Edwards, CO 81632</t>
  </si>
  <si>
    <t>Florida East Coast Christian School</t>
  </si>
  <si>
    <t>https://fecchristian.org/</t>
  </si>
  <si>
    <t>Ormand Beach</t>
  </si>
  <si>
    <t>https://www.news-journalonline.com/story/news/education/2023/02/08/ormond-beach-home-to-florida-east-coast-christian-school-opening-in-fall/69858606007/</t>
  </si>
  <si>
    <t>450 is capacity. Starting preK-4th, will grow to 8th. 2 classes per grade is goal.</t>
  </si>
  <si>
    <t>499 S Nova Rd  Ormond Beach, FL 32174</t>
  </si>
  <si>
    <t>Steamboat Christian Center</t>
  </si>
  <si>
    <t>https://www.steamboatchristianacademy.com/</t>
  </si>
  <si>
    <t>Steamboat Springs</t>
  </si>
  <si>
    <t>https://www.steamboatpilot.com/news/steamboat-christian-academy-gears-up-for-its-first-year/</t>
  </si>
  <si>
    <t>average across grades</t>
  </si>
  <si>
    <t>https://www.steamboatchristianacademy.com/admissions</t>
  </si>
  <si>
    <t>821 Dougherty Road Steamboat Springs, CO 80487</t>
  </si>
  <si>
    <t>St. Malachy Catholic School</t>
  </si>
  <si>
    <t>https://www.stmalachyschool.com/</t>
  </si>
  <si>
    <t>Tamarac</t>
  </si>
  <si>
    <t>https://www.miamiarch.org/CatholicDiocese.php?op=Article_archdiocese-of-miami-st-malachy-school-reopen-fall-2023</t>
  </si>
  <si>
    <t>School that was closed in 2009 is reopening. Starting w/prek4 and KG.</t>
  </si>
  <si>
    <t>https://www.stmalachyschool.com/scholarships-and-tuition</t>
  </si>
  <si>
    <t>7595 NW 61st Street
Tamarac, FL 33321</t>
  </si>
  <si>
    <t>New Life Christian Academy</t>
  </si>
  <si>
    <t>https://www.nlcagardner.org/</t>
  </si>
  <si>
    <t xml:space="preserve">Gardner </t>
  </si>
  <si>
    <t>https://www.gardnernews.com/news/2023/02/28/new-faith-based-school-opening-this-year/</t>
  </si>
  <si>
    <t>Starting w/20 in each K-3, add grade/yr.</t>
  </si>
  <si>
    <t>https://www.nlcagardner.org/faqs</t>
  </si>
  <si>
    <t xml:space="preserve">29200 W 188th St, Gardner KS 66030
</t>
  </si>
  <si>
    <t xml:space="preserve">Covenant School of Bridgeport </t>
  </si>
  <si>
    <t>https://www.covenantschoolbridgeport.org/</t>
  </si>
  <si>
    <t>Fairfield</t>
  </si>
  <si>
    <t>https://www.ctpost.com/fairfield/article/fairfield-covenant-school-bridgeport-17832499.php</t>
  </si>
  <si>
    <t>Middle school, starting w/grades 5 &amp; 6.</t>
  </si>
  <si>
    <t>140 Edison Ave, Fairfield, CT 06825</t>
  </si>
  <si>
    <t xml:space="preserve">Chesterton Academy of Northern Utah
</t>
  </si>
  <si>
    <t>https://www.chestertonutah.com/</t>
  </si>
  <si>
    <t>Eden</t>
  </si>
  <si>
    <t>UT</t>
  </si>
  <si>
    <t>https://www.standard.net/news/education/2023/mar/14/northern-utah-boosters-launching-new-private-school-voucher-program-will-be-huge/</t>
  </si>
  <si>
    <t>starting w/12-15 9th graders and adding 10th-12th</t>
  </si>
  <si>
    <t>expected to be under $8,000</t>
  </si>
  <si>
    <t>https://www.chestertonutah.com/admissions/#tuition</t>
  </si>
  <si>
    <t>4812 Creekview Dr. | Eden, Utah 84310</t>
  </si>
  <si>
    <t>This is a mailing address - physical address coming soon.</t>
  </si>
  <si>
    <t>Trinity Academy at Concordia University</t>
  </si>
  <si>
    <t>https://www.trinityacademycune.org/</t>
  </si>
  <si>
    <t>Seward</t>
  </si>
  <si>
    <t>https://journalstar.com/news/local/education/concordia-opening-lutheran-microschool-in-seward-for-high-school-students/article_cfdb2a9c-c1aa-11ed-a071-435163b28d3f.html</t>
  </si>
  <si>
    <t>Microschool high school</t>
  </si>
  <si>
    <t>800 N. Columbia Ave
Seward, NE 68434</t>
  </si>
  <si>
    <t>Bertrand D. Hsu American &amp; Chinese Bicultural Academy</t>
  </si>
  <si>
    <t>https://www.berthsuacademy.org/</t>
  </si>
  <si>
    <t>San Francisco</t>
  </si>
  <si>
    <t>https://www.sfchronicle.com/bayarea/article/hsu-private-school-17890952.php</t>
  </si>
  <si>
    <t>Start K-8, eventually K-12</t>
  </si>
  <si>
    <t>Potrero Hill Neighborhood San Francisco, CA</t>
  </si>
  <si>
    <t xml:space="preserve">Avila Catholic Academy </t>
  </si>
  <si>
    <t>https://www.st-teresa.com/news/449-exciting-school-news</t>
  </si>
  <si>
    <t xml:space="preserve">Grovetown </t>
  </si>
  <si>
    <t>https://theaugustapress.com/avila-catholic-academy-to-open-for-2024-25-school-year/</t>
  </si>
  <si>
    <t xml:space="preserve"> Catholic school serving students from 1-year old to grade five rooted in a classical curriculum</t>
  </si>
  <si>
    <t>4921 Columbia Rd, Grovetown, GA 30813</t>
  </si>
  <si>
    <t>NorthShore Classical Academy</t>
  </si>
  <si>
    <t>https://ncawi.org/</t>
  </si>
  <si>
    <t>Mequon</t>
  </si>
  <si>
    <t>Fall 2026</t>
  </si>
  <si>
    <t>https://www.jsonline.com/story/news/education/2023/04/19/northshore-classical-academy-rejected-as-charter-seeks-private-funds/70122233007/</t>
  </si>
  <si>
    <t>11715 N Bridgewater Dr
Mequon, WI 53092</t>
  </si>
  <si>
    <t>Louisville Urban Classical Academy (LUCA)</t>
  </si>
  <si>
    <t>https://www.lucaky.org/</t>
  </si>
  <si>
    <t>https://www.wdrb.com/news/russell-neighborhood-church-starting-private-christian-school-for-kids-in-west-louisville/article_7fef1af0-df16-11ed-a0d4-7b2bafc0a767.html</t>
  </si>
  <si>
    <t>LUCA will be accepting 40 students for this upcoming school year. Right now, it can enroll K-3, but one day leaders hope to make it a K-12 school.</t>
  </si>
  <si>
    <t>USASB Unschool Academy of Art, Science, &amp; Business</t>
  </si>
  <si>
    <t>https://www.usasb.org/</t>
  </si>
  <si>
    <t>South Orange County</t>
  </si>
  <si>
    <t>https://www.sanclementetimes.com/longtime-teacher-looks-to-open-new-private-school-in-south-oc/</t>
  </si>
  <si>
    <t>Emmanuel Christian School</t>
  </si>
  <si>
    <t>Fort Wayne</t>
  </si>
  <si>
    <t>https://www.wane.com/news/local-news/emmanuel-christian-school-set-to-open-for-2023-2024-school-year/</t>
  </si>
  <si>
    <t>Starting K-5th, up to 2 classes of 12 students per grade.</t>
  </si>
  <si>
    <t>12222 US Hwy 24 W Fort Wayne IN 46814</t>
  </si>
  <si>
    <t>Montessori Environmental Action through Research and Technology (EARTH) High School</t>
  </si>
  <si>
    <t>https://www.montessori.earth/</t>
  </si>
  <si>
    <t>https://www.dispatch.com/story/news/education/2023/04/25/montessori-earth-plans-to-be-first-high-school-of-its-kind-in-columbus/70125622007/</t>
  </si>
  <si>
    <t xml:space="preserve">15-20 students per class </t>
  </si>
  <si>
    <t>Sliding scale based on income.</t>
  </si>
  <si>
    <t>https://www.montessori.earth/about-tuition</t>
  </si>
  <si>
    <t>2344 Woodward Ave., Columbus, Ohio 43219</t>
  </si>
  <si>
    <t xml:space="preserve">Christian Foundation Academy </t>
  </si>
  <si>
    <t xml:space="preserve">Abilene </t>
  </si>
  <si>
    <t>http://www.abilene-rc.com/news/christian-school-opening-for-2023-2024-school-year/article_5c2a2750-f590-11ed-8c99-ab0185238129.html</t>
  </si>
  <si>
    <t>320 N Cedar St, Abilene, KS, 67410</t>
  </si>
  <si>
    <t>Valor Christian High School</t>
  </si>
  <si>
    <t>valorsandpoint.com</t>
  </si>
  <si>
    <t>Sandpoint</t>
  </si>
  <si>
    <t>https://bonnercountydailybee.com/news/2023/may/18/valor-high-school-set-open/</t>
  </si>
  <si>
    <t>Starting with 9th and 10th grades</t>
  </si>
  <si>
    <t>Contact address. Physical location unknown as of 5/22/23.</t>
  </si>
  <si>
    <t>217 Cedar St, Sandpoint, ID, 83864</t>
  </si>
  <si>
    <t>Stars School &amp; Learning Center</t>
  </si>
  <si>
    <t>https://www.patriotledger.com/story/news/2023/05/22/weymouth-ma-south-shore-stars-dyslexia-new-school/70223228007/</t>
  </si>
  <si>
    <t>Weymouth</t>
  </si>
  <si>
    <t>Early 2024</t>
  </si>
  <si>
    <t>https://southshorestars.org/south-shore-stars-to-launch-school-for-students-with-dyslexia-and-other-language-based-learning-differences/</t>
  </si>
  <si>
    <t>For children grades 1 – 5 with language-based learning differences, like dyslexia and co-occurring conditions, including ADHD.</t>
  </si>
  <si>
    <t>https://southshorestars.org/new-school/</t>
  </si>
  <si>
    <t>163 Libbey Industrial Parkway, East Weymouth, MA, 02189</t>
  </si>
  <si>
    <t>Noble Garden Academy</t>
  </si>
  <si>
    <t>https://noblegardenacademy.org/</t>
  </si>
  <si>
    <t>Reston</t>
  </si>
  <si>
    <t>https://www.restonnow.com/2023/06/14/new-private-elementary-school-for-muslim-youth-opening-in-reston/</t>
  </si>
  <si>
    <t xml:space="preserve"> City On A Hill Christian School</t>
  </si>
  <si>
    <t>https://www.cityonahillwv.org/</t>
  </si>
  <si>
    <t>Bridgeport</t>
  </si>
  <si>
    <t>https://readlion.com/west-virginia-microschool-serves-dozens-of-students-with-christ-centered-learning-in-first-year/</t>
  </si>
  <si>
    <t>https://www.cityonahillwv.org/tuition</t>
  </si>
  <si>
    <t>164 Thompson Drive Bridgeport, WV 26330</t>
  </si>
  <si>
    <t>Sage Academy Granbury</t>
  </si>
  <si>
    <t>https://www.sageacademygranbury.com/</t>
  </si>
  <si>
    <t>Granbury</t>
  </si>
  <si>
    <t>https://www.hcnews.com/news/where-learners-become-leaders-new-private-school-to-open-in-acton-this-fall/article_2f378fe0-0bb5-11ee-8187-7b92de491128.html</t>
  </si>
  <si>
    <t>https://www.sageacademygranbury.com/tuition</t>
  </si>
  <si>
    <t>2400 Fall Creek Hwy, Granbury, TX 76049</t>
  </si>
  <si>
    <t>Movement Christian Academy</t>
  </si>
  <si>
    <t>https://www.movementchristian.org/</t>
  </si>
  <si>
    <t>Celina</t>
  </si>
  <si>
    <t>https://starlocalmedia.com/celinarecord/celina-business-briefs-movement-christian-academy-opening-fall-2023-and-more-updates/article_945e4000-0ec9-11ee-8d75-33828b22288c.html</t>
  </si>
  <si>
    <t>Just preK and K</t>
  </si>
  <si>
    <t>310 W. Walnut St Celina, TX 75009</t>
  </si>
  <si>
    <t xml:space="preserve">Riverview Christian Academy </t>
  </si>
  <si>
    <t>https://riverview-christian.com/</t>
  </si>
  <si>
    <t>South Point</t>
  </si>
  <si>
    <t>https://www.irontontribune.com/2023/06/24/new-private-christian-school-to-open-in-south-point/</t>
  </si>
  <si>
    <t>K-3, $400/month - unclear if 10 or 12 months of payments</t>
  </si>
  <si>
    <t>406 9th Street South Point, OH 45680</t>
  </si>
  <si>
    <t>Alpha School - Plano</t>
  </si>
  <si>
    <r>
      <rPr>
        <rFont val="Calibri"/>
        <color rgb="FF1155CC"/>
        <sz val="11.0"/>
        <u/>
      </rPr>
      <t>https://alpha.school/plano/</t>
    </r>
  </si>
  <si>
    <t>Plano</t>
  </si>
  <si>
    <t>K-6. Largely referred to as part of Alpha's initial rollout, alongside other Texas locations.</t>
  </si>
  <si>
    <t>7220 Independence Pkwy, Plano, TX 75025</t>
  </si>
  <si>
    <t>Alpha School - Fort Worth</t>
  </si>
  <si>
    <r>
      <rPr>
        <rFont val="Calibri"/>
        <color rgb="FF1155CC"/>
        <sz val="11.0"/>
        <u/>
      </rPr>
      <t>https://alpha.school/fort-worth/</t>
    </r>
  </si>
  <si>
    <t>Fort worth</t>
  </si>
  <si>
    <t>NA</t>
  </si>
  <si>
    <t>K-8</t>
  </si>
  <si>
    <t>3300 Bryant Irvin Rd, Fort Worth, TX 76109</t>
  </si>
  <si>
    <t>Alpha School Austin</t>
  </si>
  <si>
    <r>
      <rPr>
        <rFont val="Calibri"/>
        <color rgb="FF1155CC"/>
        <sz val="11.0"/>
        <u/>
      </rPr>
      <t>https://alpha.school/locations/</t>
    </r>
  </si>
  <si>
    <t>Austin</t>
  </si>
  <si>
    <t>Pre-K-5. Second Austin location handles 6-8</t>
  </si>
  <si>
    <t>1201 Spyglass Dr, Austin, TX 78746</t>
  </si>
  <si>
    <t>Alpha High School</t>
  </si>
  <si>
    <r>
      <rPr>
        <rFont val="Calibri"/>
        <color rgb="FF1155CC"/>
        <sz val="11.0"/>
        <u/>
      </rPr>
      <t>https://alphahigh.school</t>
    </r>
  </si>
  <si>
    <t>High School</t>
  </si>
  <si>
    <t>201 Colorado Street
 Austin, Texas</t>
  </si>
  <si>
    <t>Calvary Chapel Christian Academy</t>
  </si>
  <si>
    <t>https://www.ccsnowflakeacademy.com/</t>
  </si>
  <si>
    <t>Snowflake</t>
  </si>
  <si>
    <t>https://readlion.com/small-town-christian-microschool-to-grow-out-of-arizona-church-showcasing-promise-of-school-choice-for-rural-america/</t>
  </si>
  <si>
    <t>311 S 1st St E Snowflake, AZ 85937</t>
  </si>
  <si>
    <t>Mountain Valley Academy</t>
  </si>
  <si>
    <t>Thompson Falls</t>
  </si>
  <si>
    <t>https://dailyinterlake.com/news/2023/jul/05/new-private-school-works-thompson-falls/</t>
  </si>
  <si>
    <t>The Camino Schools (all girls)</t>
  </si>
  <si>
    <t>https://www.thecaminoschools.org/</t>
  </si>
  <si>
    <t>Orange Co</t>
  </si>
  <si>
    <t>https://www.ocregister.com/2023/07/12/new-catholic-schools-plan-to-open-in-orange-county-over-next-few-years/</t>
  </si>
  <si>
    <t>K-2 co-ed, 3rd-8th girls</t>
  </si>
  <si>
    <t>The Camino Schools (all boys)</t>
  </si>
  <si>
    <t>3rd-8th boys</t>
  </si>
  <si>
    <t>The Trinity School</t>
  </si>
  <si>
    <t>https://www.thetrinityschool.net/</t>
  </si>
  <si>
    <t>https://www.hcnews.com/news/god-led-me-to-it-local-educator-to-open-christian-private-school-in-fall/article_c59f578e-2180-11ee-92ce-a74f5e21c65c.html</t>
  </si>
  <si>
    <t>preK-8th, Tues-Thurs</t>
  </si>
  <si>
    <t>https://www.thetrinityschool.net/_files/ugd/2ce745_bb794f6fbf124d4aa372198e8ccba0af.pdf</t>
  </si>
  <si>
    <t xml:space="preserve">983 Whitehead Dr. Granbury, TX 76048 </t>
  </si>
  <si>
    <t>Uncommonly Awesome Learning Lab</t>
  </si>
  <si>
    <t>https://www.uncommonlyawesomelearning.org/</t>
  </si>
  <si>
    <t>Mountain View</t>
  </si>
  <si>
    <t>https://www.losaltosonline.com/schools/macro-dreams-for-new-microschool-in-mtn-view/article_1737f97a-2b4a-11ee-9b8a-9fdfe1c62fef.html</t>
  </si>
  <si>
    <t>Tutoring center turned microschool</t>
  </si>
  <si>
    <t>5 six-week sessions at $5,000/session</t>
  </si>
  <si>
    <t>1057 El Monte Avenue, Suite B
Mountain View, CA 94040</t>
  </si>
  <si>
    <t>Path of Life Learning</t>
  </si>
  <si>
    <t>https://www.pathoflifelearning.com/</t>
  </si>
  <si>
    <t>Yorktown</t>
  </si>
  <si>
    <t>Full-time or hybrid, microschool</t>
  </si>
  <si>
    <t>Based on max $650/month listed on website.</t>
  </si>
  <si>
    <t>https://www.pathoflifelearning.com/blank-5</t>
  </si>
  <si>
    <t>Plant City Christian Academy</t>
  </si>
  <si>
    <t>https://plantcitychristian.com/</t>
  </si>
  <si>
    <t>Plant City</t>
  </si>
  <si>
    <t>Covered by FL scholarships</t>
  </si>
  <si>
    <t>503 N. Palmer Street Plant City, FL 33563</t>
  </si>
  <si>
    <t>Queer Blended Learning Center</t>
  </si>
  <si>
    <t>Phoenix</t>
  </si>
  <si>
    <t>https://www.azfamily.com/2023/07/26/new-phoenix-middle-school-offers-safe-space-lgbtq-youth/</t>
  </si>
  <si>
    <t>1101 N Central Avenue, Suite 104, Phoenix AZ 85004</t>
  </si>
  <si>
    <t>Liberty Academy of Columbus</t>
  </si>
  <si>
    <t>https://www.libertyacademycolumbus.com/</t>
  </si>
  <si>
    <t>https://www.therepublic.com/2023/08/01/new-private-school-pushes-back-its-opening-date-location-remains-up-in-the-air/</t>
  </si>
  <si>
    <t xml:space="preserve">101 N National RdColumbus, IN 47201
</t>
  </si>
  <si>
    <t>Providence Christian Academy</t>
  </si>
  <si>
    <t>https://www.myprovidencechristianacademy.org/</t>
  </si>
  <si>
    <t xml:space="preserve">Greenfield </t>
  </si>
  <si>
    <t>https://www.recorder.com/Greenfield-church-looks-to-open-private-Christian-school-this-fall-51662324</t>
  </si>
  <si>
    <t>K-4</t>
  </si>
  <si>
    <t>https://www.recorder.com/Greenfield-School-Committee-OKs-opening-of-private-Christian-school-51823191</t>
  </si>
  <si>
    <t>385 Chapman St.
Greenfield, MA 01301</t>
  </si>
  <si>
    <t xml:space="preserve"> Lion of Judah Learning Center</t>
  </si>
  <si>
    <t>http://lionofjudahmaryville.com/</t>
  </si>
  <si>
    <t>Maryville</t>
  </si>
  <si>
    <t>http://www.maryvilleforum.com/news/maryville-woman-starts-christian-based-microschool/article_9cad90d8-33dd-11ee-b6cc-e361c9d8a701.html</t>
  </si>
  <si>
    <t>K-3, 4-days/week, other options available</t>
  </si>
  <si>
    <t>Owensboro</t>
  </si>
  <si>
    <t>https://www.14news.com/2023/08/04/new-school-opening-owensboro/</t>
  </si>
  <si>
    <t xml:space="preserve">K-3 to start and plan to add a grade each year. 20 is starting enrollment. </t>
  </si>
  <si>
    <t>2600 Lewis Ln, Owensboro, KY 42301</t>
  </si>
  <si>
    <t xml:space="preserve"> Income	$90,115</t>
  </si>
  <si>
    <t>Newman Catholic Classical School: Holy Name</t>
  </si>
  <si>
    <t>https://holynamecatholicschool.com/</t>
  </si>
  <si>
    <t>Wausau</t>
  </si>
  <si>
    <t>https://www.waow.com/news/top-stories/former-holy-name-school-set-to-re-open-as-classical-style-school-for-the-2024/article_01938fd4-3799-11ee-a3ea-1b7844f68ed6.html</t>
  </si>
  <si>
    <t xml:space="preserve">Eventually K-8 </t>
  </si>
  <si>
    <t>Average at other Newman Catholic K-8 schools in Wausau.</t>
  </si>
  <si>
    <t>https://www.newmancatholicschools.com/admissions/tuition-and-fees</t>
  </si>
  <si>
    <t>1104 S 9th Ave, Wausau, WI 54401</t>
  </si>
  <si>
    <t>New England Academy - Marshfield</t>
  </si>
  <si>
    <t>https://www.newenglandacademy.net/</t>
  </si>
  <si>
    <t>Marshfield</t>
  </si>
  <si>
    <t>https://www.patriotledger.com/story/news/2022/10/20/new-england-academy-expands-special-education-marshfield/10467699002/</t>
  </si>
  <si>
    <t>51 Commerce Way, Marshfield, MA, 02050</t>
  </si>
  <si>
    <t>FREEdom School</t>
  </si>
  <si>
    <t>https://homieshighschool.org/</t>
  </si>
  <si>
    <t>Oakland</t>
  </si>
  <si>
    <t>https://www.sfchronicle.com/bayarea/article/private-freedom-school-opening-east-oakland-18273156.php</t>
  </si>
  <si>
    <t>Starting with ten 9th graders, plans to grow to 30.</t>
  </si>
  <si>
    <t>9006 MacArthur Blvd, Oakland, CA 94605</t>
  </si>
  <si>
    <t>https://www.valorsandpoint.com/</t>
  </si>
  <si>
    <t>https://bonnercountydailybee.com/news/2023/oct/06/valor-christian-high-school-celebrates-grand-openi/</t>
  </si>
  <si>
    <t>Starting with 9th and 10th, adding 11th then 12th.</t>
  </si>
  <si>
    <t>201 North Division Ave Sandpoint, ID 83864</t>
  </si>
  <si>
    <t>Compass School of Texas</t>
  </si>
  <si>
    <t>https://www.compassschooltx.org/</t>
  </si>
  <si>
    <t>https://www.peoplenewspapers.com/2023/10/16/new-dallas-private-school-celebrates-inauguration/</t>
  </si>
  <si>
    <t>Started with PK-4 through 2nd grade; expanding through 8th grade by 2029. Goal 12-16 per class.</t>
  </si>
  <si>
    <t>5414 West Northwest Hwy Dallas, TX 75220</t>
  </si>
  <si>
    <t>Green Ivy Silicon Valley</t>
  </si>
  <si>
    <t>https://greenivy.com/our-schools/silicon-valley/</t>
  </si>
  <si>
    <t>https://www.newswire.com/news/nyc-s-acclaimed-green-ivy-international-schools-is-expanding-to-22152360</t>
  </si>
  <si>
    <t>Starting with K, then through 8th. Press release says starting 2024; website says 2023.</t>
  </si>
  <si>
    <t>Tuition for KG.</t>
  </si>
  <si>
    <t>540 Sands Drive
San Jose, CA 95125</t>
  </si>
  <si>
    <t>Winter Garden Christian Academy</t>
  </si>
  <si>
    <t>https://www.wgcacademy.org/</t>
  </si>
  <si>
    <t>Winter Garden</t>
  </si>
  <si>
    <t>https://www.orangeobserver.com/news/2023/oct/18/new-christian-school-coming-to-west-orange-county/</t>
  </si>
  <si>
    <t>305 Beulah Road Winter Garden, FL 34787</t>
  </si>
  <si>
    <t xml:space="preserve">Journeys School for the Gifted and Talented </t>
  </si>
  <si>
    <t>Sylva</t>
  </si>
  <si>
    <t>Fall 2025</t>
  </si>
  <si>
    <t>https://thesouthernscoopnews.com/latest-news/new-jackson-county-private-school-to-begin-taking-applications-november-1</t>
  </si>
  <si>
    <t>Brightmont Academy</t>
  </si>
  <si>
    <t>https://www.brightmontacademy.com/campuses/boca-raton-fl</t>
  </si>
  <si>
    <t>Boca Raton</t>
  </si>
  <si>
    <t>https://www.sun-sentinel.com/2023/10/23/a-new-k-12-private-school-is-opening-in-west-boca-its-first-in-florida-heres-when-and-where/</t>
  </si>
  <si>
    <t>HS: $29,050; MS: $24,500; ES: $28.800</t>
  </si>
  <si>
    <t>Luna Christian Academy</t>
  </si>
  <si>
    <t>https://lunachristianacademy.com/</t>
  </si>
  <si>
    <t>Coconut Creek</t>
  </si>
  <si>
    <t>https://www.tapinto.net/towns/coconut-creek/sections/education/articles/private-school-seeking-approval-for-location-on-coconut-creek-parkway</t>
  </si>
  <si>
    <t>Unclear if opened fall 2023 or not.</t>
  </si>
  <si>
    <t>3720 Coconut Creek Pkwy, Suite J, Coconut Creek Fl 33066</t>
  </si>
  <si>
    <t xml:space="preserve">Venture Academy </t>
  </si>
  <si>
    <t>https://www.venture-academy.org/</t>
  </si>
  <si>
    <t>Chippewa Valley</t>
  </si>
  <si>
    <t>https://www.wqow.com/news/families-get-a-look-at-new-private-christian-school-coming-to-chippewa-valley/article_b96b0164-81d1-11ee-9c2a-03995a2d6898.html</t>
  </si>
  <si>
    <t>K-5</t>
  </si>
  <si>
    <t>989 122nd Street, Chippewa Falls, WI 54729</t>
  </si>
  <si>
    <t>St. Joan of Arc Catholic School</t>
  </si>
  <si>
    <t xml:space="preserve">Bettendorf </t>
  </si>
  <si>
    <t>IO</t>
  </si>
  <si>
    <t>St. Mary's Catholic School</t>
  </si>
  <si>
    <t>https://stmaryswappingers.org/</t>
  </si>
  <si>
    <t>Wappingers Falls</t>
  </si>
  <si>
    <t>https://thegoodnewsroom.org/cardinal-timothy-dolan-visits-reopened-st-marys-school-in-wappingers-falls/</t>
  </si>
  <si>
    <t>Closed in 2019. Reopened at school district's request for PreK in 2023. Growing with KG, multi-age classrooms.</t>
  </si>
  <si>
    <t>2 Convent Avenue
Wappingers Falls, NY, 12590</t>
  </si>
  <si>
    <t xml:space="preserve">Unknown name </t>
  </si>
  <si>
    <t xml:space="preserve">Humphrey </t>
  </si>
  <si>
    <t>https://norfolkdailynews.com/news/merger-on-horizon-for-holy-family-st-francis/article_138624d4-b45b-11ed-99a1-d7f80659042b.html</t>
  </si>
  <si>
    <t>300 S 7th Street
Humphrey, NE 68642</t>
  </si>
  <si>
    <t>Tama-Toledo Christian School</t>
  </si>
  <si>
    <t>https://www.northtamatelegraph.com/news/education/2024/02/01/tama-toledo-christian-school-signs-lease-agreement-begins-renovations/</t>
  </si>
  <si>
    <t>Tama County</t>
  </si>
  <si>
    <t>IA</t>
  </si>
  <si>
    <t>Summer 2025</t>
  </si>
  <si>
    <t>https://www.timesrepublican.com/news/todays-news/2024/01/private-k-8-tama-toledo-christian-school-could-start-classes-as-soon-as-2025/</t>
  </si>
  <si>
    <t>600 Oswego St, Tama, Iowa</t>
  </si>
  <si>
    <t>St Joseph Academy</t>
  </si>
  <si>
    <t>https://pigeon605.com/hybrid-catholic-classical-school-opening-on-campus-of-st-joseph-cathedral/</t>
  </si>
  <si>
    <t>521 N Duluth Ave, Sioux Falls, SD 57104</t>
  </si>
  <si>
    <t>Corban Academy</t>
  </si>
  <si>
    <t>https://www.westhawaiitoday.com/2024/01/22/hawaii-news/new-private-school-hosts-land-dedication-ceremony-in-captain-cook/</t>
  </si>
  <si>
    <t>Captain Cook</t>
  </si>
  <si>
    <t>HI</t>
  </si>
  <si>
    <t>Pacific</t>
  </si>
  <si>
    <t>K-12</t>
  </si>
  <si>
    <t>https://corbanacademy.org/tuition</t>
  </si>
  <si>
    <t>81-6224 Mamalahoa Hwy, Captain Cook, Kona, HI 96704</t>
  </si>
  <si>
    <t>The Pelican School</t>
  </si>
  <si>
    <t>https://www.sfsimplified.com/meet-the-woman-bringing-a-microschool-to-sioux-falls/</t>
  </si>
  <si>
    <t>https://www.pelicanschoolsf.com/</t>
  </si>
  <si>
    <t>The Pelican School Sioux Falls, South Dakota</t>
  </si>
  <si>
    <t>Good Shepherd School</t>
  </si>
  <si>
    <t>https://clarionherald.org/news/second-campus-of-good-shepherd-on-horizon</t>
  </si>
  <si>
    <t>New Orleans</t>
  </si>
  <si>
    <t>LA</t>
  </si>
  <si>
    <t>1839 Agriculture St, New Orleans, LA 70119</t>
  </si>
  <si>
    <t>Tutwiler Microschool Network</t>
  </si>
  <si>
    <t xml:space="preserve">Tutwiler </t>
  </si>
  <si>
    <t xml:space="preserve"> South</t>
  </si>
  <si>
    <t>https://www.prnewswire.com/news-releases/launch-of-the-tutwiler-microschool-network-a-new-chapter-in-education-for-the-mississippi-delta-302053332.html</t>
  </si>
  <si>
    <t>https://www.facebook.com/TutwilerCEC/posts/pfbid02LnfaVkoDt4N2HHXoESXEcq6ykRsDsdLeqNTirj7o2a45DFZHuX7chMQyJyUfC8b7l</t>
  </si>
  <si>
    <t>Academy of Media Arts</t>
  </si>
  <si>
    <t>Los Angeles</t>
  </si>
  <si>
    <t>Gowensville Christian School</t>
  </si>
  <si>
    <t>Landrum</t>
  </si>
  <si>
    <t>SC</t>
  </si>
  <si>
    <t>https://greercitizen.com/news/private-christian-school-launch-august</t>
  </si>
  <si>
    <t>Hybrid schedule, Monday-Thursday from 8am-2pm w/Friday Flex days.</t>
  </si>
  <si>
    <t>https://www.gowensvillechristianschool.com/</t>
  </si>
  <si>
    <t>5650 SC Hwy 14
Landrum, SC 29356</t>
  </si>
  <si>
    <t>Cristo Rey Jesuit Seattle</t>
  </si>
  <si>
    <t>Seattle</t>
  </si>
  <si>
    <t>https://www.bizjournals.com/seattle/news/2024/01/30/cristo-rey-expands-seattle.html</t>
  </si>
  <si>
    <t>Initial class of 100 9th graders with a grade added each year.</t>
  </si>
  <si>
    <t>Every CRJS student receives financial aid. Families never pay more than $250/month ($2,500/annually). The total cost of education is supplemented by the student's Corporate Work Study earnings.</t>
  </si>
  <si>
    <t>10001 57th Avenue S.
SeattleWA98178</t>
  </si>
  <si>
    <t>School of the Arts and the Boys Academy</t>
  </si>
  <si>
    <t>https://www.sabacademy.org/about-us</t>
  </si>
  <si>
    <t>Pitssboro</t>
  </si>
  <si>
    <t>State Board of Education appeals panel recommends closing all-boys charter school • NC Newsline</t>
  </si>
  <si>
    <t>https://www.sabacademy.org/tuition-information</t>
  </si>
  <si>
    <t>69 Robyns Nest Lane, Pittsboro, NC 27312</t>
  </si>
  <si>
    <t>Beyond The Spectrum Institute</t>
  </si>
  <si>
    <t>Sanctuary for autistic students. What to know about new autism school in Fayetteville. (aol.com)</t>
  </si>
  <si>
    <t>Enrollment | Beyond the Spectrum</t>
  </si>
  <si>
    <t>803 Stamper Road, Fayetteville, NC, 28303, USA</t>
  </si>
  <si>
    <t>Chesterton Academy of St. Benedict,</t>
  </si>
  <si>
    <t>https://www.chestertonacademystbenedict.org/</t>
  </si>
  <si>
    <t>Worthington</t>
  </si>
  <si>
    <t>Expected enrollment to start</t>
  </si>
  <si>
    <t>5830 North High Street
Worthington, Ohio 43085</t>
  </si>
  <si>
    <t>Hiba Academy</t>
  </si>
  <si>
    <t>https://wellington-landing-page.it-consultis.net/en</t>
  </si>
  <si>
    <t>https://www.sfgate.com/bayarea/article/new-private-school-set-to-open-san-francisco-19261633.php</t>
  </si>
  <si>
    <t>Hiba Academy Bay Area
44 Montgomery Street
Suites 401-402
San Francisco, CA 94104</t>
  </si>
  <si>
    <t>Holy Cross High School</t>
  </si>
  <si>
    <t>Dover</t>
  </si>
  <si>
    <t>DE</t>
  </si>
  <si>
    <t>https://thedialog.org/featured/new-holy-cross-high-school-in-dover-planned-for-fall-2025-opening-with-tom-fertal-on-board-as-president/</t>
  </si>
  <si>
    <t>Calvary Christian Academy</t>
  </si>
  <si>
    <t>Troy</t>
  </si>
  <si>
    <t>https://www.lincolnnewsnow.com/living/progress-and-pride-calvary-christian-academy-to-open-school-in-late-summer/article_e7f994a8-ede9-11ee-ad20-2faa2e97d8ff.html</t>
  </si>
  <si>
    <t>Hybrid school (2 days/wk)</t>
  </si>
  <si>
    <t>28 Snyder Rd, Troy, MO, 63379</t>
  </si>
  <si>
    <t>The Frazer School</t>
  </si>
  <si>
    <t>https://www.gainesville.com/story/news/education/2024/04/16/private-frazer-school-will-focus-on-academic-competition/73341066007/</t>
  </si>
  <si>
    <t>1520 NW 34 St. Gainesville, FL, 32605</t>
  </si>
  <si>
    <t>Micah Studios</t>
  </si>
  <si>
    <t>Newport</t>
  </si>
  <si>
    <t>https://www.vnews.com/Newport-micro-school-provides-alternative-education-54758045</t>
  </si>
  <si>
    <t>https://www.micahstudios.org/home</t>
  </si>
  <si>
    <t>2 Cedar St, Newport, NH 03773</t>
  </si>
  <si>
    <t>Y</t>
  </si>
  <si>
    <t>AMPed Hybrid Academy</t>
  </si>
  <si>
    <t>Farmington Hills</t>
  </si>
  <si>
    <t>https://www.theoaklandpress.com/2024/04/20/lone-microschool-in-the-state-opened-in-farmington-hills/</t>
  </si>
  <si>
    <t>https://amped.education/academy/</t>
  </si>
  <si>
    <t>28611 W 12 Mile Rd, Suite 200
Farmington Hills, MI 48334</t>
  </si>
  <si>
    <t>Waters Academy</t>
  </si>
  <si>
    <t>North Attleboro</t>
  </si>
  <si>
    <t>https://www.thesunchronicle.com/news/local_news/new-private-school-coming-to-north-attleboro-in-the-fall/article_721b431d-5543-52b0-a7df-6133b50d740a.html</t>
  </si>
  <si>
    <t>https://www.wpri.com/news/local-news/se-mass/new-private-school-opening-in-north-attleboro/</t>
  </si>
  <si>
    <t>57 John L Dietsch Square, North Attleborough, MA 02763</t>
  </si>
  <si>
    <t>ParagonED - Frisco</t>
  </si>
  <si>
    <t>https://paragoned.org/</t>
  </si>
  <si>
    <t>Frisco</t>
  </si>
  <si>
    <t>https://communityimpact.com/dallas-fort-worth/frisco/education/2024/04/22/paragoned-to-offer-private-school-classes-in-frisco/</t>
  </si>
  <si>
    <t>Expecting to start with 20-30 with eventual cap of 60 (based on Southlake campus).</t>
  </si>
  <si>
    <t>$12,500 K-8, $15,000 high school. Hybrid schedule.</t>
  </si>
  <si>
    <t xml:space="preserve">4681 Ohio Dr #108 Frisco, TX 75035 
</t>
  </si>
  <si>
    <t>Rockford or Aquin Catholic Microschool</t>
  </si>
  <si>
    <t>Freeport</t>
  </si>
  <si>
    <t>IL</t>
  </si>
  <si>
    <t>https://www.wrex.com/news/rockford-diocese-cancel-high-school-classes-at-aquin-catholic-school-for-2024/article_130984d2-0811-11ef-b312-1b471e31553c.html</t>
  </si>
  <si>
    <t>K-12 school closing; K-8 microschool opening with potential for high school at some point.</t>
  </si>
  <si>
    <t>1419 South Galena Avenue Freeport, Illinois 61032</t>
  </si>
  <si>
    <t xml:space="preserve">White Horse Academy
</t>
  </si>
  <si>
    <t>https://www.whitehorseclassical.org/</t>
  </si>
  <si>
    <t>Normal</t>
  </si>
  <si>
    <t>https://pantagraph.com/news/local/education/classical-christian-school-to-open-in-normal-this-fall/article_812a2520-073a-11ef-894e-0f5c365f6271.html</t>
  </si>
  <si>
    <t>M-F, half day</t>
  </si>
  <si>
    <t>1811 N Linden St, Normal, IL 61761</t>
  </si>
  <si>
    <t xml:space="preserve">Massachusetts Mayflower Academy </t>
  </si>
  <si>
    <t>https://www.massachusettsmayfloweracademy.org/</t>
  </si>
  <si>
    <t>Maynard</t>
  </si>
  <si>
    <t>https://ktla.com/business/press-releases/ein-presswire/708114265/massachusetts-mayflower-academy-now-accepting-applications-for-2024-2025-school-year/</t>
  </si>
  <si>
    <t>4 Mill &amp; Main Place Suite 510 Maynard, MA 01754</t>
  </si>
  <si>
    <t>Pathway Christian Academy</t>
  </si>
  <si>
    <t>https://www.pathwayca.org/</t>
  </si>
  <si>
    <t>https://www.greenfieldreporter.com/2024/05/06/pathway-christian-private-academy-has-received-dozens-of-applications-for-fall-enrollment/</t>
  </si>
  <si>
    <t>Starting K-2, planning to grow to K-12</t>
  </si>
  <si>
    <t>Discounted to $7,800 for inagural year</t>
  </si>
  <si>
    <t>1176 E McKenzie Rd, Greenfield, IN 46140</t>
  </si>
  <si>
    <t>Foundation Christian Academy</t>
  </si>
  <si>
    <t>https://foundationca.org/</t>
  </si>
  <si>
    <t>Bloomington</t>
  </si>
  <si>
    <t>https://www.wglt.org/local-news/2024-05-16/new-christian-school-in-bloomington-starts-enrolling-students-as-construction-fundraising-continue</t>
  </si>
  <si>
    <t>$5,200 K-8
$5,500 9-12</t>
  </si>
  <si>
    <t>https://foundationca.org/wp-content/uploads/2024/05/Foundation-Christian-Academy-Tuition-2024-2025-School-Year.pdf</t>
  </si>
  <si>
    <t>18180 US Highway 150
Bloomington, IL 61705</t>
  </si>
  <si>
    <t xml:space="preserve">Chesterton Academy of Mater Dei </t>
  </si>
  <si>
    <t>https://chestertonmaterdei.org/</t>
  </si>
  <si>
    <t>Bend</t>
  </si>
  <si>
    <t xml:space="preserve"> OR</t>
  </si>
  <si>
    <t>https://www.bendbulletin.com/localstate/catholic-high-school-to-open-in-central-oregon-in-fall-2025/article_dc6447fa-114d-11ef-96ab-23f45236bcfa.html</t>
  </si>
  <si>
    <t>https://www.centraloregondaily.com/news/local/bend-catholic-school-chesterton-academy-mater-dei/article_eaefbaaa-0c31-11ef-ad71-c322fa71e7fe.html</t>
  </si>
  <si>
    <t>Mailing Address: 20897 SE Humber Lane
Bend, OR, 97702</t>
  </si>
  <si>
    <t>Schoolhouse Academy</t>
  </si>
  <si>
    <t>https://www.schoolhouseacademy.net/</t>
  </si>
  <si>
    <t>Wilton</t>
  </si>
  <si>
    <t>https://www.wiltonbulletin.com/news/article/wilton-school-our-lady-fatima-schoolhouse-academy-18109873.php</t>
  </si>
  <si>
    <t>https://www.schoolhouseacademy.net/admissions</t>
  </si>
  <si>
    <t xml:space="preserve">229 Danbury Rd, Wilton, Connecticut, 06897
</t>
  </si>
  <si>
    <t>South Berkeley Christian Academy</t>
  </si>
  <si>
    <t>https://sbcacademy.org/</t>
  </si>
  <si>
    <t>Inwood</t>
  </si>
  <si>
    <t>https://www.journal-news.net/journal-news/south-berkeley-baptist-church-announces-new-school-for-2024-2025-school-year-and-open-house/article_7755a42e-b671-5c9c-b4a1-a93dbfffa9b2.html</t>
  </si>
  <si>
    <t>3rd-10th grades to start</t>
  </si>
  <si>
    <t>https://sbcacademy.org/tuition-and-fees/</t>
  </si>
  <si>
    <t>246 Mineral Dr, Inwood, WV, 25428, USA</t>
  </si>
  <si>
    <t>Nativity High School</t>
  </si>
  <si>
    <t>https://www.nativityhs.org/</t>
  </si>
  <si>
    <t>https://www.sfchronicle.com/sf/article/new-catholic-high-school-19472565.php</t>
  </si>
  <si>
    <t>360 9th Ave, San Francisco, CA 94118</t>
  </si>
  <si>
    <t>Woodlands Forest School</t>
  </si>
  <si>
    <t>https://woodlandsforest.school/</t>
  </si>
  <si>
    <t>Magnolia</t>
  </si>
  <si>
    <t>https://www.houstonchronicle.com/neighborhood/woodlands/article/woodlands-forest-school-campus-19482097.php</t>
  </si>
  <si>
    <t>expected enrollment includes preschool</t>
  </si>
  <si>
    <t>8916 West Ln, Magnolia, TX, 77354</t>
  </si>
  <si>
    <t>ParagonEd</t>
  </si>
  <si>
    <t>Various part-time options available at pro-rated cost.</t>
  </si>
  <si>
    <t>https://paragoned.org/faqs/</t>
  </si>
  <si>
    <t>Not finalized yet</t>
  </si>
  <si>
    <t>Alpha School - San Francisco</t>
  </si>
  <si>
    <r>
      <rPr>
        <rFont val="Calibri"/>
        <color rgb="FF1155CC"/>
        <sz val="11.0"/>
        <u/>
      </rPr>
      <t>https://alpha.school/san-francisco/</t>
    </r>
  </si>
  <si>
    <t>K-10. Newly offering high school courses</t>
  </si>
  <si>
    <t>3741 Buchanan St, San Francisco, CA 94123</t>
  </si>
  <si>
    <t>Alpha School Santa Barbara</t>
  </si>
  <si>
    <r>
      <rPr>
        <rFont val="Calibri"/>
        <color rgb="FF1155CC"/>
        <sz val="11.0"/>
        <u/>
      </rPr>
      <t>https://alpha.school/santa-barbara/</t>
    </r>
  </si>
  <si>
    <t>27 East Cota St, Santa Barbara, CA 93101</t>
  </si>
  <si>
    <t>Alpha School - Orange County</t>
  </si>
  <si>
    <r>
      <rPr>
        <rFont val="Calibri"/>
        <color rgb="FF1155CC"/>
        <sz val="11.0"/>
        <u/>
      </rPr>
      <t>https://alpha.school/orange-county/</t>
    </r>
  </si>
  <si>
    <t>Lake Forest</t>
  </si>
  <si>
    <t>26462 Towne Centre Dr, Lake Forest, CA 92610</t>
  </si>
  <si>
    <t>Alpha School - Palm Beach</t>
  </si>
  <si>
    <r>
      <rPr>
        <rFont val="Calibri"/>
        <color rgb="FF1155CC"/>
        <sz val="11.0"/>
        <u/>
      </rPr>
      <t>https://alpha.school/palm-beach/</t>
    </r>
  </si>
  <si>
    <r>
      <rPr>
        <rFont val="Calibri"/>
        <color rgb="FF1155CC"/>
        <sz val="11.0"/>
        <u/>
      </rPr>
      <t>https://www.axios.com/local/tampa-bay/2025/09/02/alpha-school-ai-private-school-tampa?utm_source=chatgpt.com</t>
    </r>
  </si>
  <si>
    <t>353 Hiatt Dr, Palm Beach Gardens, FL 33418</t>
  </si>
  <si>
    <t>Alpha School - Miami</t>
  </si>
  <si>
    <r>
      <rPr>
        <rFont val="Calibri"/>
        <color rgb="FF1155CC"/>
        <sz val="11.0"/>
        <u/>
      </rPr>
      <t>https://alpha.school/miami/</t>
    </r>
  </si>
  <si>
    <t>Miami</t>
  </si>
  <si>
    <r>
      <rPr>
        <rFont val="Calibri"/>
        <color rgb="FF1155CC"/>
        <sz val="11.0"/>
        <u/>
      </rPr>
      <t>https://communitynewspapers.com/aventura-news/alpha-school-miami-the-future-of-education-in-our-community/</t>
    </r>
  </si>
  <si>
    <t>K-10</t>
  </si>
  <si>
    <t>8000 SW 56th St, Miami, FL 33155</t>
  </si>
  <si>
    <t>Freedom Christian Academy</t>
  </si>
  <si>
    <t>https://www.fca-eagles.com/</t>
  </si>
  <si>
    <t>Burlington</t>
  </si>
  <si>
    <t>k-5 is $8,000
6-12 is $4,500 and students are in online classes. School hopes to offer in-person for older kids eventually.</t>
  </si>
  <si>
    <t>https://www.fca-eagles.com/tuition</t>
  </si>
  <si>
    <t>2401 Eric Lane, 
Burlington, NC 27215</t>
  </si>
  <si>
    <t xml:space="preserve">Summit Christian Academy </t>
  </si>
  <si>
    <t>https://www.summitchristianwv.com/</t>
  </si>
  <si>
    <t>Princeton</t>
  </si>
  <si>
    <t>https://www.bdtonline.com/news/summit-christian-academy-opening-in-august/article_3136f564-4382-11ef-8ef1-5746496bd023.html</t>
  </si>
  <si>
    <t>gr 5-12</t>
  </si>
  <si>
    <t>Estimate based on Hope scholarship covering 85% of tuition and fees per school's fb page.</t>
  </si>
  <si>
    <t>https://www.facebook.com/summitfalconswv</t>
  </si>
  <si>
    <t>984 Halls Ridge Rd, Princeton, WV 24739</t>
  </si>
  <si>
    <t>Solid Rock Academy</t>
  </si>
  <si>
    <t>https://www.solidrockacademyevanston.org/</t>
  </si>
  <si>
    <t>Evanston</t>
  </si>
  <si>
    <t>WY</t>
  </si>
  <si>
    <t>https://www.uintacountyherald.com/stories/new-private-school-opening-in-evanston,37735</t>
  </si>
  <si>
    <t>Starting with K-4, hope K-12 eventually.</t>
  </si>
  <si>
    <t>https://www.solidrockacademyevanston.org/tuition</t>
  </si>
  <si>
    <t>163 Bear River Dr, Evanston, WY 82930</t>
  </si>
  <si>
    <t>Kairos Classical Christian Academy</t>
  </si>
  <si>
    <t>https://www.kairoschristian.org/</t>
  </si>
  <si>
    <t>Gastonia</t>
  </si>
  <si>
    <r>
      <rPr>
        <rFont val="Calibri"/>
        <color rgb="FF1155CC"/>
        <sz val="11.0"/>
        <u/>
      </rPr>
      <t>https://www.gastongazette.com/story/news/local/2024/07/30/church-to-open-private-classical-christian-school/74585664007/</t>
    </r>
    <r>
      <rPr>
        <rFont val="Calibri"/>
        <color rgb="FF000000"/>
        <sz val="11.0"/>
      </rPr>
      <t xml:space="preserve">   </t>
    </r>
    <r>
      <rPr>
        <rFont val="Calibri"/>
        <color rgb="FF1155CC"/>
        <sz val="11.0"/>
        <u/>
      </rPr>
      <t>https://www.gastongazette.com/story/news/local/2025/06/14/classical-christian-school-to-open-in-august-in-gastonia/83772885007/</t>
    </r>
  </si>
  <si>
    <t>https://www.kairoschristian.org/_files/ugd/56bf97_a8843d2bfd4a4b0bb1b44659c34dd310.pdf</t>
  </si>
  <si>
    <t>317 S Chester St, Gastonia, NC 28052</t>
  </si>
  <si>
    <t>Xavier Jesuit Academy</t>
  </si>
  <si>
    <t>https://www.xavierja.org/</t>
  </si>
  <si>
    <t>Cincinnati</t>
  </si>
  <si>
    <t>https://www.cincinnati.com/story/news/education/2024/07/31/new-catholic-school-to-open-in-bond-hill-this-august/74351158007/</t>
  </si>
  <si>
    <t>Starting with 3-5, plan through 8th eventually.</t>
  </si>
  <si>
    <t xml:space="preserve">Income-based tuition model </t>
  </si>
  <si>
    <t>https://www.xavierja.org/admissions</t>
  </si>
  <si>
    <t>1601 California Ave, Cincinnati, OH 45237</t>
  </si>
  <si>
    <t>GT School</t>
  </si>
  <si>
    <t>https://gt.school/</t>
  </si>
  <si>
    <t>https://www.wilcosun.com/news-georgetown/new-private-school-offers-two-hour-learning-model</t>
  </si>
  <si>
    <t xml:space="preserve">GT has the capacity to enroll 100 students, but a final enrollment count has not been approved for the fall. </t>
  </si>
  <si>
    <t xml:space="preserve">2351 Westinghouse Rd, Georgetown, TX 78626
</t>
  </si>
  <si>
    <t>Fiat Classical Academy</t>
  </si>
  <si>
    <t>https://fiatclassicalacademy.org/</t>
  </si>
  <si>
    <t>Aurora</t>
  </si>
  <si>
    <t>https://www.eaglecountryonline.com/news/local-news/new-catholic-high-school-opens-this-august-in-dearborn-county/</t>
  </si>
  <si>
    <t>Starting enrollment of 11 in gr. 9-10. Will open 11th next year and then 12th the following year.</t>
  </si>
  <si>
    <t>https://fiatclassicalacademy.org/tuition-financial-aid/</t>
  </si>
  <si>
    <t xml:space="preserve">211 Fourth Street, Aurora, IN 47001 </t>
  </si>
  <si>
    <t xml:space="preserve"> Kingdom Warrior Academy Christian school</t>
  </si>
  <si>
    <t>Bethany</t>
  </si>
  <si>
    <t>https://www.bethanyclipper.com/headlines/christian-school-to-open-in-fall-at-kirkley-chapel/</t>
  </si>
  <si>
    <t>27831 E 250th Ave, Bethany, MO 64424</t>
  </si>
  <si>
    <t>Ad Astra</t>
  </si>
  <si>
    <t>https://www.adastraschool.org/</t>
  </si>
  <si>
    <t>Bastrop County</t>
  </si>
  <si>
    <t>https://observer.com/2024/08/elon-musk-opening-stem-private-school-texas/</t>
  </si>
  <si>
    <t>Tuition will be subsidized the first year and in line with other local private schools after that.</t>
  </si>
  <si>
    <t>https://www.adastraschool.org/admissions</t>
  </si>
  <si>
    <t xml:space="preserve">Kingdom Heights Preparatory School </t>
  </si>
  <si>
    <t>https://khroyals.com/</t>
  </si>
  <si>
    <t>Huntsville</t>
  </si>
  <si>
    <t>AL</t>
  </si>
  <si>
    <t>https://www.waaytv.com/news/the-rock-church-to-open-new-k-12-private-school-on-former-butler-campus/article_ddf48bb4-5899-11ef-a0fd-4726863067cb.html</t>
  </si>
  <si>
    <t>3401 Holmes Ave NW, Huntsville, AL, 35816</t>
  </si>
  <si>
    <t>Our Lady of Fatima Academy</t>
  </si>
  <si>
    <t>https://www.shrineoffatima.com/olfacademy</t>
  </si>
  <si>
    <t>Weeki Wachee</t>
  </si>
  <si>
    <t>https://www.hernandosun.com/2024/08/09/parents-new-traditional-catholic-school-for-grades-k-12-is-opening-this-fall/</t>
  </si>
  <si>
    <t>10360 Atlanta Ave, Weeki Wachee, FL, 34614</t>
  </si>
  <si>
    <t>The Little School</t>
  </si>
  <si>
    <t>Homestead</t>
  </si>
  <si>
    <t>https://www.catholicnewsagency.com/news/258799/a-catholic-k-4-school-for-low-income-students-opens-in-miami</t>
  </si>
  <si>
    <t>13350 SW 314th Street, Homestead, FL 33033</t>
  </si>
  <si>
    <t>Pathfinder Institute</t>
  </si>
  <si>
    <t>www.pathfinderinstitutewv.com</t>
  </si>
  <si>
    <t>Evans</t>
  </si>
  <si>
    <t>https://www.wvnews.com/jacksonnews/new-microschool-celebrates-with-ribbon-cutting/image_2baa812c-5db5-11ef-90ab-278fc4e82a52.html</t>
  </si>
  <si>
    <t>https://www.wvnews.com/jacksonnews/schooling-options-expand-in-jackson-county/article_2e467c94-5a8e-11ef-a0fc-fb4551102946.html</t>
  </si>
  <si>
    <t>3668 Evansview Rd, Evans, WV, 25241</t>
  </si>
  <si>
    <t>Yes</t>
  </si>
  <si>
    <t>Genesis Academy</t>
  </si>
  <si>
    <t>https://www.genesisacademy-sd.org/</t>
  </si>
  <si>
    <t>https://www.dakotanewsnow.com/2024/08/14/new-microschool-sioux-falls-looks-enroll-students-upcoming-school-year/</t>
  </si>
  <si>
    <t>4101 S. Southeastern Ave Sioux Falls, SD 57103</t>
  </si>
  <si>
    <t>Chesterton Academy of St. John the Evangelis</t>
  </si>
  <si>
    <t>https://www.chestertonsje.org/</t>
  </si>
  <si>
    <t>Charlottesville</t>
  </si>
  <si>
    <t>https://dailyprogress.com/news/local/education/catholic-focused-high-school-to-open-in-charlottesville/article_13a5d566-542a-11ef-889c-1fb13a720937.html</t>
  </si>
  <si>
    <t>https://www.chestertonsje.org/admissions/#tuition</t>
  </si>
  <si>
    <t>256 E High St. | Charlottesville, VA 22902</t>
  </si>
  <si>
    <t>Emet Classical Academy</t>
  </si>
  <si>
    <t>https://emetclassicalacademy.org/</t>
  </si>
  <si>
    <t>Manhattan</t>
  </si>
  <si>
    <t>Jewish</t>
  </si>
  <si>
    <t>https://www.jpost.com/diaspora/article-816849</t>
  </si>
  <si>
    <t>Initially planned to begin with only a small sixth grade and add a grade each subsequent year; opening with 40 students in fifth, sixth, and ninth grade classes due to interest. Expect 250 students in middle and high school by 2027</t>
  </si>
  <si>
    <t>https://emetclassicalacademy.org/tuition/</t>
  </si>
  <si>
    <t>San Xavier Mission School</t>
  </si>
  <si>
    <t>https://sanxaviermission.org/school</t>
  </si>
  <si>
    <t>Tucson</t>
  </si>
  <si>
    <t>https://news.diocesetucson.org/news/san-xavier-mission-school-is-open</t>
  </si>
  <si>
    <t>Originally opened in 1864. Closed in 2022 citing lack of enrollment. Re-opened August 2024 after a lot of community effort. K-2 with plans to add additional grades.</t>
  </si>
  <si>
    <t>https://www.kgun9.com/news/community-inspired-journalism/westside-news/san-xavier-mission-school-reopens-after-two-years-of-being-closed</t>
  </si>
  <si>
    <t>1950 W San Xavier Rd, Tucson, AZ 85746</t>
  </si>
  <si>
    <t>St. Peter the Apostle Catholic School</t>
  </si>
  <si>
    <t>https://stpetersboerne.com/school-updates</t>
  </si>
  <si>
    <t xml:space="preserve">Boerne </t>
  </si>
  <si>
    <t>https://www.expressnews.com/hill-country/article/st-peter-boerne-catholic-church-school-19446930.php</t>
  </si>
  <si>
    <t>The school will initially serve pre-K to either fifth or sixth grade and eventually up to the eighth grade.</t>
  </si>
  <si>
    <t>202 W Kronkosky St, Boerne, TX, 78006</t>
  </si>
  <si>
    <t>First Principles Academy</t>
  </si>
  <si>
    <t>https://saltandlightbaptist.org/school/</t>
  </si>
  <si>
    <t>La Grange</t>
  </si>
  <si>
    <t>https://www2.cbn.com/news/us/church-launches-tuition-free-school-after-public-library-pushes-lgbt-books-pastors-daughter</t>
  </si>
  <si>
    <t>Opened with 60 students, grades K-6. Eventually planning to expand and educate up to 400 students.</t>
  </si>
  <si>
    <t>Tuition-free using donations.</t>
  </si>
  <si>
    <t>1378 L’Esprit Parkway
La Grange, KY 40031</t>
  </si>
  <si>
    <t xml:space="preserve">Homestead Learning </t>
  </si>
  <si>
    <t>https://www.homesteadlearning.org/</t>
  </si>
  <si>
    <t>Gillette</t>
  </si>
  <si>
    <t>https://cowboystatedaily.com/2024/09/14/gillette-mothers-create-their-own-little-schoolhouse-on-the-wyoming-prairie/</t>
  </si>
  <si>
    <t>Starting with 8, may grow</t>
  </si>
  <si>
    <t>Tution for 4 days a week. Prorated for fewer days.</t>
  </si>
  <si>
    <t>1120 State Highway 50, Gillette, WY, 82718</t>
  </si>
  <si>
    <t xml:space="preserve">Crestwood Heights Academy </t>
  </si>
  <si>
    <t>Birmingham</t>
  </si>
  <si>
    <t>https://www.bizjournals.com/birmingham/news/2024/10/16/new-school-to-open-in-birmingham-in-2025.html</t>
  </si>
  <si>
    <t>Nerd Academy</t>
  </si>
  <si>
    <t>https://thenerdacademy.com/</t>
  </si>
  <si>
    <t>Odessa</t>
  </si>
  <si>
    <t>https://www.firstalert7.com/2024/12/13/nerd-academy-combining-education-with-oil-gas-odessa/</t>
  </si>
  <si>
    <t>3001 E University Blvd, Odessa, TX, 79762</t>
  </si>
  <si>
    <t>J.S. Bryant School</t>
  </si>
  <si>
    <t>https://www.jsbryantschool.org/</t>
  </si>
  <si>
    <t>Berkshire Foothills</t>
  </si>
  <si>
    <t>https://www.wbur.org/radioboston/2024/12/10/lgbtqia-private-high-school-massachusetts</t>
  </si>
  <si>
    <t>Beaufort County Micro School</t>
  </si>
  <si>
    <t>https://www.beaufortmicroschool.org/</t>
  </si>
  <si>
    <t>Washington</t>
  </si>
  <si>
    <t>https://www.witn.com/2024/12/06/beaufort-county-celebrates-first-of-its-kind-micro-school-enc/</t>
  </si>
  <si>
    <t>Starting in January 2025.</t>
  </si>
  <si>
    <t>601 East 11th Street Washington, NC 27889</t>
  </si>
  <si>
    <t>Waverly Christian School</t>
  </si>
  <si>
    <t>https://www.waverlychristian.com/</t>
  </si>
  <si>
    <t>https://www.newspressnow.com/news/regional_news/iowa/new-private-school-waverly-christian-opening-next-school-year-accepting-applications/article_b51d83b5-5cd3-5b32-abee-741794cd5e71.html</t>
  </si>
  <si>
    <t>Tuition will be set at $750 above Iowa ESA amount</t>
  </si>
  <si>
    <t>1110 4th St SW, Waverly, IA, 50677, USA</t>
  </si>
  <si>
    <t>Adir Academy</t>
  </si>
  <si>
    <t>https://sinaischools.org/adir-academy/</t>
  </si>
  <si>
    <t>https://www.jta.org/2025/02/25/ny/the-first-jewish-day-school-for-students-with-mental-health-challenges-is-set-to-open-in-nyc</t>
  </si>
  <si>
    <t>Part of Sinai Schools</t>
  </si>
  <si>
    <t>St. Thomas the Apostle Catholic School</t>
  </si>
  <si>
    <t>https://www.stthomascatholic.com/school</t>
  </si>
  <si>
    <t>Montevallo</t>
  </si>
  <si>
    <t>https://www.shelbycountyreporter.com/2025/02/26/st-thomas-the-apostle-catholic-church-opening-new-elementary-school/</t>
  </si>
  <si>
    <t>Starting with K-2 (max 18 per class).</t>
  </si>
  <si>
    <t>80 Saint Thomas Way, Montevallo, AL 35115</t>
  </si>
  <si>
    <t>Bishop Ludden/Grimes</t>
  </si>
  <si>
    <t>https://ludden-grimes.org/</t>
  </si>
  <si>
    <t>Syracuse</t>
  </si>
  <si>
    <t>Apogee St Pete</t>
  </si>
  <si>
    <t>https://apogeestpete.com/</t>
  </si>
  <si>
    <t>St. Petersburg</t>
  </si>
  <si>
    <t>https://stpetecatalyst.com/local-couple-to-launch-private-school-in-st-pete/</t>
  </si>
  <si>
    <t>Goal is 20 to start</t>
  </si>
  <si>
    <t>600 49th St N, Saint Petersburg, FL, 33710, USA</t>
  </si>
  <si>
    <t xml:space="preserve">Learn And Play Montessori school </t>
  </si>
  <si>
    <t>https://www.learnandplaymontessori.com/san-carlos/</t>
  </si>
  <si>
    <t>San Carlos</t>
  </si>
  <si>
    <t>https://patch.com/california/sancarlos/san-carlos-montessori-school-celebrates-grand-opening</t>
  </si>
  <si>
    <t>daycare, preK, KG</t>
  </si>
  <si>
    <t>510 Laurel St, San Carlos, CA 94070</t>
  </si>
  <si>
    <t>Alpha School - Tampa</t>
  </si>
  <si>
    <t>https://alpha.school/tampa/</t>
  </si>
  <si>
    <t>Tampa</t>
  </si>
  <si>
    <t>https://www.fox13news.com/news/new-school-coming-tampa-will-be-driven-artificial-intelligence</t>
  </si>
  <si>
    <t>AI-powered school</t>
  </si>
  <si>
    <t>4420 N Dale Mabry Hwy, Tampa, FL 33618</t>
  </si>
  <si>
    <t>Unnamed Catholic High School</t>
  </si>
  <si>
    <t>Cary</t>
  </si>
  <si>
    <t>https://www.wral.com/news/education/new-catholic-high-school-cary-2028-cardinal-gibbons-may-2025/</t>
  </si>
  <si>
    <t>801 Buck Jones Rd, Raleigh, NC, 27606, USA</t>
  </si>
  <si>
    <t>Christian Crossroads Academy</t>
  </si>
  <si>
    <t>https://www.christiancrossroadsacademy.org/</t>
  </si>
  <si>
    <t>Stanley</t>
  </si>
  <si>
    <t>Classical Christian (nondenominational)</t>
  </si>
  <si>
    <t>https://www.watfordcitynd.com/latest-news/new-classical-christian-academy-planned-for-bakken-in-fall-of-2026/</t>
  </si>
  <si>
    <t>New classical Christian academy in the Bakken oil region of western North Dakota, launching Fall 2026. Spearheaded by a well-known local family (Danita Bye as Administrator and Board Member). Future home is a repurposed lumberyard at the corner of Highways 2 and 8 in Stanley. Will offer families in Stanley and surrounding rural/energy-rich communities an alternative to traditional public and private schooling. Part of a broader national classical Christian education movement (Association of Classical Christian Schools membership has doubled over the past decade). Mission: "To be a learning community that provides classical Christian education, equipping students to excel in academics, think critically, and live for God's glory." Will serve primary school grades (K-3 mentioned in aide job posting).</t>
  </si>
  <si>
    <t>Not yet announced</t>
  </si>
  <si>
    <t>https://classicalchristian.org/job/christian-crossroads-academy-midwest-152-start-up-school-headmaster/</t>
  </si>
  <si>
    <t>Hwy 2 and Hwy 8
 Stanley, ND 58784</t>
  </si>
  <si>
    <t>No</t>
  </si>
  <si>
    <t>Alliance of Redeemed Kids (ARK) Academy</t>
  </si>
  <si>
    <t>https://arkeducationacademy.org/</t>
  </si>
  <si>
    <t>Holland</t>
  </si>
  <si>
    <t>https://www.pipestonestar.com/articles/a-new-school-is-scheduled-to-open-this-fall-in-woodstock/</t>
  </si>
  <si>
    <t xml:space="preserve">1451 150th Ave, Holland, MN 56139
</t>
  </si>
  <si>
    <t>X</t>
  </si>
  <si>
    <t>Star City Christian Academy</t>
  </si>
  <si>
    <t>https://starcitychristianacademy.com/</t>
  </si>
  <si>
    <t>Star City</t>
  </si>
  <si>
    <t>AR</t>
  </si>
  <si>
    <t>https://katv.com/newsletter-daily/new-private-school-in-star-city-opens-doors-with-education-freedom-account-governor-sarah-huckabee-sanders-christian-bible-classes-micro-school-education-curriculum-teachers-office-administrator-academy</t>
  </si>
  <si>
    <t>Fully covered by Arkansas Educational Freedom Account (EFA) Program</t>
  </si>
  <si>
    <t>111 N. Lincoln Ave.  Star City, AR 71667</t>
  </si>
  <si>
    <t>Springfield Lutheran High School</t>
  </si>
  <si>
    <t>https://springfieldlutheranhs.org/</t>
  </si>
  <si>
    <t>Springfield</t>
  </si>
  <si>
    <t>https://www.news-leader.com/story/news/education/2025/06/06/springfield-lutheran-high-school-opening-august-2025/83877153007/</t>
  </si>
  <si>
    <t>Starting with up to 25 students in 9th grade and adding a grade each year.</t>
  </si>
  <si>
    <t>1415 S Holland Ave, Springfield, MO, 65807</t>
  </si>
  <si>
    <t xml:space="preserve"> Thomas More Classical School</t>
  </si>
  <si>
    <t>https://thomasmoreclassical.org/</t>
  </si>
  <si>
    <t>Achorage</t>
  </si>
  <si>
    <t>AK</t>
  </si>
  <si>
    <t>https://alaskawatchman.com/2025/06/12/hillsdale-college-partnered-classical-school-to-open-in-anchorage-next-fall/</t>
  </si>
  <si>
    <t>Hillsdale partner</t>
  </si>
  <si>
    <t>Embrace Academy</t>
  </si>
  <si>
    <t>https://embraceacademylv.com/</t>
  </si>
  <si>
    <t>https://963kklz.com/2025/06/17/groundbreaking-new-private-school-opening-in-las-vegas/</t>
  </si>
  <si>
    <t>Embrace is an "inclusive" school, aimed at neurodiverse and neurotypical students.</t>
  </si>
  <si>
    <t>10100 Banburry Cross Drive; Las Vegas, NV 89144</t>
  </si>
  <si>
    <t xml:space="preserve">St. Jerome Institute </t>
  </si>
  <si>
    <t>https://stjeromeinstitute.org/nova/</t>
  </si>
  <si>
    <t>https://www.catholicworldreport.com/2025/06/19/update-classical-catholic-high-school-in-dc-announces-plans-for-second-location/</t>
  </si>
  <si>
    <t>Starting with up to around 60 students in 9th and 10th grades.</t>
  </si>
  <si>
    <t>This is tuition at the DC school; Arlington tuition not available yet.</t>
  </si>
  <si>
    <t>https://stjeromeinstitute.org/admissions/</t>
  </si>
  <si>
    <t>Forest City Academy</t>
  </si>
  <si>
    <t>https://www.forestcityacademy.org/</t>
  </si>
  <si>
    <t>Cleveland Heights</t>
  </si>
  <si>
    <t>https://www.news5cleveland.com/news/local-news/new-private-secular-school-designed-to-be-more-accessible-opening-in-cleveland-heights</t>
  </si>
  <si>
    <t>Starting with 30 K-2 students, planning up to K-5.</t>
  </si>
  <si>
    <t>https://www.forestcityacademy.org/tuitionandfees</t>
  </si>
  <si>
    <t>12601 Cedar Rd, Cleveland Heights, OH 44106</t>
  </si>
  <si>
    <t xml:space="preserve">Carlo Acutis Middle School </t>
  </si>
  <si>
    <t>Grand Forks</t>
  </si>
  <si>
    <t>Starting with 6th grade and adding 7th and 8th the next two years.</t>
  </si>
  <si>
    <t>Alpha School - Charlotte</t>
  </si>
  <si>
    <r>
      <rPr>
        <rFont val="Calibri"/>
        <color rgb="FF1155CC"/>
        <sz val="11.0"/>
        <u/>
      </rPr>
      <t>https://alpha.school/charlotte/</t>
    </r>
  </si>
  <si>
    <t>Charlotte</t>
  </si>
  <si>
    <r>
      <rPr>
        <rFont val="Calibri"/>
        <color rgb="FF1155CC"/>
        <sz val="11.0"/>
        <u/>
      </rPr>
      <t>https://www.wccbcharlotte.com/2025/07/16/ai-powered-private-school-opening-in-charlotte/</t>
    </r>
  </si>
  <si>
    <t>Starting with K-3 and hope to expand next year.</t>
  </si>
  <si>
    <t>4755 Prosperity Church Rd, Charlotte, NC 28269</t>
  </si>
  <si>
    <r>
      <rPr>
        <rFont val="Calibri"/>
        <color rgb="FF1155CC"/>
        <sz val="11.0"/>
        <u/>
      </rPr>
      <t>https://alpha.school/charlotte/</t>
    </r>
  </si>
  <si>
    <r>
      <rPr>
        <rFont val="Calibri"/>
        <color rgb="FF1155CC"/>
        <sz val="11.0"/>
        <u/>
      </rPr>
      <t>https://www.wccbcharlotte.com/2025/07/16/ai-powered-private-school-opening-in-charlotte/</t>
    </r>
  </si>
  <si>
    <t>Alpha School - Scottsdale</t>
  </si>
  <si>
    <r>
      <rPr>
        <rFont val="Calibri"/>
        <color rgb="FF1155CC"/>
        <sz val="11.0"/>
        <u/>
      </rPr>
      <t>https://alpha.school/locations/</t>
    </r>
  </si>
  <si>
    <t>Scottsdale</t>
  </si>
  <si>
    <t>20624 N 76th St, Scottsdale, Arizona, 85255</t>
  </si>
  <si>
    <t>Alpha School - Chantilly</t>
  </si>
  <si>
    <r>
      <rPr>
        <rFont val="Calibri"/>
        <color rgb="FF1155CC"/>
        <sz val="11.0"/>
        <u/>
      </rPr>
      <t>https://alpha.school/chantilly/</t>
    </r>
  </si>
  <si>
    <t>Chantilly</t>
  </si>
  <si>
    <r>
      <rPr>
        <rFont val="Calibri"/>
        <color rgb="FF1155CC"/>
        <sz val="11.0"/>
        <u/>
      </rPr>
      <t>https://www.axios.com/local/richmond/2025/08/28/alpha-school-ai-private-school-northern-virginia</t>
    </r>
  </si>
  <si>
    <t>K-6</t>
  </si>
  <si>
    <t>4550 Walney Road, Chantilly, 20151</t>
  </si>
  <si>
    <t>Alpha School -New York</t>
  </si>
  <si>
    <r>
      <rPr>
        <rFont val="Calibri"/>
        <color rgb="FF1155CC"/>
        <sz val="11.0"/>
        <u/>
      </rPr>
      <t>https://alpha.school/new-york-city/</t>
    </r>
  </si>
  <si>
    <t>New York</t>
  </si>
  <si>
    <t>NorthEast</t>
  </si>
  <si>
    <r>
      <rPr>
        <rFont val="Calibri"/>
        <color rgb="FF1155CC"/>
        <sz val="11.0"/>
        <u/>
      </rPr>
      <t>https://www.prnewswire.com/news-releases/alpha-school-opens-in-manhattan-revolutionizing-education-with-accelerated-learning-and-essential-life-skills-to-prepare-students-for-real-world-success-302477703.html</t>
    </r>
  </si>
  <si>
    <t>180 Maiden Ln, New York, NY 10038</t>
  </si>
  <si>
    <t>Tom Johnson Boys’ Academy</t>
  </si>
  <si>
    <t>https://mytjba.org/</t>
  </si>
  <si>
    <t>West Mifflin</t>
  </si>
  <si>
    <t>https://www.unionprogress.com/2025/07/15/completing-a-dream-west-mifflin-private-school-to-open-this-fall/</t>
  </si>
  <si>
    <t>Starting with 6th, 9th, 10th; eventually 6-12.</t>
  </si>
  <si>
    <t>Sliding scale that starts at $50/month.</t>
  </si>
  <si>
    <t>653 St. Agnes Lane, West Mifflin, PA 15122</t>
  </si>
  <si>
    <t>https://alpha.school/charlotte/</t>
  </si>
  <si>
    <t>https://www.wccbcharlotte.com/2025/07/16/ai-powered-private-school-opening-in-charlotte/</t>
  </si>
  <si>
    <t>American Virtual Academy</t>
  </si>
  <si>
    <t>https://americanvirtualacademy.com/</t>
  </si>
  <si>
    <t>https://www.foxnews.com/media/k-12-private-school-focuses-promoting-american-principles-eliminating-woke-ideology</t>
  </si>
  <si>
    <t>600 as of July 2025, goal of 10,000 in three years.</t>
  </si>
  <si>
    <t>$5-6,000 depending on grade.</t>
  </si>
  <si>
    <t>https://americanvirtualacademy.com/enrollment/tuition-fees/</t>
  </si>
  <si>
    <t>Eleanor Rose Education Center Scottsdale</t>
  </si>
  <si>
    <t>https://www.eleanorroseeducation.org/</t>
  </si>
  <si>
    <t>Grades K-6</t>
  </si>
  <si>
    <t>https://www.eleanorroseeducation.org/tuition-and-fees</t>
  </si>
  <si>
    <t>6220 N. Scottsdale Road Suite 300
Scottsdale, AZ, 85257</t>
  </si>
  <si>
    <t>Eleanor Rose Education Center Henderson</t>
  </si>
  <si>
    <t>Henderson</t>
  </si>
  <si>
    <t>2850 W. Horizon Ridge Pkwy.
Suite 200 
Henderson, NV, 98052</t>
  </si>
  <si>
    <t>Wilson Youth United Academy</t>
  </si>
  <si>
    <t>https://www.thewilsonspot.org/s-projects-side-by-side</t>
  </si>
  <si>
    <t>Wilson</t>
  </si>
  <si>
    <t>https://www.wilsontimes.com/news/the-spot-to-open-k-2-private-school-this-fall-02d9c053</t>
  </si>
  <si>
    <t>Starting with K-2, two classrooms per grade with max of 12 children. Adding a grade per year.</t>
  </si>
  <si>
    <t>Participating with NC Opportunity Scholarship program.</t>
  </si>
  <si>
    <t>910 Tarboro Street
Wilson, NC 27893</t>
  </si>
  <si>
    <t>ParagonED - Southlake</t>
  </si>
  <si>
    <t>Southlake</t>
  </si>
  <si>
    <t>https://www.yahoo.com/news/articles/private-school-nontraditional-calendar-opens-203205911.html</t>
  </si>
  <si>
    <t>Expecting to start with 20-30 with eventual cap of 60.</t>
  </si>
  <si>
    <t>2750 E. Southlake Blvd. Southlake, TX 76092</t>
  </si>
  <si>
    <t>Summit Christian School</t>
  </si>
  <si>
    <t>https://www.summitchristian.school/</t>
  </si>
  <si>
    <t>Muncie</t>
  </si>
  <si>
    <t>https://www.thestarpress.com/story/news/education/2025/07/31/summit-christian-school-set-to-open-on-north-side-of-muncie-august-6-glad-tidings-church/85440630007/</t>
  </si>
  <si>
    <t>Starting with preK-2nd grade, eventually preK-12.</t>
  </si>
  <si>
    <t xml:space="preserve"> 5401 W. Hessler Rd
Muncie, IN 47304</t>
  </si>
  <si>
    <t>Angeline Country Day School</t>
  </si>
  <si>
    <t>https://www.angelinecountryday.org/</t>
  </si>
  <si>
    <t>Land O' Lakes</t>
  </si>
  <si>
    <t>https://www.tampabeacon.com/pasco_county/new-private-school-set-to-open-this-fall/article_97975256-832a-4e8d-8455-72d71a9eb5e8.html</t>
  </si>
  <si>
    <t>Starting with preK-5th grade, eventually through high school.</t>
  </si>
  <si>
    <t>https://www.angelinecountryday.org/admissions#tuition-fees</t>
  </si>
  <si>
    <t>11575 Angeline Pl, Land O' Lakes, FL 34638</t>
  </si>
  <si>
    <t xml:space="preserve">Hundred Hills School
</t>
  </si>
  <si>
    <t>https://www.hundredhillsschool.org/</t>
  </si>
  <si>
    <t>Buellton</t>
  </si>
  <si>
    <t>https://santaynezvalleystar.com/new-waldorf-school-opening-this-fall-in-buellton/</t>
  </si>
  <si>
    <t>Starting with preK-K, eventually preK-4th.</t>
  </si>
  <si>
    <t>Tuition varies; this is for full-day KG 5 days a week.</t>
  </si>
  <si>
    <t>https://www.hundredhillsschool.org/admissions</t>
  </si>
  <si>
    <t>208 Dairyland Way Buellton, CA 93427</t>
  </si>
  <si>
    <t xml:space="preserve">Omaha Christian High School </t>
  </si>
  <si>
    <t>https://omahachristianhighschool.org/</t>
  </si>
  <si>
    <t>Omaha</t>
  </si>
  <si>
    <t>https://www.3newsnow.com/northwest-omaha/omaha-christian-high-school-on-track-for-september-opening</t>
  </si>
  <si>
    <t>2707 N. 108th Street, Omaha, NE</t>
  </si>
  <si>
    <t>Hope Christian Academy</t>
  </si>
  <si>
    <t>https://hc-academy.org/</t>
  </si>
  <si>
    <t>Lexington</t>
  </si>
  <si>
    <t>https://www.wkyt.com/2025/08/20/new-ukrainian-private-christian-school-opens-lexington-area/</t>
  </si>
  <si>
    <t>K-8, eventually hoping to add high school; Ukranian.</t>
  </si>
  <si>
    <t>https://hc-academy.org/tuition-breakdown/</t>
  </si>
  <si>
    <t>301 Harvard Dr, Lexington, KY 40517</t>
  </si>
  <si>
    <t>Forbes Academy</t>
  </si>
  <si>
    <t>https://www.forbes.academy/</t>
  </si>
  <si>
    <t>https://communityimpact.com/austin/georgetown/education/2025/08/20/forbes-academy-coming-soon-to-georgetown/</t>
  </si>
  <si>
    <t>Currently ages 18 mths to 9 yrs; eventually through age 12.</t>
  </si>
  <si>
    <t>https://www.forbes.academy/admissions/tuition</t>
  </si>
  <si>
    <t>3310 Williams Dr, Georgetown, TX, 78628</t>
  </si>
  <si>
    <t>Wingrove Academy</t>
  </si>
  <si>
    <t>https://www.wingroveacademy.org/</t>
  </si>
  <si>
    <t>Wellington</t>
  </si>
  <si>
    <t>https://www.palmbeachnow.com/wingrove-academy-announcement-palm-beach-county</t>
  </si>
  <si>
    <t>Starting K-8, then adding one year high school each year starting in 2029.</t>
  </si>
  <si>
    <t>Chesterton Academy of the Immaculata</t>
  </si>
  <si>
    <t>https://www.chestertonimmaculata.org/</t>
  </si>
  <si>
    <t>Framingham</t>
  </si>
  <si>
    <t>https://www.yahoo.com/news/articles/co-ed-catholic-high-school-084538045.html</t>
  </si>
  <si>
    <t>25 Clinton St. 
Framingham, MA 01702</t>
  </si>
  <si>
    <t>The Grove Learning Collective</t>
  </si>
  <si>
    <t>https://grovelearningcollective.org/</t>
  </si>
  <si>
    <t xml:space="preserve">Sheridan </t>
  </si>
  <si>
    <t>https://www.thesheridanpress.com/news/local/new-private-school-opens-in-sheridan/article_a2629232-dc93-4b29-be30-bde8772c7493.html</t>
  </si>
  <si>
    <t>K-12, 4 days/wk</t>
  </si>
  <si>
    <t>855 Illinois St, Sheridan, WY, 82801</t>
  </si>
  <si>
    <t>The French American Academy</t>
  </si>
  <si>
    <t>https://faacademy.org/campus/jersey-city-the-heights/</t>
  </si>
  <si>
    <t>Jersey City Heights</t>
  </si>
  <si>
    <t>https://jcitytimes.com/french-american-academy-opens-bilingual-high-school-in-jersey-city/</t>
  </si>
  <si>
    <t>Bilingual. Starting with 9th and adding a grade a year.</t>
  </si>
  <si>
    <t>118 Ferry St, Jersey City, NJ 07307</t>
  </si>
  <si>
    <t xml:space="preserve">Saukville </t>
  </si>
  <si>
    <t>https://www.jsonline.com/story/communities/north/2025/09/26/northshore-classical-academy-looks-to-open-in-ozaukee-county-in-2026/86206914007/</t>
  </si>
  <si>
    <t>Hillsdale school</t>
  </si>
  <si>
    <t>341 S Dries St, Saukville, WI, 53080</t>
  </si>
  <si>
    <t>Catholic Academy of Hartford</t>
  </si>
  <si>
    <t>https://www.catholicacademyofhartford.org/</t>
  </si>
  <si>
    <t xml:space="preserve">Hartford </t>
  </si>
  <si>
    <t>The new school will open with Pre-K through 2nd grade, adding one grade each year until reaching 8th grade.</t>
  </si>
  <si>
    <t>It will operate on an income-based tuition model.</t>
  </si>
  <si>
    <t>https://www.nbcconnecticut.com/news/local/a-generational-contribution-archdiocese-plans-new-catholic-school-in-hartford/3649365/</t>
  </si>
  <si>
    <t>765 Asylum Ave, Hartford, CT 06105</t>
  </si>
  <si>
    <t>Winters Park Academy</t>
  </si>
  <si>
    <t>https://www.wintersparkacademy.com/</t>
  </si>
  <si>
    <t>https://www.localprofile.com/sponsored-content/winter-spark-academy-a-premier-stem-school-opening-in-frisco-for-grades-pk-12-11363914</t>
  </si>
  <si>
    <t>Prek-12</t>
  </si>
  <si>
    <t>$22,700 for K</t>
  </si>
  <si>
    <t>https://www.wintersparkacademy.com/blank-6</t>
  </si>
  <si>
    <t>4915 Coit Rd. Frisco, Texas</t>
  </si>
  <si>
    <t>Saint Cyril of Alexandria Academy</t>
  </si>
  <si>
    <t>https://www.post-gazette.com/news/education/2025/11/10/pittsburgh-catholic-schools-saint-cyril-north-side-academy/stories/202511100078</t>
  </si>
  <si>
    <t>Replacing Northside Assumption Catholic Academy.</t>
  </si>
  <si>
    <t>3854 Brighton Road Pittsburgh, PA 15212</t>
  </si>
  <si>
    <t>Saint Dominic Regional High School</t>
  </si>
  <si>
    <t>https://saintdominicrhs.org/</t>
  </si>
  <si>
    <t>Lewiston</t>
  </si>
  <si>
    <t>ME</t>
  </si>
  <si>
    <t>https://saintdominicrhs.org/saint-dominic-regional-high-school-announces-new-downtown-lewiston-location-at-iconic-peck-building/</t>
  </si>
  <si>
    <t>200 is capacity - unsure what is expected. Opened after diocese closed high school part of St. Dominic academy in 2024.</t>
  </si>
  <si>
    <t>https://saintdominicrhs.org/faqs/</t>
  </si>
  <si>
    <t>184 Main St, Lewiston, ME, 04240</t>
  </si>
  <si>
    <t>SSS Sports Academy (SSS Academies)</t>
  </si>
  <si>
    <t>https://sssacademies.org/</t>
  </si>
  <si>
    <t>Independent (sports/athletics focus)</t>
  </si>
  <si>
    <t>https://ktar.com/arizona-real-estate/financing-sports-academy-phx/5782280/</t>
  </si>
  <si>
    <t xml:space="preserve">New private high school (grades 9-12) being built as part of 17.5-acre, 181,000 sq ft multi-use sports complex. </t>
  </si>
  <si>
    <t>Tuition not yet announced</t>
  </si>
  <si>
    <t>2727 W Bronco Butte Trl, Phoenix, AZ, 85085</t>
  </si>
  <si>
    <t>Elite Sports Academy (ESA)</t>
  </si>
  <si>
    <t>https://elitesportsacademyaz.com/</t>
  </si>
  <si>
    <t>New private 6th-12th grade school combining high academics with elite athletics on a 4.5-acre site. School model: 4 hours of academics + 4 hours of athletic training daily. Follows Heritage Academy's proven classical curriculum (Heritage Academy is a separate tuition-free public charter in Mesa, AZ; ESA uses their curriculum). Campus features 2-story classroom building, multipurpose room, 4,821 SF gym, specialty rooms, modular buildings, admin building, computer/TV production studio, cafeteria, performance stage/auditorium, weight room. School day 8:00am-3:30pm. Accepts AZ Empowerment Scholarship accounts toward tuition. Enrollment opened January 10, 2026. Enrollment handled through Heritage Academy SchoolMint system.</t>
  </si>
  <si>
    <t>$25,000/year. Empowerment Scholarship Account funds can be applied toward tuition.</t>
  </si>
  <si>
    <t>https://heritageacademyaz.com/elite-sports-academy/</t>
  </si>
  <si>
    <t>Phoenix, AZ (specific address TBA; contact 480-540-1001 for campus tour)</t>
  </si>
  <si>
    <t>Chesterton Academy of St. Serra (CASS)</t>
  </si>
  <si>
    <t>https://www.castserra.com/</t>
  </si>
  <si>
    <t>Orinda</t>
  </si>
  <si>
    <t>Roman Catholic (classical)</t>
  </si>
  <si>
    <t>https://theorindanews.com/2026/01/27/new-private-catholic-high-school-could-open-at-santa-maria-this-fall/</t>
  </si>
  <si>
    <t>Founding class of 25-30 9th graders, growing to grades 9-12</t>
  </si>
  <si>
    <t>Starting at $15,980/year. Additional fees, books, uniforms, and fundraising requirements can add another $1,000-$2,000.</t>
  </si>
  <si>
    <t>https://chestertonschoolsnetwork.org/find-a-school</t>
  </si>
  <si>
    <t>30 Santa Maria Way
 Orinda, CA 94563</t>
  </si>
  <si>
    <t>Gray Road Christian Academy</t>
  </si>
  <si>
    <t>https://grayroadchristian.org/</t>
  </si>
  <si>
    <t>https://grayroadchristian.org/index.html</t>
  </si>
  <si>
    <t>4826 Gray Rd, Cincinnati, OH 45232</t>
  </si>
  <si>
    <t>Ave Maria Academy</t>
  </si>
  <si>
    <t>https://avemariaspsjoa.org/</t>
  </si>
  <si>
    <t>https://catholictimescolumbus.org/local/new-catholic-school-set-to-open-this-fall/</t>
  </si>
  <si>
    <t>Begining with preschool and kindergarten classes this fall, adding an additional grade level each year through eighth grade.</t>
  </si>
  <si>
    <t>https://avemariaspsjoa.org/admissions/tuition-pricing/</t>
  </si>
  <si>
    <t>6899 Smoky Row Rd., Columbus, Ohio 43235</t>
  </si>
  <si>
    <t>Roberts Academy</t>
  </si>
  <si>
    <t>https://www.elon.edu/u/roberts-academy/</t>
  </si>
  <si>
    <t>Elon</t>
  </si>
  <si>
    <t>https://www.ednc.org/01-28-2026-elon-university-to-open-new-academy-for-students-with-dyslexia/</t>
  </si>
  <si>
    <t>Initially, 3rd-4th graders on Elon’s campus. New facilty fall 2028 grow to 1st-6th, up to 150-200 students w/up to 12/classroom.</t>
  </si>
  <si>
    <t>https://www.elon.edu/u/roberts-academy/admissions/</t>
  </si>
  <si>
    <t>100 Campus Drive, Elon, NC, 27244</t>
  </si>
  <si>
    <t>Episcopal School of Ponte Vedra</t>
  </si>
  <si>
    <t>https://www.episcopalpv.com/</t>
  </si>
  <si>
    <t>Ponte Vedra</t>
  </si>
  <si>
    <t>https://sjcitizen.com/growing-congregation-unmet-demand-fuel-plan-for-new-st-johns-county-private-school/</t>
  </si>
  <si>
    <t>895 Palm Valley Rd., Ponte Vedra, Fl 32081</t>
  </si>
  <si>
    <t>Alpha School - Palo Alto</t>
  </si>
  <si>
    <r>
      <rPr>
        <rFont val="Calibri"/>
        <color rgb="FF1155CC"/>
        <sz val="11.0"/>
        <u/>
      </rPr>
      <t>https://alpha.school/palo-alto/</t>
    </r>
  </si>
  <si>
    <t>Palo Alto</t>
  </si>
  <si>
    <t>4260 El Camino Real, Palo Alto, CA 94306</t>
  </si>
  <si>
    <t>Alpha School - East Bay</t>
  </si>
  <si>
    <r>
      <rPr>
        <rFont val="Calibri"/>
        <color rgb="FF1155CC"/>
        <sz val="11.0"/>
        <u/>
      </rPr>
      <t>https://alpha.school/east-bay/</t>
    </r>
  </si>
  <si>
    <t>Piedmont</t>
  </si>
  <si>
    <t>5201 Park Blvd, Piedmont, CA 94611</t>
  </si>
  <si>
    <t>Alpha School - Santa Monica</t>
  </si>
  <si>
    <r>
      <rPr>
        <rFont val="Calibri"/>
        <color rgb="FF1155CC"/>
        <sz val="11.0"/>
        <u/>
      </rPr>
      <t>https://alpha.school/santa-monica/</t>
    </r>
  </si>
  <si>
    <t>Santa Monica</t>
  </si>
  <si>
    <t>3002 Main St, Santa Monica, CA 90405</t>
  </si>
  <si>
    <t>Alpha School - The Woodlands</t>
  </si>
  <si>
    <r>
      <rPr>
        <rFont val="Calibri"/>
        <color rgb="FF1155CC"/>
        <sz val="11.0"/>
        <u/>
      </rPr>
      <t>https://alpha.school/the-woodlands/</t>
    </r>
  </si>
  <si>
    <t>TBD</t>
  </si>
  <si>
    <t>https://hellowoodlands.com/alpha-school-to-open-new-k-8-campus-in-the-woodlands-with-innovative-ai-powered-education</t>
  </si>
  <si>
    <r>
      <rPr>
        <rFont val="Calibri"/>
        <color rgb="FF1155CC"/>
        <sz val="11.0"/>
        <u/>
      </rPr>
      <t>https://alpha.school/tampa/</t>
    </r>
  </si>
  <si>
    <t>K-9</t>
  </si>
  <si>
    <t>5252 Ehrlich Road, Tampa, FL 33624</t>
  </si>
  <si>
    <t>Alpha School - Chicago</t>
  </si>
  <si>
    <r>
      <rPr>
        <rFont val="Calibri"/>
        <color rgb="FF1155CC"/>
        <sz val="11.0"/>
        <u/>
      </rPr>
      <t>https://alpha.school/chicago/</t>
    </r>
  </si>
  <si>
    <t>Chicago</t>
  </si>
  <si>
    <r>
      <rPr>
        <rFont val="Calibri"/>
        <color rgb="FF1155CC"/>
        <sz val="11.0"/>
        <u/>
      </rPr>
      <t>Alpha School Chicago: K-8 Private School in Chicago, Illinois</t>
    </r>
  </si>
  <si>
    <t>350 East South Water Street, Chicago, IL 60601</t>
  </si>
  <si>
    <t>Alpha School - Dorado</t>
  </si>
  <si>
    <r>
      <rPr>
        <rFont val="Calibri"/>
        <color rgb="FF1155CC"/>
        <sz val="11.0"/>
        <u/>
      </rPr>
      <t>https://alpha.school/dorado/</t>
    </r>
  </si>
  <si>
    <t>Dorado</t>
  </si>
  <si>
    <t>PR</t>
  </si>
  <si>
    <t>Outlying Area</t>
  </si>
  <si>
    <r>
      <rPr>
        <rFont val="Calibri"/>
        <color rgb="FF1155CC"/>
        <sz val="11.0"/>
        <u/>
      </rPr>
      <t>https://www.facebook.com/Daliancaraballo/videos/super-excited-to-finally-shared-the-news-%EF%B8%8F-puerto-rico-this-is-big-alpha-school-/1555336035814977/</t>
    </r>
  </si>
  <si>
    <t>$45,000-$60,000</t>
  </si>
  <si>
    <t>Redtail Academy Middle School for Boys</t>
  </si>
  <si>
    <t>https://www.redtailschool.org/</t>
  </si>
  <si>
    <t>Urbana</t>
  </si>
  <si>
    <t>https://www.news-gazette.com/news/local/education/new-middle-school-for-boys-created-by-local-educators-set-to-open-this-august/article_80a118c1-902a-4cbe-b148-30315eb6a7b3.html</t>
  </si>
  <si>
    <t>Sliding scale, $12,00 cap</t>
  </si>
  <si>
    <t xml:space="preserve">309 W Green St, Urbana, IL 61801
</t>
  </si>
  <si>
    <t>Sun Prairie High School</t>
  </si>
  <si>
    <t>https://sunprairiehighschool.org/</t>
  </si>
  <si>
    <t>https://lawrencekstimes.com/2026/02/07/sun-prairie-opening-august/</t>
  </si>
  <si>
    <t>Starting with 25 freshman and adding one grade per year.</t>
  </si>
  <si>
    <t>Sliding scale, ranging from $500 to $15,000.</t>
  </si>
  <si>
    <t>940 New Hampshire St, Lawrence, KS, 66044</t>
  </si>
  <si>
    <t>Excalibur Classical Academy</t>
  </si>
  <si>
    <t>https://excaliburclassicalacademy.org/</t>
  </si>
  <si>
    <t>Centennial</t>
  </si>
  <si>
    <t>https://www.denverpost.com/2026/02/19/centennial-excalibur-classical-academy/</t>
  </si>
  <si>
    <t>Starting with K-3 and adding one grade per year up to 20 per grade.</t>
  </si>
  <si>
    <t>$9,500 in year one, rising to $15,000 by year three.</t>
  </si>
  <si>
    <t>7241 S. Fulton St. Centennial, CO 80112</t>
  </si>
  <si>
    <t>Masterpiece Academy</t>
  </si>
  <si>
    <t>https://microschools.prenda.com/ms/masterpiece-academy</t>
  </si>
  <si>
    <t>Taylor</t>
  </si>
  <si>
    <t>https://www.taylorpress.net/article/11370,taylor-microschool-debuts-in-august</t>
  </si>
  <si>
    <t>Chesterton Academy of the Holy Hearts</t>
  </si>
  <si>
    <t>https://caholyhearts.org/</t>
  </si>
  <si>
    <t>Visalia</t>
  </si>
  <si>
    <t>https://www.visaliatimesdelta.com/story/news/education/2026/02/26/new-visalia-catholic-high-school-chesterton-academy-of-the-holy-hearts/88528785007/?gnt-cfr=1&amp;gca-cat=p&amp;gca-uir=true&amp;gca-epti=z116301p000850c000850v116301d--30--b--30--&amp;gca-ft=182&amp;gca-ds=sophi</t>
  </si>
  <si>
    <t>Gr. 9-11</t>
  </si>
  <si>
    <t>Unnamed Jewish preK-12 school</t>
  </si>
  <si>
    <t>https://www.mainlinemedianews.com/2026/03/03/perlman-jewish-day-school-and-barrack-hebrew-academy-announce-plans-to-open-a-unified-prek-12-jewish-community-day-school/</t>
  </si>
  <si>
    <t>Perelman Jewish Day School and Jack M. Barrack Hebrew Academy merging to create a unified pre-K  -- 12th Jewish school.</t>
  </si>
  <si>
    <t>Foundations Elementary School</t>
  </si>
  <si>
    <t>https://fesjefferson.com/</t>
  </si>
  <si>
    <t>Jefferson</t>
  </si>
  <si>
    <t>https://www.raccoonvalleyradio.com/2026/03/04/new-private-school-in-jefferson-to-host-open-house-tomorrow-night/</t>
  </si>
  <si>
    <t>Starting with K-3, hybrid schedule.</t>
  </si>
  <si>
    <t>1308 W Lincoln Way, Jefferson, IA, 50129</t>
  </si>
  <si>
    <t>Harbor Light Academy</t>
  </si>
  <si>
    <t>https://harborlightacademy.com/</t>
  </si>
  <si>
    <t>Smithfield</t>
  </si>
  <si>
    <t>https://www.smithfieldtimes.com/news/harbor-light-academy-a-new-private-school-coming-to-smithfield-b4cdce03</t>
  </si>
  <si>
    <t>14353 Benns Church Blvd
 Smithfield, VA 23430</t>
  </si>
  <si>
    <t>Hammond Riverside Christian School</t>
  </si>
  <si>
    <t>https://hammondriverside.org/</t>
  </si>
  <si>
    <t>Hammond</t>
  </si>
  <si>
    <t>https://www.gohammond.com/new-hammond-riverside-christian-school-to-open-in-fall-2026/</t>
  </si>
  <si>
    <t>New K-5 private Christian school opening August 2026, formed by partnership of three existing Christian schools (Illiana Christian High School, Crown Point Christian, and Highland Christian).</t>
  </si>
  <si>
    <t>Participates in Indiana Choice Scholarship; out-of-pocket tuition varies</t>
  </si>
  <si>
    <t>4925 Sohl Avenue
 Hammond, IN 46320</t>
  </si>
  <si>
    <t>Chesterton Academy of St. Carlo Acutis</t>
  </si>
  <si>
    <t>https://chestertonstcarlo.org/</t>
  </si>
  <si>
    <t>Grand Junction</t>
  </si>
  <si>
    <t>https://www.gjsentinel.com/special_sections/new-high-school-opening-in-grand-junction/article_f7435ea5-43bb-49df-9242-ff88e4f3f2ef.html</t>
  </si>
  <si>
    <t xml:space="preserve">Expects to start with 10-15 students. </t>
  </si>
  <si>
    <t>Tuition assistance and scholarships may be available</t>
  </si>
  <si>
    <t>522 White Ave
 Grand Junction, CO 81501</t>
  </si>
  <si>
    <t>Saukville</t>
  </si>
  <si>
    <t>https://www.ozaukeepress.com/content/saukville-high-school-pushes-opening-back-year</t>
  </si>
  <si>
    <t>Will open with freshman class and add one grade level per year. Expect 40-50 students grades 9-12.</t>
  </si>
  <si>
    <t>Tuition TBD; Wisconsin state income tax deductions available for private school tuition</t>
  </si>
  <si>
    <t>341 S. Dries St.
 Saukville, WI 53080</t>
  </si>
  <si>
    <t>Primer - Babcock Ranch</t>
  </si>
  <si>
    <t>https://primer.com/</t>
  </si>
  <si>
    <t>Babcock Ranch</t>
  </si>
  <si>
    <t>https://www.the74million.org/article/in-americas-first-solar-powered-town-education-options-abound/</t>
  </si>
  <si>
    <t>Most families pay $0-$3,000 via Florida scholarship programs (FES/FTC); retail tuition varies by campus</t>
  </si>
  <si>
    <t>17790 Curry PreserveDr, Babcock Ranch, FL</t>
  </si>
  <si>
    <t>Bnos Chava</t>
  </si>
  <si>
    <t>Monsey</t>
  </si>
  <si>
    <t>https://www.rocklanddaily.com/news/new-tosh-girls-school-to-open-in-monsey-for-upcoming-school-year</t>
  </si>
  <si>
    <t xml:space="preserve">New Tosh (Hasidic) girls school opening for 2026-27 school year (beginning in Elul/September 2026). </t>
  </si>
  <si>
    <t>Monsey, NY</t>
  </si>
  <si>
    <t>Central Wisconsin Lutheran High School</t>
  </si>
  <si>
    <t>https://cwlhs.com/</t>
  </si>
  <si>
    <t>Stevens Point</t>
  </si>
  <si>
    <t>https://www.stevenspointjournal.com/story/news/education/2026/05/11/stevens-point-approves-central-wisconsin-lutheran-high-school-site/89995860007/</t>
  </si>
  <si>
    <t>Starting with with grades 9-10 and then adding grades</t>
  </si>
  <si>
    <t>Tuition not officially announced</t>
  </si>
  <si>
    <t>5225 Heffron CtStevens Point, WI 5448</t>
  </si>
  <si>
    <t>Fr. Thomas F. Price Catholic High School</t>
  </si>
  <si>
    <t>https://www.ftpchs.org/</t>
  </si>
  <si>
    <t>Wilmington</t>
  </si>
  <si>
    <t>South Atlantic</t>
  </si>
  <si>
    <t>https://dioceseofraleigh.org/news/new-catholic-high-school-set-open-wilmington-area-fall-2026</t>
  </si>
  <si>
    <t>Starting with 9th grade, adding a 10th grade if sufficient demand exists.</t>
  </si>
  <si>
    <t>North Carolina Opportunity Scholarship available for $3,000-7,000</t>
  </si>
  <si>
    <t>412 Ann St., Tileston Building, Wilmington, NC 28401</t>
  </si>
  <si>
    <t>https://www.graceknights.org/</t>
  </si>
  <si>
    <t>Charles County</t>
  </si>
  <si>
    <t>https://thebaynet.com/six-years-after-covid-closures-waldorfs-grace-christian-academy-will-enroll-high-school-students-for-26-27/</t>
  </si>
  <si>
    <t>Starting with Pre-K to 11th grade and adding 12th grade later on.</t>
  </si>
  <si>
    <t>https://www.niche.com/k12/grace-christian-academy-of-maryland-waldorf-md/</t>
  </si>
  <si>
    <t>13000 Zekiah Drive Waldorf, MD 20601</t>
  </si>
  <si>
    <t>https://pathwaychristianacademy.net/</t>
  </si>
  <si>
    <t>Jonesville</t>
  </si>
  <si>
    <t>https://wcyb.com/news/local/new-private-christian-school-aims-to-expand-education-choices-for-lee-county-families</t>
  </si>
  <si>
    <t>Enrolling students in k-8</t>
  </si>
  <si>
    <t>33482 Main Street Jonesville, Va</t>
  </si>
  <si>
    <t>Shirley Aninias School</t>
  </si>
  <si>
    <t>https://www.theshirleyaniniasschool.com/about</t>
  </si>
  <si>
    <t>Middle Atlantic</t>
  </si>
  <si>
    <t>https://www.bizjournals.com/newyork/news/2026/05/20/school-signs-lease-at-30-wall-street.html</t>
  </si>
  <si>
    <t>291 Broadway 2nd floor, New York, NY 10007</t>
  </si>
  <si>
    <t>Primer - Dothan</t>
  </si>
  <si>
    <t>https://primer.com/schools/dothan-al</t>
  </si>
  <si>
    <t xml:space="preserve">Dothan </t>
  </si>
  <si>
    <t>East South Central</t>
  </si>
  <si>
    <t>https://www.wtvy.com/2026/05/21/new-private-school-coming-dothan-with-500-annual-tuition/</t>
  </si>
  <si>
    <t>K-8 with 20-year lease</t>
  </si>
  <si>
    <t>1001 Montana St,Dothan, AL 36303</t>
  </si>
  <si>
    <t>Nature School of McKinney</t>
  </si>
  <si>
    <t>https://natureschoolmckinney.com/</t>
  </si>
  <si>
    <t>West South Central</t>
  </si>
  <si>
    <t>https://communityimpact.com/dallas-fort-worth/mckinney/business/2026/05/25/the-nature-school-of-mckinney-to-debut-private-educational-facility-this-fall/</t>
  </si>
  <si>
    <t>Nature school that will serve children ages 3-11 in mixed-age, small group classrooms</t>
  </si>
  <si>
    <t>7145 Armadillo Ridge Rd., McKinney, TX 75071</t>
  </si>
  <si>
    <t>L&amp;E Middle Prep Academy</t>
  </si>
  <si>
    <t>https://www.lemiddleprepacademy.com/</t>
  </si>
  <si>
    <t>Lawrenceville</t>
  </si>
  <si>
    <t>https://www.gwinnettdailypost.com/pressrelease/former-educator-and-mother-launches-l-e-middle-prep-academy-a-new-private-middle-school/article_888590c4-4aee-4404-9038-b3dd100415ba.html</t>
  </si>
  <si>
    <t>Serving 6-8th grade right now</t>
  </si>
  <si>
    <t>Tuition not publicized</t>
  </si>
  <si>
    <t>787 Paden Dr Lawrenceville, GA 30044</t>
  </si>
  <si>
    <t>Alphonse Gallegos Academy</t>
  </si>
  <si>
    <t>https://alphonsegallegosacademy.org/</t>
  </si>
  <si>
    <t>Sacramento</t>
  </si>
  <si>
    <t>https://www.abridged.org/news/catholic-school-families-create/</t>
  </si>
  <si>
    <t>Opened because of the closing of St. Patrick Academy</t>
  </si>
  <si>
    <t>In addition to a $350 registration fee and $500 parent involvement fee</t>
  </si>
  <si>
    <t>4400 58th Street Sacramento, CA 95820</t>
  </si>
  <si>
    <t>https://www.fusionacademy.com/campuses/warrington/</t>
  </si>
  <si>
    <t>Warrington</t>
  </si>
  <si>
    <t>https://www.buckscountyherald.com/community/education/new-alternative-school-opens-in-warrington/article_3b8f645a-7d4a-4387-a296-f964e5c3b303.html</t>
  </si>
  <si>
    <t>Serving 6-12th grade</t>
  </si>
  <si>
    <t>Customized tuition</t>
  </si>
  <si>
    <t>https://www.fusionacademy.com/campuses/warrington/tuition/</t>
  </si>
  <si>
    <t>1537 Main St Suite 250, Warrington, PA 18976</t>
  </si>
  <si>
    <t>Templeton Academy DC</t>
  </si>
  <si>
    <t>https://dc.templetonacademy.org/?gad_source=1&amp;gad_campaignid=23822867013&amp;gbraid=0AAAABDlb6syNhc8KRbZFdKsX_Ji9LDIWO&amp;gclid=Cj0KCQjwof_QBhCgARIsADaMzOeDghdNVuKztPUSiAwOluLAoYidM36NamdLfag5t_uanNSatM1YYDEaAgbhEALw_wcB</t>
  </si>
  <si>
    <t>DC</t>
  </si>
  <si>
    <t>https://www.popville.com/2026/06/new-private-school-opening-in-chinatown/</t>
  </si>
  <si>
    <t>75% of students at Templeton Academy receive financial aid.</t>
  </si>
  <si>
    <t>https://dc.templetonacademy.org/admissions/tuition-financial-aid/</t>
  </si>
  <si>
    <t>406 7th St. NW, 2nd Floor Washington, DC 20004</t>
  </si>
  <si>
    <t>Pine Crest School - West Palm Beach</t>
  </si>
  <si>
    <t>https://www.pinecrest.edu/</t>
  </si>
  <si>
    <t>West Palm Beach</t>
  </si>
  <si>
    <t>https://www.aol.com/articles/stephen-ross-donation-brings-exclusive-224423000.html</t>
  </si>
  <si>
    <t>K-12 prepatory school expanding</t>
  </si>
  <si>
    <t>https://www.pinecrest.edu/admissions/tuition-fees-and-aid/tuition-and-fees</t>
  </si>
  <si>
    <t>Sonnenberg Schools - West 6th Street</t>
  </si>
  <si>
    <t>https://www.sonnenbergschools.org/</t>
  </si>
  <si>
    <t>Racine</t>
  </si>
  <si>
    <t>East North Central</t>
  </si>
  <si>
    <t>https://www.tmj4.com/news/local-news/in-your-community/racine-county/volunteers-help-prepare-a-historic-racine-school-for-its-second-life-as-a-new-sonnenberg-schools-location</t>
  </si>
  <si>
    <t>Built over the closed Franklin School</t>
  </si>
  <si>
    <t>1722 W 6th Street Racine, WI 53404</t>
  </si>
  <si>
    <t>Tucson School for the Blind</t>
  </si>
  <si>
    <t>Mountain</t>
  </si>
  <si>
    <t>https://azluminaria.org/2026/06/05/tucson-school-for-the-blind-opens-in-august-aims-to-fill-gap-after-asdb-closure/</t>
  </si>
  <si>
    <t>Created because the public Arizona State Schools for the Deaf and the Blind closed</t>
  </si>
  <si>
    <t>149 N Stone Ave Tucson, AZ 85701</t>
  </si>
  <si>
    <t>Kingsminster Ponte Vedra</t>
  </si>
  <si>
    <t>https://kingsminsterpv.com/</t>
  </si>
  <si>
    <t>https://www.news4jax.com/news/local/2026/06/09/outreach-education-breaks-ground-on-kingsminster-k-8-school-in-ponte-vedra-scheduled-to-open-august-2027/</t>
  </si>
  <si>
    <t>K-8 Independent Christian school</t>
  </si>
  <si>
    <t>Rooted Meadows</t>
  </si>
  <si>
    <t>https://rootedmeadowsschool.org/</t>
  </si>
  <si>
    <t>Rigby</t>
  </si>
  <si>
    <t>https://www.idahoednews.org/news/new-rigby-private-school-makes-farm-chores-part-of-the-school-day/</t>
  </si>
  <si>
    <t>Waldorf school</t>
  </si>
  <si>
    <t>$5,000 after Idaho tax credit</t>
  </si>
  <si>
    <t>3833 N 200 E. Rigby Idaho 83442</t>
  </si>
  <si>
    <t xml:space="preserve">Ohr Menachem NJ </t>
  </si>
  <si>
    <t>https://ormenachemnj.com/</t>
  </si>
  <si>
    <t>Hillside</t>
  </si>
  <si>
    <t>https://collive.com/new-chabad-school-to-open-in-hillside-nj/</t>
  </si>
  <si>
    <t>Accepting 2nd and 3rd graders for the Girl's Division</t>
  </si>
  <si>
    <t>Founders School</t>
  </si>
  <si>
    <t>https://founders.school/</t>
  </si>
  <si>
    <t>https://spearswms.com/education/the-new-york-private-school-where-students-graduate-as-millionaires-or-get-their-money-back/</t>
  </si>
  <si>
    <t>High school that provides full tuition refund if each student doesn't make 1 million by the end of their 4 years.</t>
  </si>
  <si>
    <t>Better Green Academy</t>
  </si>
  <si>
    <t>https://www.bettergreenacademyinc.com/</t>
  </si>
  <si>
    <t>Jonesboro</t>
  </si>
  <si>
    <t>https://thecitizen.com/2026/06/25/better-green-academy-to-celebrate-grand-opening-in-fayetteville/</t>
  </si>
  <si>
    <t>Serves preschool through fifth grade students</t>
  </si>
  <si>
    <t>127 Jonesboro Road, Suite 1904, Jonesboro, GA, 30236</t>
  </si>
  <si>
    <t>Score Academy - Coconut Grove</t>
  </si>
  <si>
    <t>https://www.score-academy.com/campuses/miami-dade</t>
  </si>
  <si>
    <t>https://finance.yahoo.com/small-business/articles/score-academy-opens-permanent-campus-140600235.html</t>
  </si>
  <si>
    <t>Schools that operate with six students per class average and a 100-student cap.</t>
  </si>
  <si>
    <t>Decided individually for the student.</t>
  </si>
  <si>
    <t>https://www.score-academy.com/admission/tuition#learn-more</t>
  </si>
  <si>
    <t>2900 SW 28th Ln, Miami, FL 33133</t>
  </si>
  <si>
    <t>https://catholictimescolumbus.org/local/parish-exceeds-fundraising-goal-prepares-to-open-ave-maria-academy/</t>
  </si>
  <si>
    <t>Attempts to facilitate community-based education through training staff through Catechesis of the Good Shepherd (CGS)</t>
  </si>
  <si>
    <t>Chesterton Academy of Divine Mercy</t>
  </si>
  <si>
    <t>https://www.chestertondivinemercy.org/</t>
  </si>
  <si>
    <t>Hampshire County</t>
  </si>
  <si>
    <t>New England</t>
  </si>
  <si>
    <t>https://iobserve.org/2026/07/01/chesterton-academy-of-divine-mercy-plans-a-2027-launch/</t>
  </si>
  <si>
    <t>Part of the Chesterton Schools Network aimed to restore "classical Catholic education in the modern world."</t>
  </si>
  <si>
    <t>Masters Academy International</t>
  </si>
  <si>
    <t>https://www.mastersacademyinternational.com/</t>
  </si>
  <si>
    <t>Stow</t>
  </si>
  <si>
    <t>https://www.bizjournals.com/boston/news/2026/07/09/private-school-former-bose-hq-incorporate-ai.html</t>
  </si>
  <si>
    <t>First academy in New England primarily focused on excelling in sports and academics</t>
  </si>
  <si>
    <t>Average between boarding and non-boarding students</t>
  </si>
  <si>
    <t>https://www.metrowestdailynews.com/story/news/education/2026/03/13/masters-academy-international-open-house-stow-ma-prospective-student-athletes/89116502007/</t>
  </si>
  <si>
    <t>688 Great Road, Stow, Massachusetts 01775</t>
  </si>
  <si>
    <t>Sts. Andrew–Thomas Academy</t>
  </si>
  <si>
    <t>Tennyson</t>
  </si>
  <si>
    <t>https://www.swnews4u.com/local/new-christian-academy-planned-to-open-in-tennyson/</t>
  </si>
  <si>
    <t>New version of the closed Sts.Andrew-Thomas Academy that partners with the Christus Vincit Academy homeschooling program</t>
  </si>
  <si>
    <t>135 Tennyson St. Tennyson, Wisconsin</t>
  </si>
  <si>
    <t>Faith Christian Academy - Walton</t>
  </si>
  <si>
    <t>Walton</t>
  </si>
  <si>
    <t>https://www.wvnews.com/spencernews/faith-christian-academy-expands-to-walton-with-new-campus-opening-in-september/article_465cd004-173f-4bd1-a679-97198bc07223.html</t>
  </si>
  <si>
    <t>Expecting enrollment from 25-30 students (28 was the estimated average)</t>
  </si>
  <si>
    <t>38 School Dr Walton, WV 25286</t>
  </si>
  <si>
    <t>Edna W. Runner Education Center</t>
  </si>
  <si>
    <t>https://ewrunnerctr.org/school/</t>
  </si>
  <si>
    <t>Jupiter</t>
  </si>
  <si>
    <t>https://www.wpbf.com/article/edna-w-runner-jupiter-florida-40-years-new-school/71899037</t>
  </si>
  <si>
    <t>Will initially serve kindergarten and first graders before adding more grades after.</t>
  </si>
  <si>
    <t>School aims to support at-risk and low income children</t>
  </si>
  <si>
    <t>7187 Edna Runner Wy, Jupiter, FL 33458</t>
  </si>
  <si>
    <t>Openings</t>
  </si>
  <si>
    <t>Total</t>
  </si>
  <si>
    <t>Catholic</t>
  </si>
  <si>
    <t>Episcopal</t>
  </si>
  <si>
    <t>Ind.</t>
  </si>
  <si>
    <t>Number of Announced Openings</t>
  </si>
  <si>
    <t>Closures</t>
  </si>
  <si>
    <t>Total Enroll.</t>
  </si>
  <si>
    <t>Avg. Enroll.</t>
  </si>
  <si>
    <t>Avg. Tuition</t>
  </si>
  <si>
    <t>COVID?</t>
  </si>
  <si>
    <t xml:space="preserve">Merging with Other School Closure </t>
  </si>
  <si>
    <t>New School</t>
  </si>
  <si>
    <t>Enrollment</t>
  </si>
  <si>
    <t>Enrollment source</t>
  </si>
  <si>
    <t>Year founded</t>
  </si>
  <si>
    <t>Preexisting financial problems?</t>
  </si>
  <si>
    <t>% Students on Financial Aid</t>
  </si>
  <si>
    <t>Link2</t>
  </si>
  <si>
    <t>Tuition</t>
  </si>
  <si>
    <t>Link3</t>
  </si>
  <si>
    <t>% Black</t>
  </si>
  <si>
    <t>Enrolled Black</t>
  </si>
  <si>
    <t>% Hispanic</t>
  </si>
  <si>
    <t>Enrolled Hispanic</t>
  </si>
  <si>
    <t>% Asian</t>
  </si>
  <si>
    <t>Enrolled Asian</t>
  </si>
  <si>
    <t>% White</t>
  </si>
  <si>
    <t>Enrolled White</t>
  </si>
  <si>
    <t>% Other</t>
  </si>
  <si>
    <t>Enrolled Other</t>
  </si>
  <si>
    <t>Link4</t>
  </si>
  <si>
    <t>Saint Anthony School</t>
  </si>
  <si>
    <t>x</t>
  </si>
  <si>
    <t>Winsted</t>
  </si>
  <si>
    <t>Media</t>
  </si>
  <si>
    <t>https://www.registercitizen.com/news/article/Winsted-s-St-Anthony-School-closing-in-June-15138379.php</t>
  </si>
  <si>
    <t>http://www.stanthonyschool-winsted.org/wp-content/uploads/2019/03/FullSizeRender-2019-03-28T205251.691.jpg</t>
  </si>
  <si>
    <t>https://www.niche.com/k12/st-anthony-school-winsted-ct/</t>
  </si>
  <si>
    <t>55 Oak St, Winsted, CT 06098</t>
  </si>
  <si>
    <t>Midreshet Shalhevet High School</t>
  </si>
  <si>
    <t>Valley Stream</t>
  </si>
  <si>
    <t>PSR</t>
  </si>
  <si>
    <t>https://www.niche.com/k12/midreshet-shalhevet-shalhevet-high-school-for-girls-valley-stream-ny/students/</t>
  </si>
  <si>
    <t>1000 Rosedale Rd, Valley Stream, NY 11581</t>
  </si>
  <si>
    <t>Saint Martha</t>
  </si>
  <si>
    <t>Enfield</t>
  </si>
  <si>
    <t>Parent group trying to save school</t>
  </si>
  <si>
    <t>https://www.journalinquirer.com/towns/enfield/it-s-a-tragedy-for-everybody-st-martha-school-to-close-after-55-years-due/article_34e5607e-7f14-11ea-af3a-6f63e01e8aef.html</t>
  </si>
  <si>
    <t>https://www.stmarthaschool-ct.org/tuition</t>
  </si>
  <si>
    <t>https://www.niche.com/k12/st-martha-school-enfield-ct/</t>
  </si>
  <si>
    <t>214 Brainard Rd, Enfield, CT 06082</t>
  </si>
  <si>
    <t>Oyster Point Academy</t>
  </si>
  <si>
    <t>Hampton Roads</t>
  </si>
  <si>
    <t>https://high-schools.com/directory/va/cities/newport-news/oyster-point-academy/a1503976/</t>
  </si>
  <si>
    <t>766 J Clyde Morris Blvd
 Newport News, VA 23601</t>
  </si>
  <si>
    <t>Coyle and Cassidy H.S. &amp; M.S.</t>
  </si>
  <si>
    <t>Taunton</t>
  </si>
  <si>
    <t>Some dispute closure necessary or COVID-driven</t>
  </si>
  <si>
    <t>https://www.tauntongazette.com/news/20200418/we-had-no-opportunity-to-save-that-school----coyle-cassidy-closure-in-taunton-draws-strong-reaction</t>
  </si>
  <si>
    <t>https://www.coylecassidy.com/tuition-rates-and-financial-aid/</t>
  </si>
  <si>
    <t>https://www.niche.com/k12/coyle--and--cassidy-high-school-taunton-ma/students/</t>
  </si>
  <si>
    <t>2 Hamilton St, Taunton, MA 02780</t>
  </si>
  <si>
    <t>Saint Margaret Primary</t>
  </si>
  <si>
    <t>Buzzards Bay</t>
  </si>
  <si>
    <t>http://www.smrsbb.org/wp-content/uploads/Two-School-Closures_April-14-2020.docx.pdf</t>
  </si>
  <si>
    <t>https://www.privateschoolreview.com/st-margaret-primary-school-profile</t>
  </si>
  <si>
    <t>http://www.smrsbb.org/wp-content/uploads/Enrollment-Information-2019-2020.pdf</t>
  </si>
  <si>
    <t>https://www.niche.com/k12/st-margaret-primary-school-buzzards-bay-ma/</t>
  </si>
  <si>
    <t>143 Main Street
 Buzzards Bay, MA 02532</t>
  </si>
  <si>
    <t>Cape Trinity Elementary</t>
  </si>
  <si>
    <t>Yes^</t>
  </si>
  <si>
    <t>Wildwood</t>
  </si>
  <si>
    <t>Announced on 6/4/2020 that it will be merging with Wildwood Catholic HS</t>
  </si>
  <si>
    <t>https://www.camdendiocese.org/five-catholic-schools-in-the-diocese-of-camden-to-close-at-end-of-school-year/</t>
  </si>
  <si>
    <t>https://4.files.edl.io/e69b/10/01/19/152917-c2ef0243-ed72-4cbf-ab2f-7b1ae04c3954.pdf</t>
  </si>
  <si>
    <t>https://www.niche.com/k12/cape-trinity-catholic-school-north-wildwood-nj/</t>
  </si>
  <si>
    <t>1500 Central Ave, North Wildwood, NJ 08260</t>
  </si>
  <si>
    <t>Wildwood Catholic H.S.</t>
  </si>
  <si>
    <t>Announced on 6/4/2020 that it will be merging with Cape Trinity Elementary (counts as one net closure)</t>
  </si>
  <si>
    <t>https://wildwoodcatholicacademy.org/financialaid</t>
  </si>
  <si>
    <t>https://www.niche.com/k12/wildwood-catholic-high-school-north-wildwood-nj/students/</t>
  </si>
  <si>
    <t>Good Shepherd Regional Elementary</t>
  </si>
  <si>
    <t>Collingswood</t>
  </si>
  <si>
    <t>https://www.gscregional.org/tuition-and-fees.html</t>
  </si>
  <si>
    <t>https://www.niche.com/k12/good-shepherd-regional-school-collingswood-nj/</t>
  </si>
  <si>
    <t>100 Lees Ave, Collingswood, NJ 08108</t>
  </si>
  <si>
    <t>Saint Joseph Regional Elementary</t>
  </si>
  <si>
    <t>https://www.inquirer.com/education/school-closing-new-jersey-catholic-wildwood-catholic-good-shepherd-saint-joseph-20200417.html</t>
  </si>
  <si>
    <t>https://www.privateschoolreview.com/st-joseph-regional-elementary-school-profile</t>
  </si>
  <si>
    <t>https://www.stjosephprek8.org/tuition-and-financial-aid</t>
  </si>
  <si>
    <t>https://www.niche.com/k12/st-joseph-regional-elementary-school-hammonton-nj/</t>
  </si>
  <si>
    <t>40 Chestnut Ridge Rd, Montvale, NJ 07645</t>
  </si>
  <si>
    <t>St. Joseph Catholic High School</t>
  </si>
  <si>
    <t>Saint Mary's</t>
  </si>
  <si>
    <t>Lawton</t>
  </si>
  <si>
    <t>https://www.stmarys-ok.org/school-closing-information</t>
  </si>
  <si>
    <t>https://www.stmarys-ok.org/tuition-fees</t>
  </si>
  <si>
    <t>https://www.niche.com/k12/st-marys-catholic-school-lawton-ok/</t>
  </si>
  <si>
    <t>611 SW A Ave #3972, Lawton, OK 73501</t>
  </si>
  <si>
    <t>Poughkeepsie Day School</t>
  </si>
  <si>
    <t>Poughkeepsie</t>
  </si>
  <si>
    <r>
      <rPr>
        <rFont val="Calibri"/>
        <color rgb="FF000000"/>
        <sz val="11.0"/>
      </rPr>
      <t xml:space="preserve">Plans to reopen in 2021-2022: </t>
    </r>
    <r>
      <rPr>
        <rFont val="Calibri"/>
        <color rgb="FF1155CC"/>
        <sz val="11.0"/>
        <u/>
      </rPr>
      <t>https://hudsonvalleypost.com/famed-hudson-valley-school-announces-plans-to-reopen/</t>
    </r>
  </si>
  <si>
    <t>https://www.poughkeepsiejournal.com/story/news/education/2020/04/21/coronavirus-poughkeepsie-day-school-announces-closure-june/2995029001/</t>
  </si>
  <si>
    <t>https://www.privateschoolreview.com/poughkeepsie-day-school-profile</t>
  </si>
  <si>
    <t>https://poughkeepsieday.org/admissions/flexible-tuition/</t>
  </si>
  <si>
    <t>https://www.niche.com/k12/poughkeepsie-day-school-poughkeepsie-ny/students/</t>
  </si>
  <si>
    <t>260 Boardman Rd, Poughkeepsie, NY 12603</t>
  </si>
  <si>
    <t>Our Lady of Mt. Carmel</t>
  </si>
  <si>
    <t>Houston</t>
  </si>
  <si>
    <t>School</t>
  </si>
  <si>
    <t>https://olmchou.org/a-letter-from-fr-cobos-concerning-the-closing-of-olmc/</t>
  </si>
  <si>
    <t>https://olmchou.org/wp-content/uploads/2020/01/2020-2021-Tuition-and-Fees.pdf</t>
  </si>
  <si>
    <t>https://www.niche.com/k12/our-lady-of-mount-carmel-school-houston-tx/</t>
  </si>
  <si>
    <t>6703 Whitefriars Dr, Houston, TX 77087</t>
  </si>
  <si>
    <t>Queen of Peace</t>
  </si>
  <si>
    <t>https://abc13.com/catholic-schools-closing-st-pius-v-our-lady-of-mount-carmel-queen-peace/6121113/</t>
  </si>
  <si>
    <t>https://queenofpeacecatholicschool.org/wp-content/uploads/2019/12/2020-2021-Tuition-and-Fees-new.pdf</t>
  </si>
  <si>
    <t>https://www.learncentralhouston.org/schools/view/queen-peace-catholic-school/</t>
  </si>
  <si>
    <t>2320 Oakcliff St, Houston, TX 77023</t>
  </si>
  <si>
    <t>Saint Francis of Assisi</t>
  </si>
  <si>
    <t>https://sfoacs.org/admissions/tuition-fees/</t>
  </si>
  <si>
    <t>https://www.niche.com/k12/st-francis-of-assisi-school-houston-tx/</t>
  </si>
  <si>
    <t>5100 Dabney St, Houston, TX 77026</t>
  </si>
  <si>
    <t>Saint Pius V</t>
  </si>
  <si>
    <t>Pasadena</t>
  </si>
  <si>
    <t>https://www.privateschoolreview.com/st-pius-v-catholic-school-profile/77506</t>
  </si>
  <si>
    <t>https://spvpasadena.org/admissions/tuition-assistance/</t>
  </si>
  <si>
    <t>https://www.niche.com/k12/st-pius-v-catholic-school-pasadena-tx/</t>
  </si>
  <si>
    <t>812 Main St, Pasadena, TX 77506</t>
  </si>
  <si>
    <t>Lawton Christian School</t>
  </si>
  <si>
    <t>Only discontinued grades 9-12</t>
  </si>
  <si>
    <t>https://www.kswo.com/2020/04/22/lcs-staff-shares-reasons-closing-secondary-school/</t>
  </si>
  <si>
    <t>http://www.lcscrusaders.com/editoruploads/files/19-20_Tuition_Prices.pdf</t>
  </si>
  <si>
    <t>https://www.niche.com/k12/lawton-christian-school-lawton-ok/students/</t>
  </si>
  <si>
    <t>1 Crusader Dr, Lawton, OK 73505</t>
  </si>
  <si>
    <t>Holy Family Consolidated</t>
  </si>
  <si>
    <t>Berwick</t>
  </si>
  <si>
    <t>https://www.wnep.com/article/news/local/columbia-county/holy-family-catholic-school-closing/523-8d93ac3b-bda6-43a4-b93c-f365009f1c5d</t>
  </si>
  <si>
    <t>https://www.niche.com/k12/holy-family-consolidated-school-berwick-pa/</t>
  </si>
  <si>
    <t>728 Washington St, Berwick, PA 18603</t>
  </si>
  <si>
    <t>Lebanon Catholic</t>
  </si>
  <si>
    <t>https://www.ldnews.com/story/news/2020/04/28/lebanon-catholic-school-close-end-school-year/3044484001/</t>
  </si>
  <si>
    <t>http://www.lebanoncatholicschool.org/admissions/financial-assistance/</t>
  </si>
  <si>
    <t>https://www.niche.com/k12/lebanon-catholic-school-lebanon-pa/students/</t>
  </si>
  <si>
    <t>1400 Chestnut St, Lebanon, PA 17042</t>
  </si>
  <si>
    <t>Saint John the Baptist Catholic School</t>
  </si>
  <si>
    <t>Napa</t>
  </si>
  <si>
    <t>https://napavalleyregister.com/news/local/citing-economics-napas-st-john-s-catholic-school-to-close/article_d565cd9b-adf5-527f-a471-55a89ccedc7f.html</t>
  </si>
  <si>
    <t>https://www.niche.com/k12/st-john-the-baptist-catholic-school-napa-ca/</t>
  </si>
  <si>
    <t>983 Napa St, Napa, CA 94559</t>
  </si>
  <si>
    <t>All Saints</t>
  </si>
  <si>
    <t>Elsmere</t>
  </si>
  <si>
    <t>https://www.wdel.com/news/elsmeres-all-saints-catholic-school-closing-at-the-end-of-the-year-due-to-lack/article_e8e6965a-8b09-11ea-95a2-1bd670c2de35.html</t>
  </si>
  <si>
    <t>https://www.privateschoolreview.com/all-saints-catholic-school-profile/19805</t>
  </si>
  <si>
    <t>https://www.niche.com/k12/all-saints-catholic-school-wilmington-de/</t>
  </si>
  <si>
    <t>907 New Rd, Wilmington, DE 19805</t>
  </si>
  <si>
    <t>Siena Catholic Academy</t>
  </si>
  <si>
    <t>Brighton</t>
  </si>
  <si>
    <t>https://catholiccourier.com/articles/enrollment-woes-intensified-by-pandemic-to-shutter-siena-academy</t>
  </si>
  <si>
    <t>https://www.niche.com/k12/siena-catholic-academy-rochester-ny/</t>
  </si>
  <si>
    <t>https://www.sienacatholic.org/wp-content/uploads/Siena-2020-2021-Tuition-Rates-updated-11.06.19.pdf</t>
  </si>
  <si>
    <t>2617 East Ave, Rochester, NY 14610</t>
  </si>
  <si>
    <t>Saint Mark's Episcopal School</t>
  </si>
  <si>
    <t>Upland</t>
  </si>
  <si>
    <t>preschool may reopen during fall</t>
  </si>
  <si>
    <t>https://www.dailybulletin.com/2020/05/16/after-38-years-st-marks-episcopal-school-in-upland-is-closing/</t>
  </si>
  <si>
    <t>https://www.privateschoolreview.com/saint-mark-s-episcopal-school-profile</t>
  </si>
  <si>
    <t>https://www.stmarks-upland.org/admission/tuition-fees-and-financial-aid/</t>
  </si>
  <si>
    <t>https://www.niche.com/k12/st-marks-episcopal-school-upland-ca/</t>
  </si>
  <si>
    <t>330 E 16th St, Upland, CA 91784</t>
  </si>
  <si>
    <t>Saint Joseph Catholic Academy</t>
  </si>
  <si>
    <t>Brookfield</t>
  </si>
  <si>
    <t>https://www.ctinsider.com/local/newstimes/article/St-Joseph-Catholic-Academy-in-Brookfield-to-close-15245757.php</t>
  </si>
  <si>
    <t>https://www.sjsbrookfield.org/tuition-and-financial-aid</t>
  </si>
  <si>
    <t>https://www.niche.com/k12/st-joseph-catholic-academy-brookfield-ct/</t>
  </si>
  <si>
    <t>5 Obtuse Hill Rd, Brookfield, CT 06804</t>
  </si>
  <si>
    <t>Institute of Notre Dame</t>
  </si>
  <si>
    <t>https://www.baltimoresun.com/education/bs-md-institute-notre-dame-closing-20200505-iviuyq5k5zfo5ke3zqytgv3o4u-story.html</t>
  </si>
  <si>
    <t>https://www.indofmd.org/enrollment/tuition</t>
  </si>
  <si>
    <t>https://www.niche.com/k12/institute-of-notre-dame-baltimore-md/students/</t>
  </si>
  <si>
    <t>901 Aisquith St, Baltimore, MD 21202</t>
  </si>
  <si>
    <t>Immaculate Conception School</t>
  </si>
  <si>
    <t>Marlborough</t>
  </si>
  <si>
    <t>https://www.thebostonpilot.com/article.asp?ID=187592</t>
  </si>
  <si>
    <t>https://www.icschool.net/tuition</t>
  </si>
  <si>
    <t>https://www.niche.com/k12/immaculate-conception-school-marlborough-ma/</t>
  </si>
  <si>
    <t>25 Washington Ct, Marlborough, MA 01752</t>
  </si>
  <si>
    <t>Saint James Catholic School</t>
  </si>
  <si>
    <t>Belvidere</t>
  </si>
  <si>
    <t>https://www.mystateline.com/news/local-news/belvideres-st-james-catholic-school-to-permanently-close/</t>
  </si>
  <si>
    <t>http://www.stjamesbelvidere.org/st-james-school/wp-content/uploads/2018/01/St.-James-School-Enrollment-Packet.pdf</t>
  </si>
  <si>
    <t>https://www.niche.com/k12/st-james-school-belvidere-il/</t>
  </si>
  <si>
    <t>320 Logan Ave, Belvidere, IL 61008</t>
  </si>
  <si>
    <t>Saint Barnabas Catholic School</t>
  </si>
  <si>
    <t>https://www.wbrc.com/2020/05/06/st-barnabas-catholic-school-will-cut-numerous-grade-levels-next-year-due-pandemic/</t>
  </si>
  <si>
    <t>https://www.niche.com/k12/st-barnabas-regional-school-birmingham-al/</t>
  </si>
  <si>
    <t>7901 1st Ave N, Birmingham, AL 35206</t>
  </si>
  <si>
    <t>Monsignor McHugh School</t>
  </si>
  <si>
    <t>Cresco</t>
  </si>
  <si>
    <t>https://www.dioceseofscranton.org/diocese-announces-closure-of-monsignor-mchugh-school/</t>
  </si>
  <si>
    <t>https://www.niche.com/k12/monsignor-mchugh-school-cresco-pa/</t>
  </si>
  <si>
    <t>https://d0bfdaa1-6434-431f-b6de-79a8afeb3498.filesusr.com/ugd/ee9872_a41708194dae4fc2945acc4773a4d87c.pdf</t>
  </si>
  <si>
    <t>212 PA-390, Cresco, PA 18326</t>
  </si>
  <si>
    <t>Cristo Rey Newark High School</t>
  </si>
  <si>
    <t>Newark</t>
  </si>
  <si>
    <t>https://dailyvoice.com/new-jersey/essex/schools/breaking-newark-archdiocese-permanently-closing-10-schools-in-three-counties/787685/</t>
  </si>
  <si>
    <t>https://www.privateschoolreview.com/cristo-rey-newark-high-school-profile</t>
  </si>
  <si>
    <t>https://cristoreynewark.org/tuition-financial-aid-assistance/</t>
  </si>
  <si>
    <t>https://www.niche.com/k12/cristo-rey-newark-high-school-newark-nj/students/</t>
  </si>
  <si>
    <t>239 Woodside Ave, Newark, NJ 07104</t>
  </si>
  <si>
    <t>Incarnation Catholic School</t>
  </si>
  <si>
    <t>Collierville</t>
  </si>
  <si>
    <t>https://www.wmcactionnews5.com/2020/05/08/incarnation-catholic-school-closing-due-covid-/</t>
  </si>
  <si>
    <t>https://incarnationschool.edu/tuition-and-fees</t>
  </si>
  <si>
    <t>https://www.niche.com/k12/incarnation-catholic-school-collierville-tn/</t>
  </si>
  <si>
    <t>360 Bray Station Rd, Collierville, TN 38017</t>
  </si>
  <si>
    <t xml:space="preserve">Academy of St. Therese of Lisieux </t>
  </si>
  <si>
    <t>Cresskill</t>
  </si>
  <si>
    <t>Archdiocese unable to continue providing financial subsidy to the school; declining enrollment</t>
  </si>
  <si>
    <t>https://www.northjersey.com/story/news/local/2020/05/29/cresskill-nj-st-therese-school-close-despite-efforts-save/5285659002/</t>
  </si>
  <si>
    <t>https://www.privateschoolreview.com/academy-of-st-therese-of-lisiuex-profile</t>
  </si>
  <si>
    <t>4380 (catholic), 5100 (non-catholic)</t>
  </si>
  <si>
    <t>https://scgstl.org/tuition-and-fees/</t>
  </si>
  <si>
    <t>https://www.greatschools.org/new-jersey/cresskill/2404-Academy-Of-St.-Therese/</t>
  </si>
  <si>
    <t>220 Jefferson Ave, Cresskill, NJ 07626</t>
  </si>
  <si>
    <t>St. Anne School</t>
  </si>
  <si>
    <t>Fair Lawn</t>
  </si>
  <si>
    <t>shut down by the Archdiocese of Newark; financial problems exacerbated by pandemic</t>
  </si>
  <si>
    <t>https://www.nj.com/union/2020/06/nj-catholic-school-saved-from-closure-by-donors-9-others-remain-on-shutdown-list.html</t>
  </si>
  <si>
    <t>https://www.privateschoolreview.com/st-anne-school-profile/07410</t>
  </si>
  <si>
    <t>https://www.greatschools.org/new-jersey/fair-lawn/2324-St-Anne-School/</t>
  </si>
  <si>
    <t>1-30 Summit Ave, Fair Lawn, NJ 07410</t>
  </si>
  <si>
    <t>Trinity Academy</t>
  </si>
  <si>
    <t>Caldwell</t>
  </si>
  <si>
    <t xml:space="preserve">shut down by the Archdiocese of Newark; declining enrollment </t>
  </si>
  <si>
    <t>https://www.newjerseyhills.com/the_progress/news/update-archdiocese-to-close-trinity-academy-in-caldwell/article_96af397a-976f-5ab7-9d52-92c081226a3e.html</t>
  </si>
  <si>
    <t>5,300 (member), 8,500  (non-member)</t>
  </si>
  <si>
    <t>http://www.schooltuitions.org/school/caldwell-nj-trinity_academy</t>
  </si>
  <si>
    <t>https://www.greatschools.org/new-jersey/caldwell/2321-Trinity-Academy/</t>
  </si>
  <si>
    <t>235 Bloomfield Ave, Caldwell, NJ 07006</t>
  </si>
  <si>
    <t>Good Shepherd Academy</t>
  </si>
  <si>
    <t>Irvington</t>
  </si>
  <si>
    <t>.</t>
  </si>
  <si>
    <t>shut down by the Archdiocese of Newark</t>
  </si>
  <si>
    <t>https://patch.com/new-jersey/newarknj/archdiocese-closing-10-catholic-schools-new-jersey</t>
  </si>
  <si>
    <t>https://elementaryschools.org/directory/nj/cities/irvington/good-shepherd-academy/a0902155/</t>
  </si>
  <si>
    <t>285 Nesbit Terrace, Irvington, NJ 07111</t>
  </si>
  <si>
    <t>Our Lady Help of Christians School</t>
  </si>
  <si>
    <t>East Orange</t>
  </si>
  <si>
    <t>Great Schools</t>
  </si>
  <si>
    <t>https://www.greatschools.org/new-jersey/east-orange/2334-Our-Lady-Help-Christians-School/</t>
  </si>
  <si>
    <t>https://www.linkedin.com/showcase/-saveolhc</t>
  </si>
  <si>
    <t>23 N Clinton St, East Orange, NJ 07017</t>
  </si>
  <si>
    <t>St. James the Apostle School</t>
  </si>
  <si>
    <t>https://www.tapinto.net/towns/springfield/sections/religions-and-spirituality/articles/st-james-the-apostle-school-in-springfield-among-ten-being-consolidated-by-newark-archdiocese</t>
  </si>
  <si>
    <t>https://www.privateschoolreview.com/st-james-the-apostle-school-profile/07081</t>
  </si>
  <si>
    <t>https://www.greatschools.org/new-jersey/springfield-township/2436-St-James-The-Apostle-School/</t>
  </si>
  <si>
    <t>41 S Springfield Ave, Springfield, NJ 07081</t>
  </si>
  <si>
    <t>Holy Spirit School</t>
  </si>
  <si>
    <t>Union</t>
  </si>
  <si>
    <t>https://elementaryschools.org/directory/nj/cities/union/holy-spirit-school/00863486/</t>
  </si>
  <si>
    <t>https://www.greatschools.org/new-jersey/union/2439-Holy-Spirit-School/</t>
  </si>
  <si>
    <t>https://www.privateschoolreview.com/holy-spirit-school-profile/07083</t>
  </si>
  <si>
    <t>970 Suburban Rd, Union, NJ 07083</t>
  </si>
  <si>
    <t xml:space="preserve">St. Genevieve School </t>
  </si>
  <si>
    <t>Elizabeth</t>
  </si>
  <si>
    <t>https://www.greatschools.org/new-jersey/elizabeth/2409-St-Genevieve-School/</t>
  </si>
  <si>
    <t>http://www.schooltuitions.org/school/elizabeth-nj-st_genevieve_school</t>
  </si>
  <si>
    <t>209 Princeton Rd, Elizabeth, NJ 07208</t>
  </si>
  <si>
    <t>Junipero Serra School</t>
  </si>
  <si>
    <t>Monterey</t>
  </si>
  <si>
    <t>https://kion546.com/news/2020/05/08/junipero-serra-school-to-close-permanently-after-this-school-year/</t>
  </si>
  <si>
    <t>https://www.privateschoolreview.com/junipero-serra-school-profile</t>
  </si>
  <si>
    <t>http://stjuniperoserraschool.org/en/admissions/tuition-fees</t>
  </si>
  <si>
    <t>https://www.niche.com/k12/junipero-serra-school-carmel-ca/</t>
  </si>
  <si>
    <t>3090 Rio Road, Carmel, CA 93923</t>
  </si>
  <si>
    <t>Saint Theresa of the Child Jesus</t>
  </si>
  <si>
    <t>Hellertown</t>
  </si>
  <si>
    <t>https://www.lehighvalleylive.com/news/2020/05/a-catholic-elementary-school-in-hellertown-will-close-for-good-after-80-years.html</t>
  </si>
  <si>
    <t>https://www.privateschoolreview.com/st-theresa-school-profile/18055</t>
  </si>
  <si>
    <t>http://www.sttheresaotcj.org/tuition-and-fees</t>
  </si>
  <si>
    <t>https://www.niche.com/k12/st-theresa-school-hellertown-pa/</t>
  </si>
  <si>
    <t>300 Leonard St, Hellertown, PA 18055</t>
  </si>
  <si>
    <t>Holy Family Catholic School</t>
  </si>
  <si>
    <t>Hillcrest Heights</t>
  </si>
  <si>
    <t>https://cathstan.org/news/local/holy-family-catholic-school-in-hillcrest-heights-to-close-at-end-of-school-year</t>
  </si>
  <si>
    <t>https://holyfamilymd.org/tuition-financial-aid</t>
  </si>
  <si>
    <t>https://www.niche.com/k12/holy-family-catholic-school-hillcrest-heights-md/</t>
  </si>
  <si>
    <t>2200 Callaway St, Hillcrest Heights, MD 20748</t>
  </si>
  <si>
    <t>Most Holy Trinity Catholic School &amp; Academy</t>
  </si>
  <si>
    <t>Saint Louis</t>
  </si>
  <si>
    <t>https://www.stltoday.com/news/local/education/three-st-louis-area-catholic-grade-schools-to-close-after-budget-cuts-from-coronavirus-fallout/article_b6b92f10-d680-530c-845a-c899f315ecca.html</t>
  </si>
  <si>
    <t>https://www.stltoday.com/news/local/education/more-non-catholic-students-are-enrolling-in-st-louis-area-catholic-schools/article_80f43f79-2f54-582c-8335-1af9bf1b07ef.html</t>
  </si>
  <si>
    <t>https://www.niche.com/k12/holy-trinity-catholic-school-saint-louis-mo/</t>
  </si>
  <si>
    <t>1435 Mallinckrodt St
 Saint Louis, MO 63107</t>
  </si>
  <si>
    <t>Christ, Light of the Nations School</t>
  </si>
  <si>
    <t>North County</t>
  </si>
  <si>
    <t>https://www.niche.com/k12/christ-light-of-the-nations-catholic-school-saint-louis-mo/</t>
  </si>
  <si>
    <t>1650 Redman Ave, St. Louis, MO 63138</t>
  </si>
  <si>
    <t>Saint Joseph School</t>
  </si>
  <si>
    <t>Manchester</t>
  </si>
  <si>
    <t>https://d2y1pz2y630308.cloudfront.net/709/documents/2019/2/K-8th_Grade_Registration_Packet_fro_FD_and_STJ_Website_for_2019-2020-1.pdf</t>
  </si>
  <si>
    <t>https://www.niche.com/k12/st-joseph-elementary-school-manchester-mo/</t>
  </si>
  <si>
    <t>555 St Josephs Ln, Ballwin, MO 63021</t>
  </si>
  <si>
    <t>The Wilkes School at Grace and Saint Peter's</t>
  </si>
  <si>
    <t>https://baltimore.cbslocal.com/2020/05/16/the-wilkes-school-at-grace-and-st-peters-closing-due-to-declining-enrollment/</t>
  </si>
  <si>
    <t>http://wilkesschool.org/about/</t>
  </si>
  <si>
    <t>http://wilkesschool.org/admissions/affording-wilkes/</t>
  </si>
  <si>
    <t>https://www.niche.com/k12/the-wilkes-school-at-grace-and-st-peters-baltimore-md/</t>
  </si>
  <si>
    <t>707 Park Ave, Baltimore, MD 21201</t>
  </si>
  <si>
    <t>Saint Mary's School</t>
  </si>
  <si>
    <t>Pompton Lakes</t>
  </si>
  <si>
    <t>https://www.northjersey.com/story/news/passaic/pompton-lakes/2020/05/18/st-marys-school-pompton-lakes-close-amid-coronavirus-crisis/5216254002/</t>
  </si>
  <si>
    <t>https://smspompton.org/about/tuition-fees/</t>
  </si>
  <si>
    <t>https://www.niche.com/k12/st-marys-school-pompton-lakes-nj/</t>
  </si>
  <si>
    <t>19 Pompton Ave, Pompton Lakes, NJ 07442</t>
  </si>
  <si>
    <t>Saint Peter School</t>
  </si>
  <si>
    <t>South Beloit</t>
  </si>
  <si>
    <t>https://www.beloitdailynews.com/news/local-news/saint-peters-school-in-south-beloit-to-close/article_ce9a8538-e96f-5411-a89c-dcc44f1c29d2.html</t>
  </si>
  <si>
    <t>https://www.niche.com/k12/st-peter-catholic-school-south-beloit-il/</t>
  </si>
  <si>
    <t>320 Elmwood Ave, South Beloit, IL 61080</t>
  </si>
  <si>
    <t>White Mountain Waldorf School</t>
  </si>
  <si>
    <t>Conway</t>
  </si>
  <si>
    <t>https://www.conwaydailysun.com/business/local/white-mountain-waldorf-school-closing-after-35-years/article_99697104-a4e7-11ea-8c4f-ff536a6acf78.html</t>
  </si>
  <si>
    <t>https://www.privateschoolreview.com/white-mountain-waldorf-school-profile</t>
  </si>
  <si>
    <t>https://www.niche.com/k12/white-mountain-waldorf-school-albany-nh/</t>
  </si>
  <si>
    <t>1371 Nh Rt 16
 Conway, NH 03818</t>
  </si>
  <si>
    <t>Saint Louis School</t>
  </si>
  <si>
    <t>Lowell</t>
  </si>
  <si>
    <t>https://www.lowellsun.com/2020/05/22/after-over-a-century-of-education-st-louis-school-closing-in-lowell/</t>
  </si>
  <si>
    <t>https://www.saintlouisschool.org/tuition-rates</t>
  </si>
  <si>
    <t>https://www.niche.com/k12/st-louis-school-lowell-ma/</t>
  </si>
  <si>
    <t>77 Boisvert St, Lowell, MA 01850</t>
  </si>
  <si>
    <t>Corpus Christi</t>
  </si>
  <si>
    <t>https://www.caller.com/story/news/education/2020/05/27/holy-family-catholic-school-permanently-closing-corpus-christi/5265693002/</t>
  </si>
  <si>
    <t>https://4.files.edl.io/8892/02/26/20/200411-1c7e6301-9637-4902-a073-a4a22b602970.pdf</t>
  </si>
  <si>
    <t>https://www.niche.com/k12/holy-family-elementary-school-corpus-christi-tx/</t>
  </si>
  <si>
    <t>2509 Nogales St, Corpus Christi, TX 78416</t>
  </si>
  <si>
    <t>Saint Joseph Academy</t>
  </si>
  <si>
    <t>Lakeland</t>
  </si>
  <si>
    <t>https://www.lkldnow.com/parents-launch-effort-to-save-historic-st-joseph-academy/</t>
  </si>
  <si>
    <t>https://www.sjalakeland.org/tuition-assistance (tuition assistance link error)</t>
  </si>
  <si>
    <t>https://static1.squarespace.com/static/5cf7c57e54106a000186895d/t/5e53fb18a9679668e0695ba9/1582562072367/SJA+TUITION+AND+FEE+SCHEDULE+2020-2021.pdf</t>
  </si>
  <si>
    <t>https://www.niche.com/k12/st-josephs-academy-lakeland-fl/</t>
  </si>
  <si>
    <t>310 Frank Lloyd Wright Way, Lakeland, FL 33803</t>
  </si>
  <si>
    <t>Immaculate Conception Cathedral School</t>
  </si>
  <si>
    <t>9-12 are discontinued, K-8 still open</t>
  </si>
  <si>
    <t>https://www.localmemphis.com/article/news/education/local-cathedral-high-school-to-close-memphis-immaculate-conception/522-128f145b-9c82-42c9-8af7-847999fedfc3</t>
  </si>
  <si>
    <t>http://www.myiccs.org/tuitionandfees</t>
  </si>
  <si>
    <t>https://www.niche.com/k12/immaculate-conception-cathedral-school-memphis-tn/students/</t>
  </si>
  <si>
    <t>1669 Central Ave, Memphis, TN 38104</t>
  </si>
  <si>
    <t>The Rock Creek School</t>
  </si>
  <si>
    <t>Superior</t>
  </si>
  <si>
    <t>Kindergarden and summer program</t>
  </si>
  <si>
    <t>https://www.dailycamera.com/2020/05/27/private-kindergarten-summer-camp-program-closes-in-superior-because-of-coronavirus-impacts/</t>
  </si>
  <si>
    <t>2800 Rock Creek Cir, Superior, CO 80027</t>
  </si>
  <si>
    <t>Quigley Catholic High School</t>
  </si>
  <si>
    <t>Baden</t>
  </si>
  <si>
    <t>https://www.wtae.com/article/catholic-diocese-of-pittsburgh-announces-closure-of-quigley-catholic-high-school/32714434</t>
  </si>
  <si>
    <t>http://www.qchs.org/Tuition.html</t>
  </si>
  <si>
    <t>https://www.niche.com/k12/quigley-catholic-high-school-baden-pa/</t>
  </si>
  <si>
    <t>200 Quigley Dr, Baden, PA 15005</t>
  </si>
  <si>
    <t>Weizmann Day School</t>
  </si>
  <si>
    <t xml:space="preserve">Pasadena </t>
  </si>
  <si>
    <t>low enrollment</t>
  </si>
  <si>
    <t>http://www.jlifesgpv.com/weizmann-day-school/</t>
  </si>
  <si>
    <t>https://www.privateschoolreview.com/chaim-weizmann-community-day-school-profile</t>
  </si>
  <si>
    <t>https://www.greatschools.org/california/pasadena/9620-Weizmann-Day-School/</t>
  </si>
  <si>
    <t>1434 N Altadena Dr, Pasadena, CA 91107</t>
  </si>
  <si>
    <t>St. Jerome School</t>
  </si>
  <si>
    <t>https://weymouth.wickedlocal.com/news/20200601/st-jerome-elementary-school-in-north-weymouth-to-close-permanently</t>
  </si>
  <si>
    <t>https://7bfd6bca-f746-47e0-9499-7a09a71ce653.filesusr.com/ugd/e10742_439b57e4640e42a2a74d8973facd8888.pdf</t>
  </si>
  <si>
    <t>https://www.niche.com/k12/st-jerome-elementary-school-weymouth-ma/</t>
  </si>
  <si>
    <t>598 Bridge St, Weymouth, MA 02191</t>
  </si>
  <si>
    <t>Good Shepherd Catholic School</t>
  </si>
  <si>
    <t>Camp Hill</t>
  </si>
  <si>
    <t>Pre-K and K still open</t>
  </si>
  <si>
    <t>https://www.abc27.com/news/local/carlisle-west-shore/good-shepherd-catholic-school-to-suspend-operations/</t>
  </si>
  <si>
    <t>https://www.gsschpa.org/tuition/</t>
  </si>
  <si>
    <t>https://www.niche.com/k12/good-shepherd-elementary-school-camp-hill-pa/</t>
  </si>
  <si>
    <t>3400 Market St, Camp Hill, PA 17011</t>
  </si>
  <si>
    <t>St. John Paul II Stem Academy</t>
  </si>
  <si>
    <t>Burbank</t>
  </si>
  <si>
    <t>https://lacatholics.org/archive-info/</t>
  </si>
  <si>
    <t>https://www.privateschoolreview.com/st-john-paul-ii-stem-academy-profile</t>
  </si>
  <si>
    <t>465 E. Olive Ave, Burbank, CA, 91501</t>
  </si>
  <si>
    <t>Seashore School</t>
  </si>
  <si>
    <t>Long Branch</t>
  </si>
  <si>
    <t>https://www.app.com/story/news/education/in-our-schools/2020/06/03/long-branchs-seashore-school-close-good-camp-remain-open/3123862001/</t>
  </si>
  <si>
    <t>https://www.privateschoolreview.com/the-seashore-school-profile</t>
  </si>
  <si>
    <t>https://www.niche.com/k12/seashore-school-long-branch-nj/</t>
  </si>
  <si>
    <t>345 Second Ave
 Long Branch, NJ 07740</t>
  </si>
  <si>
    <t>St Francis of Assisi School</t>
  </si>
  <si>
    <t>Braintree</t>
  </si>
  <si>
    <t>https://braintree.wickedlocal.com/news/20200603/archdiocese-plans-to-permanently-close-braintree-catholic-school</t>
  </si>
  <si>
    <t>http://www.sfab.org/sfabschool/admissions/tuition/</t>
  </si>
  <si>
    <t>https://www.niche.com/k12/st-francis-of-assisi-school-braintree-ma/</t>
  </si>
  <si>
    <t>850 Washington St, Braintree, MA 02184</t>
  </si>
  <si>
    <t>St. Stephen School</t>
  </si>
  <si>
    <t>Worcester</t>
  </si>
  <si>
    <t>https://www.telegram.com/news/20200605/diocese-announces-closure-of-st-stephen-school</t>
  </si>
  <si>
    <t>https://www.niche.com/k12/st-stephen-elementary-school-worcester-ma/</t>
  </si>
  <si>
    <t>355 Grafton St, Worcester, MA 01604</t>
  </si>
  <si>
    <t>St. Rose School</t>
  </si>
  <si>
    <t>Chelsea</t>
  </si>
  <si>
    <t>https://www.thebostonpilot.com/article.asp?ID=187792</t>
  </si>
  <si>
    <t>http://strosechelsea.com/aboutus/tuition.html</t>
  </si>
  <si>
    <t>https://www.niche.com/k12/st-rose-school-chelsea-ma/</t>
  </si>
  <si>
    <t>580 Broadway, Chelsea, MA 02150</t>
  </si>
  <si>
    <t>The Palmer School for Boys and Girls</t>
  </si>
  <si>
    <t>Walnut Creek</t>
  </si>
  <si>
    <t>https://patch.com/california/walnutcreek/walnut-creek-school-closes-abruptly-due-coronavirus</t>
  </si>
  <si>
    <t>https://web.archive.org/web/20190914063225/https://www.palmerschool.org/admissions/tuition-and-fees/</t>
  </si>
  <si>
    <t>https://www.niche.com/k12/palmer-school-walnut-creek-ca/</t>
  </si>
  <si>
    <t>2740 Jones Rd, Walnut Creek, CA 94597</t>
  </si>
  <si>
    <t xml:space="preserve">Saint Francis </t>
  </si>
  <si>
    <t>Pikeville</t>
  </si>
  <si>
    <t>https://cdlex.org/tuition-information</t>
  </si>
  <si>
    <t>https://www.niche.com/k12/st-francis-of-assisi-school-pikeville-ky/</t>
  </si>
  <si>
    <t>147 Bryan St, Pikeville, KY 41501</t>
  </si>
  <si>
    <t>St. Mary's School</t>
  </si>
  <si>
    <t xml:space="preserve">Worcester </t>
  </si>
  <si>
    <t xml:space="preserve">MA </t>
  </si>
  <si>
    <t>https://www.milforddailynews.com/news/20200609/heartbroken-families-lament-closing-of-st-marys-schools-in-worcester-catholic-schools-are-working-to-place-st-marys-students</t>
  </si>
  <si>
    <t>http://stmarysworcester.org/tuition/</t>
  </si>
  <si>
    <t>https://www.niche.com/k12/st-marys-junior-senior-high-school-worcester-ma/students/</t>
  </si>
  <si>
    <t>50 Richland St, Worcester, MA 01610</t>
  </si>
  <si>
    <t>The Paragon School</t>
  </si>
  <si>
    <t>Orlando</t>
  </si>
  <si>
    <t>https://www.redefinedonline.org/2020/06/pandemic-forces-closure-of-florida-private-school-for-students-with-autism/</t>
  </si>
  <si>
    <t>https://www.paragonschool.org/admissions/tuition-fees</t>
  </si>
  <si>
    <t>https://www.niche.com/k12/the-paragon-school-orlando-fl/</t>
  </si>
  <si>
    <t>4710 Adanson Street, Orlando, FL 32804</t>
  </si>
  <si>
    <t>Sacred Heart School</t>
  </si>
  <si>
    <t>Bath</t>
  </si>
  <si>
    <t>https://www.mcall.com/coronavirus/mc-nws-coronavirus-bath-bally-catholic-schools-closing-20200610-2jk7yhhf7rgknn5lbkhloh62qe-story.html</t>
  </si>
  <si>
    <t>https://www.sacred-heart-school.com/tuition-fees/</t>
  </si>
  <si>
    <t>https://www.niche.com/k12/st-francis-academy-bally-pa/</t>
  </si>
  <si>
    <t>115 Washington St, Bath, PA 18014</t>
  </si>
  <si>
    <t>St. Francis Academy</t>
  </si>
  <si>
    <t>Bally</t>
  </si>
  <si>
    <t>Pre-K and K programs continuing</t>
  </si>
  <si>
    <t>https://d2y1pz2y630308.cloudfront.net/22567/documents/2019/9/SFA%20Tuition%20FACTS%20-%202019-2020-1.pdf</t>
  </si>
  <si>
    <t>https://www.niche.com/k12/sacred-heart-of-jesus-parish-school-bath-pa/</t>
  </si>
  <si>
    <t>668 Pine St, Bally, PA 19503</t>
  </si>
  <si>
    <t>St. Patrick School</t>
  </si>
  <si>
    <t>Canonsburg</t>
  </si>
  <si>
    <t>https://observer-reporter.com/news/localnews/st-patrick-school-in-canonsburg-is-closing/article_a9dcd79a-ace6-11ea-89a8-4744a4305ddf.html</t>
  </si>
  <si>
    <t>https://saintpatsschool.org/tuition-financial-assistance</t>
  </si>
  <si>
    <t>https://www.niche.com/k12/st-patrick-school-canonsburg-pa/</t>
  </si>
  <si>
    <t>200 Murdock St, Canonsburg, PA 15317</t>
  </si>
  <si>
    <t>Our Lady of the Most Blessed Sacrament School</t>
  </si>
  <si>
    <t>Natrona Heights</t>
  </si>
  <si>
    <t>https://triblive.com/local/valley-news-dispatch/blessed-sacrament-school-in-natrona-heights-to-be-closed-by-pittsburgh-diocese/</t>
  </si>
  <si>
    <t>https://www.niche.com/k12/our-lady-of-the-most-blessed-sacrament-school-natrona-heights-pa/</t>
  </si>
  <si>
    <t>800 Montana Ave, Natrona Heights, PA 15065</t>
  </si>
  <si>
    <t>Honolulu</t>
  </si>
  <si>
    <t>https://www.asumag.com/facilities-management/article/21134419/catholic-school-in-honolulu-is-closing-after-60-years</t>
  </si>
  <si>
    <t>https://www.hais.us/Customized/Uploads/ByDate/2019/July_2019/July_31st_2019/19-20%20Tuition%20Report50601.pdf</t>
  </si>
  <si>
    <t>https://www.niche.com/k12/st-john-the-baptist-catholic-school-honolulu-hi/</t>
  </si>
  <si>
    <t>2340 Omilo Ln, Honolulu, HI 96819</t>
  </si>
  <si>
    <t>Saint Joseph Elementary School</t>
  </si>
  <si>
    <t>no</t>
  </si>
  <si>
    <t>Verona</t>
  </si>
  <si>
    <t xml:space="preserve">NCES </t>
  </si>
  <si>
    <t>Merging with Saint John the Baptist School</t>
  </si>
  <si>
    <t>https://pittsburgh.cbslocal.com/2020/06/12/diocese-of-pittsburgh-announces-closure-of-two-elementary-schools-merger-of-two-elementary-schools/</t>
  </si>
  <si>
    <t>https://stjoeschool.opvcatholic.org/tuition</t>
  </si>
  <si>
    <t>https://www.niche.com/k12/st-joseph-school---verona-verona-pa/</t>
  </si>
  <si>
    <t>825 2nd St, Verona, PA 15147</t>
  </si>
  <si>
    <t>Holy Family Catholic School </t>
  </si>
  <si>
    <t>Moss Bluff</t>
  </si>
  <si>
    <t>https://www.americanpress.com/news/holy-family-school-in-moss-bluff-closing/article_a2003458-8be5-581b-bf9a-3103afd7275e.html</t>
  </si>
  <si>
    <t>https://d2y1pz2y630308.cloudfront.net/21711/documents/2019/2/Registration%20Fee%202019-2020-1.pdf</t>
  </si>
  <si>
    <t>https://www.niche.com/k12/st-theodore-holy-family-catholic-school-lake-charles-la/</t>
  </si>
  <si>
    <t>785 Sam Houston Jones Pkwy, Lake Charles, LA 70611</t>
  </si>
  <si>
    <t>Middleburg Academy</t>
  </si>
  <si>
    <t xml:space="preserve">Middleburg </t>
  </si>
  <si>
    <t>https://www.loudountimes.com/news/middleburg-academy-to-close-its-doors/article_d323aa1a-b09d-11ea-8d1c-87e10516c30a.html</t>
  </si>
  <si>
    <t>http://www.middleburgacademy.org/affordability-tuition</t>
  </si>
  <si>
    <t>https://www.niche.com/k12/middleburg-academy-middleburg-va/students/</t>
  </si>
  <si>
    <t>Blessed Sacrament School</t>
  </si>
  <si>
    <t>Midland</t>
  </si>
  <si>
    <t>https://www.ourmidland.com/news/article/Blessed-Sacrament-School-closes-after-65-15347571.php</t>
  </si>
  <si>
    <t>https://www.niche.com/k12/blessed-sacrament-elementary-school-midland-mi/</t>
  </si>
  <si>
    <t>3109 Swede Ave, Midland, MI 48642</t>
  </si>
  <si>
    <t>Holy Family Regional School</t>
  </si>
  <si>
    <t>Commack</t>
  </si>
  <si>
    <t>https://www.newsday.com/long-island/religion/catholic-schools-closures-long-island-coronavirus-covid19-1.45896546</t>
  </si>
  <si>
    <t>https://holyfamilyregional.com/tuition</t>
  </si>
  <si>
    <t>https://www.niche.com/k12/holy-family-regional-school-commack-ny/</t>
  </si>
  <si>
    <t>2 Indian Head Rd, Commack, NY 11725</t>
  </si>
  <si>
    <t>Our Lady of Wisdom Regional School</t>
  </si>
  <si>
    <t>Port Jefferson</t>
  </si>
  <si>
    <t>https://olowregional.org/tuition-and-financial-aid</t>
  </si>
  <si>
    <t>https://www.niche.com/k12/our-lady-of-wisdom-regional-school-port-jefferson-ny/</t>
  </si>
  <si>
    <t>114-116 Myrtle Ave, Port Jefferson, NY 11777</t>
  </si>
  <si>
    <t>Saint Peter of Alcantara Elementary School</t>
  </si>
  <si>
    <t>Port Washington</t>
  </si>
  <si>
    <t>https://www.niche.com/k12/st-peter-of-alcantara-school-port-washington-ny/</t>
  </si>
  <si>
    <t>1321 Port Washington Blvd, Port Washington, NY 11050</t>
  </si>
  <si>
    <t>Our Lady of Perpetual Help</t>
  </si>
  <si>
    <t>Ewa Beach</t>
  </si>
  <si>
    <t>https://www.hawaiicatholicherald.com/2020/06/24/covid-stress-closes-kalihi-and-ewa-beach-catholic-schools/</t>
  </si>
  <si>
    <t>https://www.niche.com/k12/our-lady-of-perpetual-help-school-ewa-beach-hi/</t>
  </si>
  <si>
    <t>91-1010 N Rd, Ewa Beach, HI 96706</t>
  </si>
  <si>
    <t>The Jefferson School and Residential Center</t>
  </si>
  <si>
    <t>Frederick</t>
  </si>
  <si>
    <t xml:space="preserve">Faced legal problems from sexual abuse in addition to financial. Special education and mental health school for 12-18 year olds </t>
  </si>
  <si>
    <t>https://www.bizjournals.com/baltimore/news/2020/06/25/sheppard-pratt-to-close-jefferson-school-maryland.html</t>
  </si>
  <si>
    <t>https://www.greatschools.org/maryland/jefferson/1862-The-Jefferson-School/</t>
  </si>
  <si>
    <t>2940 Point of Rocks Rd, Jefferson, MD 21755</t>
  </si>
  <si>
    <t xml:space="preserve">Oxford </t>
  </si>
  <si>
    <t>https://catholicphilly.com/2020/06/news/local-news/two-chester-county-catholic-schools-wont-reopen-in-fall/</t>
  </si>
  <si>
    <t>https://shsoxford.us/tuition</t>
  </si>
  <si>
    <t>https://www.niche.com/k12/sacred-heart-school-oxford-pa/</t>
  </si>
  <si>
    <t>205 Church Rd, Oxford, PA 19363</t>
  </si>
  <si>
    <t>St Thomas Aquinas School</t>
  </si>
  <si>
    <t>Derry</t>
  </si>
  <si>
    <t>https://www.eagletribune.com/news/new_hampshire/st-thomas-aquinas-school-in-derry-to-close-for-good/article_2a9527f9-298a-5a67-a49b-f9e1c2a8c9bb.html</t>
  </si>
  <si>
    <t>https://www.staderry.com/copy-of-tuition</t>
  </si>
  <si>
    <t>https://www.niche.com/k12/st-thomas-aquinas-school-derry-nh/</t>
  </si>
  <si>
    <t>3 Moody St, Derry, NH 03038</t>
  </si>
  <si>
    <t>St. Cornelius Catholic School</t>
  </si>
  <si>
    <t>Richmond</t>
  </si>
  <si>
    <t>https://richmondstandard.com/richmond/2020/07/07/diocese-to-close-72-year-old-catholic-school-in-richmond/</t>
  </si>
  <si>
    <t>https://www.privateschoolreview.com/st-cornelius-school-profile</t>
  </si>
  <si>
    <t>https://www.greatschools.org/california/richmond/8242-St.-Cornelius-Elementary-School/</t>
  </si>
  <si>
    <t>201 28th St, Richmond, CA 94804</t>
  </si>
  <si>
    <t>All Saints School</t>
  </si>
  <si>
    <t>http://www.allsaintsla.com/ministries/all-saints-school</t>
  </si>
  <si>
    <t>https://www.niche.com/k12/all-saints-catholic-school-los-angeles-ca/</t>
  </si>
  <si>
    <t>3420 Portola Ave, Los Angeles, CA 90032</t>
  </si>
  <si>
    <t xml:space="preserve">Corpus Christi School </t>
  </si>
  <si>
    <t>School Website</t>
  </si>
  <si>
    <t>https://wcbs880.radio.com/articles/news/ny-archdiocese-closing-20-catholic-schools</t>
  </si>
  <si>
    <t>https://ccschoolnyc.org/documents/2020/1/11086-Corpus%20Christi%20NYC%20Tuition%20and%20Fees%20Rate%20Sheet.pdf</t>
  </si>
  <si>
    <t>https://www.niche.com/k12/corpus-christi-school-new-york-ny/</t>
  </si>
  <si>
    <t>533 W 121st St, New York, NY 10027</t>
  </si>
  <si>
    <t xml:space="preserve">Divine Mercy School </t>
  </si>
  <si>
    <t>New Windsor</t>
  </si>
  <si>
    <t>https://divinemercynewwindsor.org/documents/2020/1/11118-Divine%20Mercy%20Tuition%20and%20Fees%20Rate%20Sheet%20with%20English%20and%20Spanish%20sheets.pdf</t>
  </si>
  <si>
    <t>https://www.niche.com/k12/divine-mercy-catholic-academy-ozone-park-ny/</t>
  </si>
  <si>
    <t>148 Windsor Hwy, New Windsor, NY 12553</t>
  </si>
  <si>
    <t xml:space="preserve">Holy Family School </t>
  </si>
  <si>
    <t>New Rochelle</t>
  </si>
  <si>
    <t>https://holyfamilynewrochelle.org/tuition-and-fees</t>
  </si>
  <si>
    <t>https://www.greatschools.org/new-york/new-rochelle/4458-Holy-Family-School/</t>
  </si>
  <si>
    <t>100 Mt Joy Pl, New Rochelle, NY 10801</t>
  </si>
  <si>
    <t xml:space="preserve">Nativity of Our Blessed Lady School </t>
  </si>
  <si>
    <t>The Bronx</t>
  </si>
  <si>
    <t>https://nativityofourblessedlady.org/tuition-fees</t>
  </si>
  <si>
    <t>https://www.niche.com/k12/nativity-of-our-blessed-lady-school-bronx-ny/</t>
  </si>
  <si>
    <t>1531 E 233rd St, The Bronx, NY 10466</t>
  </si>
  <si>
    <t xml:space="preserve">Our Lady of Mt. Carmel-St. Benedicta School </t>
  </si>
  <si>
    <t>Staten Island</t>
  </si>
  <si>
    <t>https://olmcsb.org/tuition-amp-fees</t>
  </si>
  <si>
    <t>https://www.niche.com/k12/our-lady-of-mt-carmel-st-benedicta-school-staten-island-ny/</t>
  </si>
  <si>
    <t>285 Clove Rd, Staten Island, NY 10310</t>
  </si>
  <si>
    <t xml:space="preserve">Our Lady of Perpetual Help School </t>
  </si>
  <si>
    <t>Pelham</t>
  </si>
  <si>
    <t>https://www.olphpelham.com/files/OLPH_PS_Handbook_17-18.pdf</t>
  </si>
  <si>
    <t>https://www.niche.com/k12/our-lady-of-perpetual-help-school-pelham-ny/</t>
  </si>
  <si>
    <t>575 Fowler Ave, Pelham, NY 10803</t>
  </si>
  <si>
    <t xml:space="preserve">Our Lady of Pompeii School </t>
  </si>
  <si>
    <t>https://ourladyofpompeii.nyc/tuition-amp-fees</t>
  </si>
  <si>
    <t>https://www.niche.com/k12/our-lady-of-pompeii-school-new-york-ny/</t>
  </si>
  <si>
    <t>240 Bleecker St, New York, NY 10014</t>
  </si>
  <si>
    <t xml:space="preserve">Our Lady of the Assumption School </t>
  </si>
  <si>
    <t>https://olassumptionbronx.org/tuition-amp-fees</t>
  </si>
  <si>
    <t>https://www.niche.com/k12/our-lady-of-the-assumption-school-bronx-ny/</t>
  </si>
  <si>
    <t>1617 Parkview Ave, The Bronx, NY 10461</t>
  </si>
  <si>
    <t xml:space="preserve">Sacred Heart School </t>
  </si>
  <si>
    <t>Suffern</t>
  </si>
  <si>
    <t>https://sacredheartschoolsuffern.com/tuition-amp-fees</t>
  </si>
  <si>
    <t>https://www.niche.com/k12/sacred-heart-school-suffern-ny/</t>
  </si>
  <si>
    <t>60 Washington Ave, Suffern, NY 10901</t>
  </si>
  <si>
    <t>St. Ann School</t>
  </si>
  <si>
    <t>Yonkers</t>
  </si>
  <si>
    <t>https://stannschoolyonkers.org/tuition-amp-fees</t>
  </si>
  <si>
    <t>https://www.niche.com/k12/st-ann-school-yonkers-ny/</t>
  </si>
  <si>
    <t>40 Brewster Ave, Yonkers, NY 10701</t>
  </si>
  <si>
    <t>St. Elizabeth Ann Seton School</t>
  </si>
  <si>
    <t>Shrub Oak</t>
  </si>
  <si>
    <t>https://seasschool.com/tuition-and-fees</t>
  </si>
  <si>
    <t>https://www.niche.com/k12/st-elizabeth-ann-seton-school-shrub-oak-ny/</t>
  </si>
  <si>
    <t>1375 E Main St, Shrub Oak, NY 10588</t>
  </si>
  <si>
    <t>St. John’s School, Kingsbridge</t>
  </si>
  <si>
    <t>https://stjohnschoolbronx.org/tuition-and-fees</t>
  </si>
  <si>
    <t>https://www.niche.com/k12/st-john-school-bronx-ny/</t>
  </si>
  <si>
    <t>3143 Kingsbridge Ave, The Bronx, NY 10463</t>
  </si>
  <si>
    <t xml:space="preserve">St. Joseph-St. Thomas School </t>
  </si>
  <si>
    <t>https://sjstschoolsi.org/tuition-amp-fees</t>
  </si>
  <si>
    <t>https://www.niche.com/k12/ss-joseph--and--thomas-school-staten-island-ny/</t>
  </si>
  <si>
    <t>50 Maguire Ave, Staten Island, NY 10309</t>
  </si>
  <si>
    <t>St. Luke School</t>
  </si>
  <si>
    <t>https://stluke138.org/tuition-and-fees</t>
  </si>
  <si>
    <t>https://www.niche.com/k12/st-luke-school-bronx-ny/</t>
  </si>
  <si>
    <t>608 E 139th St, The Bronx, NY 10454</t>
  </si>
  <si>
    <t xml:space="preserve">St. Patrick School </t>
  </si>
  <si>
    <t>Bedford</t>
  </si>
  <si>
    <t>https://stpatricksbedford.com/tuition-amp-fees</t>
  </si>
  <si>
    <t>https://www.niche.com/k12/st-patricks-parochial-school-bedford-ny/</t>
  </si>
  <si>
    <t>483 Old Post Rd, Bedford, NY 10506</t>
  </si>
  <si>
    <t>St. Paul School</t>
  </si>
  <si>
    <t>https://saintpaultheapostleyonkers.org/tuition-amp-fees</t>
  </si>
  <si>
    <t>https://www.niche.com/k12/st-paul-the-apostle-school-yonkers-ny/</t>
  </si>
  <si>
    <t>77 Lee Ave, Yonkers, NY 10705</t>
  </si>
  <si>
    <t>St. Peter School</t>
  </si>
  <si>
    <t>https://stpetersschoolpoughkeepsie.com/tuition-and-fees</t>
  </si>
  <si>
    <t>https://www.niche.com/k12/st-peter-school-poughkeepsie-ny/</t>
  </si>
  <si>
    <t>12 Father Cody Dr, Poughkeepsie, NY 12601</t>
  </si>
  <si>
    <t>Sts. Peter &amp; Paul School</t>
  </si>
  <si>
    <t>https://stpeterstpaulschoolsi.org/tuition-amp-fees</t>
  </si>
  <si>
    <t>https://www.niche.com/k12/st-peters-elementary-school-staten-island-ny/</t>
  </si>
  <si>
    <t>200 Clinton Ave, Staten Island, NY 10301</t>
  </si>
  <si>
    <t xml:space="preserve">Sts. Philip &amp; James School </t>
  </si>
  <si>
    <t>https://spjschoolbronx.org/tuition-registration-fees</t>
  </si>
  <si>
    <t>https://www.niche.com/k12/ss-philip--and--james-school-saint-james-ny/</t>
  </si>
  <si>
    <t>1160 E 213th St, The Bronx, NY 10469</t>
  </si>
  <si>
    <t xml:space="preserve">St. Thomas Aquinas School </t>
  </si>
  <si>
    <t>https://staschoolbx.org/tuition-fees</t>
  </si>
  <si>
    <t>http://www.usaschoolinfo.com/school/st-thomas-aquinas-elementaryschool-bronx-new-york.109837/enrollment</t>
  </si>
  <si>
    <t>1909 Daly Ave, The Bronx, NY 10460</t>
  </si>
  <si>
    <t>Monroe</t>
  </si>
  <si>
    <t>Will be consolidated into St. John School in Goshen</t>
  </si>
  <si>
    <t>https://sacredheartmonroe.net/tuition-amp-fees</t>
  </si>
  <si>
    <t>https://www.niche.com/k12/sacred-heart-school-monroe-ny/</t>
  </si>
  <si>
    <t>26 Still Rd, Monroe, NY 10950</t>
  </si>
  <si>
    <t>St. Stephen- St. Edward School</t>
  </si>
  <si>
    <t>https://ststephenstedward.org/tuition-amp-fees</t>
  </si>
  <si>
    <t>https://www.niche.com/k12/st-stephen-st-edward-school-warwick-ny/</t>
  </si>
  <si>
    <t>75 Sanfordville Rd, Warwick, NY 10990</t>
  </si>
  <si>
    <t xml:space="preserve">Holy Trinity Catholic Academy </t>
  </si>
  <si>
    <t>Whitestone</t>
  </si>
  <si>
    <t>https://thetablet.org/diocese-brooklyn-closes-six-schools/</t>
  </si>
  <si>
    <t>https://www.schooldigger.com/go/NY/schools/9999903879/school.aspx</t>
  </si>
  <si>
    <t>14-45 143rd St, Whitestone, NY 11357</t>
  </si>
  <si>
    <t>St. Mel’s Catholic Academy</t>
  </si>
  <si>
    <t>https://stmelsacademy.org/tuition-and-financial-aid/</t>
  </si>
  <si>
    <t>https://www.niche.com/k12/st-mels-catholic-academy-flushing-ny/</t>
  </si>
  <si>
    <t>15424 26th Ave, Flushing, NY 11354</t>
  </si>
  <si>
    <t>Our Lady of Grace Catholic Academy</t>
  </si>
  <si>
    <t>Howard Beach</t>
  </si>
  <si>
    <t>https://olgcahb.org/tuition-financial-aid/olgca-financial-policy-2020-2021-k-8-1/</t>
  </si>
  <si>
    <t>https://www.niche.com/k12/our-lady-of-grace-school-new-york-city-ny-bb061130/</t>
  </si>
  <si>
    <t>158-20 101st St, Howard Beach, NY 11414</t>
  </si>
  <si>
    <t>Our Lady’s Catholic Academy</t>
  </si>
  <si>
    <t>South Ozone Park</t>
  </si>
  <si>
    <t>https://olcacademy.net/wp-content/uploads/2020/06/TUITION-FEES-FOR-2020-2021.pdf</t>
  </si>
  <si>
    <t>https://www.niche.com/k12/our-ladys-catholic-academy-south-ozone-park-ny/</t>
  </si>
  <si>
    <t>109-55 128th St, South Ozone Park, NY 11420</t>
  </si>
  <si>
    <t>Queen of the Rosary Catholic Academy</t>
  </si>
  <si>
    <t>East Williamsburg</t>
  </si>
  <si>
    <t>https://queenoftherosarybrooklyn.org/tuition-financial-aid/</t>
  </si>
  <si>
    <t>https://www.niche.com/k12/queen-of-the-rosary-catholic-academy-st-nicholas-brooklyn-ny/</t>
  </si>
  <si>
    <t>11 Catherine St #2706, Brooklyn, NY 11211</t>
  </si>
  <si>
    <t>St. Gregory the Great Catholic Academy</t>
  </si>
  <si>
    <t>Flatbush</t>
  </si>
  <si>
    <t>https://3e62ad59-81ab-4a73-9e72-f4da901e1eb9.filesusr.com/ugd/751479_dd5fab0055514201b8007db5c4bc774c.pdf</t>
  </si>
  <si>
    <t>https://www.niche.com/k12/st-gregory-the-great-catholic-academy-brooklyn-ny/</t>
  </si>
  <si>
    <t>2520 Church Ave, Brooklyn, NY 11226</t>
  </si>
  <si>
    <t>Smith Academy</t>
  </si>
  <si>
    <t xml:space="preserve">Austin </t>
  </si>
  <si>
    <t>https://www.kxan.com/news/local/austin/private-school-to-permanently-close-due-to-financial-struggles-during-the-pandemic/</t>
  </si>
  <si>
    <t>11530 Menchaca Rd Building 5, Austin, TX 78748</t>
  </si>
  <si>
    <t>Evangel Christian School</t>
  </si>
  <si>
    <t>Long Island City</t>
  </si>
  <si>
    <t>http://www.evangelchristianschool.org/tuitionandfees.php</t>
  </si>
  <si>
    <t>https://www.greatschools.org/new-york/long-island-city/5523-Evangel-Christian-School/</t>
  </si>
  <si>
    <t>3921 Crescent St, Long Island City, NY 11101</t>
  </si>
  <si>
    <t>Saint Joseph Catholic School</t>
  </si>
  <si>
    <t>https://www.alicetx.com/story/news/education/2020/07/16/st-joseph-catholic-school-closes/42603645/</t>
  </si>
  <si>
    <t>710 S 19th St, Corpus Christi, TX 78405</t>
  </si>
  <si>
    <t>St. Jane Frances School</t>
  </si>
  <si>
    <t>https://catholicreview.org/st-jane-frances-in-pasadena-transitioning-to-preschool/</t>
  </si>
  <si>
    <t>https://www.niche.com/k12/st-jane-frances-de-chantal-school-pasadena-md/</t>
  </si>
  <si>
    <t>8513 St Jane Dr, Pasadena, MD 21122</t>
  </si>
  <si>
    <t>Transfiguration Academy</t>
  </si>
  <si>
    <t>Bergenfield</t>
  </si>
  <si>
    <t>https://www.nj.com/education/2020/08/8-more-nj-catholic-schools-will-close-or-merge-as-enrollment-drops-dramatically.html</t>
  </si>
  <si>
    <t>http://www.transfigurationacademy.org/tfa/_zumu_user_doc_cache/k_8_tuition_rate_19_20.pdf</t>
  </si>
  <si>
    <t>https://www.niche.com/k12/transfiguration-academy-bergenfield-nj/</t>
  </si>
  <si>
    <t>10 Bradley Ave, Bergenfield, NJ 07621</t>
  </si>
  <si>
    <t>Bogota</t>
  </si>
  <si>
    <t>http://sjsbogota.com/wp-content/uploads/2020/01/20-21-TUITION-contract-NEW-K-8.pdf</t>
  </si>
  <si>
    <t>https://www.niche.com/k12/st-joseph-academy-bogota-nj/</t>
  </si>
  <si>
    <t>131 E Fort Lee Rd, Bogota, NJ 07603</t>
  </si>
  <si>
    <t>The Academy of St. Mary</t>
  </si>
  <si>
    <t>Rutherford</t>
  </si>
  <si>
    <t>https://www.niche.com/k12/st-mary-high-school-rutherford-nj/</t>
  </si>
  <si>
    <t>https://www.niche.com/k12/the-academy-at-saint-mary-rutherford-nj/</t>
  </si>
  <si>
    <t>72 Chestnut St, Rutherford, NJ 07070</t>
  </si>
  <si>
    <t>St. Francis Xavier</t>
  </si>
  <si>
    <t>http://www.stfxschool.org/admissionstuition/</t>
  </si>
  <si>
    <t>https://www.niche.com/k12/st-francis-xavier-school-newark-nj/</t>
  </si>
  <si>
    <t>594 N 7th St, Newark, NJ 07107</t>
  </si>
  <si>
    <t>Ironbound Catholic Academy</t>
  </si>
  <si>
    <t>http://ironboundcatholic.org/admissions/registration-information/</t>
  </si>
  <si>
    <t>https://www.niche.com/k12/ironbound-catholic-academy-newark-nj/</t>
  </si>
  <si>
    <t>366 E Kinney St, Newark, NJ 07105</t>
  </si>
  <si>
    <t xml:space="preserve">St. Augustine School </t>
  </si>
  <si>
    <t>Union City</t>
  </si>
  <si>
    <t>Merging to St. Joseph of the Palisades, in West New York</t>
  </si>
  <si>
    <t>https://staugustinesunioncity.com/tuition-fees/</t>
  </si>
  <si>
    <t>https://www.niche.com/k12/st-augustine-school-union-city-nj/</t>
  </si>
  <si>
    <t>3920 New York Ave, Union City, NJ 07087</t>
  </si>
  <si>
    <t>Mother Seton</t>
  </si>
  <si>
    <t>https://www.niche.com/k12/mother-seton-school-union-city-nj/</t>
  </si>
  <si>
    <t>1501 New York Ave, Union City, NJ 07087</t>
  </si>
  <si>
    <t>Our Lady of Guadalupe</t>
  </si>
  <si>
    <t>Merging to St. Joseph the Carpenter, in Roselle</t>
  </si>
  <si>
    <t>http://olgacademy.org/olg/Admission/Registration/</t>
  </si>
  <si>
    <t>https://www.niche.com/k12/our-lady-of-guadalupe-academy-elizabeth-nj/</t>
  </si>
  <si>
    <t>227 Centre St, Elizabeth, NJ 07202</t>
  </si>
  <si>
    <t>St John's Lutheran School</t>
  </si>
  <si>
    <t>Beloit</t>
  </si>
  <si>
    <t>https://www.beloitdailynews.com/news/local-news/st-johns-lutheran-school-to-close/article_da050d93-655d-5abb-b271-94be6edece76.html</t>
  </si>
  <si>
    <t>https://www.privateschoolreview.com/st-john-s-lutheran-school-profile/53511</t>
  </si>
  <si>
    <t>https://www.niche.com/k12/st-johns-lutheran-school-beloit-wi/</t>
  </si>
  <si>
    <t>1000 Bluff St, Beloit, WI 53511</t>
  </si>
  <si>
    <t>Chase Collegiate Education</t>
  </si>
  <si>
    <t>Waterbury</t>
  </si>
  <si>
    <t>https://patch.com/connecticut/naugatuck/chase-collegiate-school-close</t>
  </si>
  <si>
    <t>https://www.chasecollegiate.org/admissions/tuition-fees</t>
  </si>
  <si>
    <t>https://www.greatschools.org/connecticut/waterbury/1290-Chase-Collegiate-School/</t>
  </si>
  <si>
    <t>565 Chase Pkwy, Waterbury, CT 06708</t>
  </si>
  <si>
    <t>Henry Barnard School</t>
  </si>
  <si>
    <t>Providence</t>
  </si>
  <si>
    <t>Laboratory school at Rhode Island College</t>
  </si>
  <si>
    <t>http://henrybarnardschool.org/rhode-island-college-implements-cost-cutting-measures/</t>
  </si>
  <si>
    <t>https://www.niche.com/k12/henry-barnard-laboratory-school-providence-ri/</t>
  </si>
  <si>
    <t>600 Mt Pleasant Ave, Providence, RI 02908</t>
  </si>
  <si>
    <t>St. Gabriel Catholic School</t>
  </si>
  <si>
    <t>https://www.fox5vegas.com/news/las-vegas-students-split-up-after-billionaire-financial-backer-defunds-private-school/article_ef36bc10-e58b-11ea-b0e7-abfe8003a2e9.html</t>
  </si>
  <si>
    <t>http://www.sgcslv.com/registration</t>
  </si>
  <si>
    <t>2170 E Maule Ave, Las Vegas, NV 89119</t>
  </si>
  <si>
    <t>Smithfield Avenue Nursery and Kindergarten</t>
  </si>
  <si>
    <t>Pawtucket</t>
  </si>
  <si>
    <t>5 is the Kindergarten count (https://www.privateschoolreview.com/smithfield-ave-nursery-school-kindergarten-profile)</t>
  </si>
  <si>
    <t>http://www.smithfieldave.org/home/tuition</t>
  </si>
  <si>
    <t>https://www.greatschools.org/rhode-island/pawtucket/754-Smithfield-Ave-Nursery-School--Kindergarten/</t>
  </si>
  <si>
    <t>514 Smithfield Ave, Pawtucket, RI 02860</t>
  </si>
  <si>
    <t>Childlight Montessori</t>
  </si>
  <si>
    <t>Niche</t>
  </si>
  <si>
    <t>https://www.facebook.com/pg/ChildlightMontessori/posts/</t>
  </si>
  <si>
    <t>https://www.niche.com/k12/childlight-montessori-school-berwick-me/</t>
  </si>
  <si>
    <t>395 Portland St Berwick, ME 03901</t>
  </si>
  <si>
    <t xml:space="preserve">St. Basil Academy </t>
  </si>
  <si>
    <t>Jenkintown</t>
  </si>
  <si>
    <t>Financial, called and they said not related to COVID</t>
  </si>
  <si>
    <t>https://6abc.com/st.-basil-academy-closing-is-jenkintown-school-closure-pennsylvania/6871779/, https://www.inquirer.com/education/st-basil-academy-closing-jenktintown-philadelphia-catholic-school-20201008.html</t>
  </si>
  <si>
    <t>https://www.niche.com/k12/st-basil-academy-jenkintown-pa/</t>
  </si>
  <si>
    <t>https://www.niche.com/k12/st-basil-academy-jenkintown-pa/students/</t>
  </si>
  <si>
    <t>711 Fox Chase Rd, Jenkintown, PA 19046</t>
  </si>
  <si>
    <t>Bright Water Waldorf School</t>
  </si>
  <si>
    <t>Closing after 2020-2021 school year</t>
  </si>
  <si>
    <t>https://www.capitolhillseattle.com/2020/10/after-covid-crisis-cut-to-enrollment-capitol-hills-private-bright-water-says-will-close-after-school-year/</t>
  </si>
  <si>
    <t>https://www.privateschoolreview.com/bright-water-waldorf-school-profile</t>
  </si>
  <si>
    <t>https://www.brightwaterwaldorf.org/tuition</t>
  </si>
  <si>
    <t>https://www.niche.com/k12/bright-water-school-seattle-wa/</t>
  </si>
  <si>
    <t>1501 10th Ave E, Seattle, WA 98102</t>
  </si>
  <si>
    <t>John W. Hallahan Catholic Girls' High School</t>
  </si>
  <si>
    <t>decreasing enrollment</t>
  </si>
  <si>
    <t>https://6abc.com/archdiocese-of-philadelphia-john-w-hallahan-bishop-mcdevitt-wyncote/8080855/</t>
  </si>
  <si>
    <t>https://www.privateschoolreview.com/jw-hallahan-catholic-girls-high-school-profile</t>
  </si>
  <si>
    <t>https://www.inquirer.com/education/catholic-school-closing-hallahan-mcdevitt-20201118.html</t>
  </si>
  <si>
    <t>https://www.greatschools.org/pennsylvania/philadelphia/3359-John-W.-Hallahan-Catholic-Girls-High-School/</t>
  </si>
  <si>
    <t>311 N 19th St, Philadelphia, PA 19103</t>
  </si>
  <si>
    <t>Bishop McDevitt High School</t>
  </si>
  <si>
    <t>Wyncote</t>
  </si>
  <si>
    <t>http://www.usaschoolinfo.com/school/bishop-mcdevitt-high-school-wyncote-pennsylvania.111388/enrollment</t>
  </si>
  <si>
    <t>125 Royal Ave, Wyncote, PA 19095</t>
  </si>
  <si>
    <t>Monadnock Waldorf School</t>
  </si>
  <si>
    <t>Keene</t>
  </si>
  <si>
    <t>https://www.sentinelsource.com/news/local/monadnock-waldorf-school-to-close-at-end-of-academic-year/article_756cb1d4-45b5-5c2b-b543-9b8ba128d02c.html</t>
  </si>
  <si>
    <t>https://www.privateschoolreview.com/monadnock-waldorf-school-profile</t>
  </si>
  <si>
    <t>https://static1.squarespace.com/static/580e0c1abe65946f27fee328/t/5ea9e9724ee16c394b6a8950/1588193650242/Tuition+Estimates+2020-2021_May.pdf</t>
  </si>
  <si>
    <t>https://www.greatschools.org/new-hampshire/keene/579-Monadnock-Waldorf-School/</t>
  </si>
  <si>
    <t>98 S Lincoln St, Keene, NH 03431</t>
  </si>
  <si>
    <t>St. Agnes Academic High School</t>
  </si>
  <si>
    <t>College Point</t>
  </si>
  <si>
    <t>https://qns.com/2021/01/st-agnes-academic-high-school-in-college-point-to-close-due-to-financial-hardship/</t>
  </si>
  <si>
    <t>https://www.stagneshs.org/apps/pages/index.jsp?uREC_ID=69060&amp;type=d</t>
  </si>
  <si>
    <t>https://www.niche.com/k12/st-agnes-academic-school-college-point-ny/students/</t>
  </si>
  <si>
    <t>1320 124th St, Flushing, NY 11356</t>
  </si>
  <si>
    <t>Moving to St. Thomas Aquinas School</t>
  </si>
  <si>
    <t>https://www.inquirer.com/news/saint-gabriel-catholic-school-closing-philadelphia-20210115.html</t>
  </si>
  <si>
    <t>https://www.niche.com/k12/st-gabriel-school-philadelphia-pa/</t>
  </si>
  <si>
    <t>Staff said they subsidize &gt;50% of the tuition already</t>
  </si>
  <si>
    <t>2917 Dickinson St, Philadelphia, PA 19146</t>
  </si>
  <si>
    <t>Christ Our Savior</t>
  </si>
  <si>
    <t>South Holland</t>
  </si>
  <si>
    <t>decreasing enrollment and financial deficits</t>
  </si>
  <si>
    <t>https://schools.archchicago.org/en/news-release/-/article/2021/01/22/news-release-2021-school-announcements</t>
  </si>
  <si>
    <t>https://www.privateschoolreview.com/christ-our-savior-catholic-school-profile</t>
  </si>
  <si>
    <t>http://christoursaviorcatholicschool.org/tuition/</t>
  </si>
  <si>
    <t>https://www.niche.com/k12/christ-our-savior-catholic-school-south-holland-il/</t>
  </si>
  <si>
    <t>900 E. 154th Street, South Holland, IL 60473</t>
  </si>
  <si>
    <t>Melrose Park</t>
  </si>
  <si>
    <t>https://www.niche.com/k12/sacred-heart-school-melrose-park-il/</t>
  </si>
  <si>
    <t>http://www.shsmelrosepark.com/forms/Tuition_Agreement_2018_2019.pdf</t>
  </si>
  <si>
    <t>https://www.greatschools.org/illinois/melrose-park/4411-Sacred-Heart-School/</t>
  </si>
  <si>
    <t>815 N 16th Ave, Melrose Park, IL 60160</t>
  </si>
  <si>
    <t>Lansing</t>
  </si>
  <si>
    <t>https://www.privateschoolreview.com/st-ann-elementary-school-profile</t>
  </si>
  <si>
    <t>https://stannschoollansing.org/admissions/tuition-financial-assistance/</t>
  </si>
  <si>
    <t>https://www.niche.com/k12/st-ann-school-lansing-lansing-il/</t>
  </si>
  <si>
    <t>3014 Ridge Rd, Lansing, IL 60438</t>
  </si>
  <si>
    <t>Kaneohe</t>
  </si>
  <si>
    <t>https://www.hawaiinewsnow.com/2021/01/24/after-years-st-anns-catholic-school-decides-close-their-doors/</t>
  </si>
  <si>
    <t>https://www.privateschoolreview.com/st-ann-school-profile/96744</t>
  </si>
  <si>
    <r>
      <rPr>
        <rFont val="Calibri"/>
        <color theme="1"/>
        <sz val="11.0"/>
      </rPr>
      <t xml:space="preserve">29.8% multiracial, 23.7% Pacific Islander. </t>
    </r>
    <r>
      <rPr>
        <rFont val="Calibri"/>
        <color rgb="FF1155CC"/>
        <sz val="11.0"/>
        <u/>
      </rPr>
      <t>https://www.niche.com/k12/st-anns-model-schools-kaneohe-hi/</t>
    </r>
  </si>
  <si>
    <t>46-129 Haiku Rd, Kaneohe, HI 96744</t>
  </si>
  <si>
    <t>St. Joseph Catholic School</t>
  </si>
  <si>
    <t>Summit</t>
  </si>
  <si>
    <t>https://www.privateschoolreview.com/st-joseph-elementary-school-profile/60501</t>
  </si>
  <si>
    <t>https://www.stjosephsummit.com/ourpages/auto/2020/8/14/76623566/Tuition%20Schedule%20Comparison-2020-2021.pdf</t>
  </si>
  <si>
    <t>https://www.niche.com/k12/st-joseph-elementary-school-summit-il/</t>
  </si>
  <si>
    <t>5641 S 73rd Ave, Summit, IL 60501</t>
  </si>
  <si>
    <t>St. Benedict School</t>
  </si>
  <si>
    <t>Blue Island</t>
  </si>
  <si>
    <t>Merging with St. Walter</t>
  </si>
  <si>
    <t>https://www.privateschoolreview.com/st-benedict-elementary-school-profile</t>
  </si>
  <si>
    <t>https://www.stbenbi.org/tuition-affordability</t>
  </si>
  <si>
    <t>https://www.niche.com/k12/st-benedict-school-blue-island-il/</t>
  </si>
  <si>
    <t>2324 New St, Blue Island, IL 60406</t>
  </si>
  <si>
    <t>St. Walter Catholic School</t>
  </si>
  <si>
    <t>Merging with St. Benedict (counts as one net closure due to new school opening)</t>
  </si>
  <si>
    <t>https://www.privateschoolreview.com/st-walter-school-profile</t>
  </si>
  <si>
    <t>http://stwalter.org/tuition-and-fees/</t>
  </si>
  <si>
    <t>https://www.niche.com/k12/st-walter-school-chicago-il/</t>
  </si>
  <si>
    <t>11741 S. Western Ave. Chicago, IL 60643</t>
  </si>
  <si>
    <t>St. Paul Mission Grade School</t>
  </si>
  <si>
    <t>Hays</t>
  </si>
  <si>
    <t>Plans to reopen in 2022. Closed due to lack of staffing.</t>
  </si>
  <si>
    <t>https://www.greatfallstribune.com/story/news/2021/01/30/st-paul-mission-grade-school-fort-belknap-reservation-close-fall/4294031001/</t>
  </si>
  <si>
    <t>https://www.privateschoolreview.com/st-paul-mission-grade-school-profile</t>
  </si>
  <si>
    <r>
      <rPr>
        <rFont val="Calibri"/>
        <color rgb="FF1155CC"/>
        <sz val="11.0"/>
        <u/>
      </rPr>
      <t>https://www.privateschoolreview.com/st-paul-mission-grade-school-profile</t>
    </r>
    <r>
      <rPr>
        <rFont val="Calibri"/>
        <color rgb="FF000000"/>
        <sz val="11.0"/>
        <u/>
      </rPr>
      <t xml:space="preserve"> (they do not charge tuition)</t>
    </r>
  </si>
  <si>
    <t xml:space="preserve">Located on Fort Belknap Indian Reservation, all students are Native American. </t>
  </si>
  <si>
    <t>761 Hays Road
 Hays, MT 59527</t>
  </si>
  <si>
    <t>St. Margaret's Elementary School</t>
  </si>
  <si>
    <t>Mattydale</t>
  </si>
  <si>
    <t>Consolidating with St. Rose</t>
  </si>
  <si>
    <t>https://www.syracuse.com/education/2021/02/syracuse-catholic-diocese-to-merge-2-schools-due-to-declining-enrollment.html</t>
  </si>
  <si>
    <t>https://stmargaretschoolny.org/admissions/k-6-tuition/</t>
  </si>
  <si>
    <t>https://www.niche.com/k12/st-margarets-school-mattydale-ny/</t>
  </si>
  <si>
    <t>201 Roxboro Rd, Syracuse, NY 13211</t>
  </si>
  <si>
    <t>Master's Ranch</t>
  </si>
  <si>
    <t>Walla Walla</t>
  </si>
  <si>
    <t>Abuse allegations</t>
  </si>
  <si>
    <t>https://www.tri-cityherald.com/news/local/article247709415.html</t>
  </si>
  <si>
    <t>29 Jubilee Ln, Prescott, WA 99348</t>
  </si>
  <si>
    <t>https://www.nbcconnecticut.com/news/local/sacred-heart-high-school-in-waterbury-to-close-at-end-of-school-year/2420932/</t>
  </si>
  <si>
    <t>https://www.privateschoolreview.com/sacred-heart-h-s-profile</t>
  </si>
  <si>
    <t>https://www.sacredhearthighschool.org/admissions/tuition-and-fees/</t>
  </si>
  <si>
    <t>https://www.niche.com/k12/sacred-heart-high-school-waterbury-ct/students/</t>
  </si>
  <si>
    <t>142 S Elm St, Waterbury, CT 06706</t>
  </si>
  <si>
    <t>St. Elizabeth of Hungary</t>
  </si>
  <si>
    <t>Merging with St. Gabriel</t>
  </si>
  <si>
    <t>https://www.post-gazette.com/news/faith-religion/2021/02/12/Catholic-schools-to-merge-St-Gabriel-in-Whitehall-St-Elizabeth-in-Pleasant-Hills-St-Margaret-in-Green-Tree-St-Philip-in-Crafton/stories/202102120170</t>
  </si>
  <si>
    <t>https://www.st-elizabeth.org/our-school/enrollment-tuition.html</t>
  </si>
  <si>
    <t>https://www.niche.com/k12/st-elizabeth-elementary-school-pittsburgh-pa/</t>
  </si>
  <si>
    <t>1 Grove Place Pittsburgh, PA 15236</t>
  </si>
  <si>
    <t>Saint Gabriel of the Sorrowful Virgin</t>
  </si>
  <si>
    <t>Whitehall</t>
  </si>
  <si>
    <t>St. Philip School</t>
  </si>
  <si>
    <t>Crafton</t>
  </si>
  <si>
    <t>Merging with St. Margaret</t>
  </si>
  <si>
    <t>https://www.privateschoolreview.com/st-philip-school-profile/15205</t>
  </si>
  <si>
    <t>https://www.spsangelway.org/admissions/tuition/</t>
  </si>
  <si>
    <t>https://www.niche.com/k12/st-philip-school-pittsburgh-pa/</t>
  </si>
  <si>
    <t>52 W. Crafton Ave., Crafton, PA 15205</t>
  </si>
  <si>
    <t>Guardian Angels Catholic School</t>
  </si>
  <si>
    <t>Chaska</t>
  </si>
  <si>
    <t>https://thecatholicspirit.com/news/local-news/guardian-angels-catholic-school-in-chaska-wont-open-next-year-regional-school-is-discussed/</t>
  </si>
  <si>
    <t>https://www.privateschoolreview.com/guardian-angels-elementary-school-profile</t>
  </si>
  <si>
    <t>https://www.niche.com/k12/guardian-angels-catholic-school-chaska-mn/</t>
  </si>
  <si>
    <t>217 W 2nd St, Chaska, MN 55318</t>
  </si>
  <si>
    <t>Our Lady of Victory Catholic School</t>
  </si>
  <si>
    <t>Fort Worth</t>
  </si>
  <si>
    <t>https://fwdioc.org/press-release-OLV-catholic-school.pdf</t>
  </si>
  <si>
    <t>https://www.privateschoolreview.com/our-lady-of-victory-catholic-school-profile/76110</t>
  </si>
  <si>
    <t>https://olvfw.com/tuition-rates</t>
  </si>
  <si>
    <t>https://www.niche.com/k12/our-lady-of-victory-catholic-school-fort-worth-tx/</t>
  </si>
  <si>
    <t>3320 Hemphill Street, Fort Worth, Texas 76110</t>
  </si>
  <si>
    <t>Trinity Catholic High School</t>
  </si>
  <si>
    <t>St. Louis</t>
  </si>
  <si>
    <t>https://www.stltoday.com/news/local/education/trinity-catholic-high-school-in-north-st-louis-county-will-close/article_d3421a86-3526-5bf4-a934-a1605a1b7a71.html</t>
  </si>
  <si>
    <t>https://www.privateschoolreview.com/trinity-catholic-high-school-profile/63138</t>
  </si>
  <si>
    <t>https://www.trinitycatholichigh.org/tuition-aid.html</t>
  </si>
  <si>
    <t>https://www.niche.com/k12/trinity-catholic-high-school-saint-louis-mo/students/</t>
  </si>
  <si>
    <t>1720 Redman Rd, St. Louis, MO 63138</t>
  </si>
  <si>
    <t>Notre Dame Catholic School</t>
  </si>
  <si>
    <t>https://www.texomashomepage.com/wp-content/uploads/sites/41/2021/03/ndcs-diocese-statement.pdf</t>
  </si>
  <si>
    <t>https://www.privateschoolreview.com/notre-dame-catholic-school-profile/76309</t>
  </si>
  <si>
    <t>http://notredamecatholic.org/admissions/financial-info/</t>
  </si>
  <si>
    <t>https://www.niche.com/k12/notre-dame-catholic-school-wichita-falls-tx/students/</t>
  </si>
  <si>
    <t>2821 LANSING BLVD.WICHITA FALLS, TX 76309-4999</t>
  </si>
  <si>
    <t>Our Lady of Black Rock</t>
  </si>
  <si>
    <t>Buffalo</t>
  </si>
  <si>
    <t>Merging with Catholic Academy of Buffalo</t>
  </si>
  <si>
    <t>https://buffalonews.com/news/local/education/two-buffalo-catholic-schools-to-merge-next-fall/article_d4adb406-837f-11eb-860d-9f945cc34622.html</t>
  </si>
  <si>
    <t>https://www.privateschoolreview.com/our-lady-of-black-rock-school-profile</t>
  </si>
  <si>
    <t>http://www.olbrschool.org/content/Documents/Admissions/2019_20%20Reg/%20Registration%20Form%2019-20.pdf</t>
  </si>
  <si>
    <t>https://www.niche.com/k12/our-lady-of-black-rock-school-buffalo-ny/</t>
  </si>
  <si>
    <t>16 Peter St, Buffalo, NY 14207</t>
  </si>
  <si>
    <t>St. Thomas the Apostle School</t>
  </si>
  <si>
    <t>West Hempstead</t>
  </si>
  <si>
    <t>http://licatholic.org/diocese-of-rockville-centre-announces-closure-of-two-schools/</t>
  </si>
  <si>
    <t>https://stthomasschool.net/documents/2020/10/STA%20Handbook%202020-2021%202.pdf</t>
  </si>
  <si>
    <t>https://www.niche.com/k12/st-thomas-the-apostle-school-west-hempstead-ny/</t>
  </si>
  <si>
    <t>12 Westminster Rd, West Hempstead, NY 11552</t>
  </si>
  <si>
    <t>St. Raymond School</t>
  </si>
  <si>
    <t>East Rockaway</t>
  </si>
  <si>
    <t>https://d2y1pz2y630308.cloudfront.net/22803/documents/2020/9/Tuition%20letter%20for%202020-2021-2.pdf</t>
  </si>
  <si>
    <t>https://www.niche.com/k12/st-raymond-elementary-school-east-rockaway-ny/</t>
  </si>
  <si>
    <t>263 Atlantic Ave, East Rockaway, NY 11518</t>
  </si>
  <si>
    <t>St. Christopher School</t>
  </si>
  <si>
    <t>Baldwin</t>
  </si>
  <si>
    <t>https://www.newsday.com/long-island/education/st-christopher-school-baldwin-closing-diocese-of-rockville-centre-1.50191165</t>
  </si>
  <si>
    <t>https://stchris-school.org/tuition-rates</t>
  </si>
  <si>
    <t>https://www.niche.com/k12/st-christopher-elementary-school-baldwin-ny/</t>
  </si>
  <si>
    <t>15 Pershing Blvd, Baldwin, NY 11510</t>
  </si>
  <si>
    <t>St. Pius X Montessori</t>
  </si>
  <si>
    <t>https://catholicreview.org/hard-hit-by-pandemic-st-pius-x-montessori-catholic-school-will-close-after-current-school-year/</t>
  </si>
  <si>
    <t>https://stpius10school.org/admissions/tuition-grant-aid</t>
  </si>
  <si>
    <t>https://www.niche.com/k12/st-pius-x-school-baltimore-md/</t>
  </si>
  <si>
    <t>6432 York Rd, Baltimore, MD 21212</t>
  </si>
  <si>
    <t>St. Ferdinand Elementary School</t>
  </si>
  <si>
    <t>San Fernando</t>
  </si>
  <si>
    <t>https://stferdinandchurch.org/documents/2021/3/St.%20Ferdinand%20Community%20Letter%20-%20English-%203.26.2021-1.pdf</t>
  </si>
  <si>
    <t>https://www.stferdinand.com/uploads/1/3/5/2/135291438/tuition_and_fees_info_sheet_2021-2022.pdf</t>
  </si>
  <si>
    <t>https://www.niche.com/k12/st-ferdinand-elementary-school-san-fernando-ca/</t>
  </si>
  <si>
    <t>1012 Coronel Street, San Fernando, CA 91340</t>
  </si>
  <si>
    <t>Divine Mercy Catholic Academy</t>
  </si>
  <si>
    <t>Merritt Island</t>
  </si>
  <si>
    <t>https://www.clickorlando.com/news/2021/03/31/divine-mercy-catholic-academy-in-merritt-island-closes-to-merge-with-nearby-schools/</t>
  </si>
  <si>
    <t>http://www.dmccs.org/wp-content/uploads/2021/02/Tuition-21-22.pdf</t>
  </si>
  <si>
    <t>https://www.niche.com/k12/divine-mercy-catholic-academy-merritt-island-fl/</t>
  </si>
  <si>
    <t>1940 N Courtenay Pkwy, Merritt Island, FL 32953</t>
  </si>
  <si>
    <t>Assumption Catholic School</t>
  </si>
  <si>
    <t>https://www.latimes.com/california/story/2021-04-03/six-la-catholic-schools-close-covid-19-hardship</t>
  </si>
  <si>
    <t>https://www.niche.com/k12/assumption-school-los-angeles-ca/</t>
  </si>
  <si>
    <t>3016 Winter St. Los Angeles, CA 90063</t>
  </si>
  <si>
    <t>http://www.schoolblessedsacrament.org/UserFiles/Servers/Server_20273634/File/Admissions/SchoolEnrollmentPacket/2020-2021%20Enrollment%20Packet.pdf</t>
  </si>
  <si>
    <t>https://www.niche.com/k12/blessed-sacrament-school-los-angeles-ca-bb140039/</t>
  </si>
  <si>
    <t>6641 West Sunset Blvd., Hollywood, CA 90028</t>
  </si>
  <si>
    <t>Saint Catherine of Siena</t>
  </si>
  <si>
    <t>Reseda</t>
  </si>
  <si>
    <t>https://www.catherineofsiena.org/tuition--financial-assistance.html</t>
  </si>
  <si>
    <t>https://www.niche.com/k12/st-catherine-of-siena-school-reseda-ca/</t>
  </si>
  <si>
    <t>18125 Sherman Way, Reseda CA 91335</t>
  </si>
  <si>
    <t>http://www.stfrancisla.com/admissions/tuition/</t>
  </si>
  <si>
    <t>https://www.niche.com/k12/st-francis-of-assisi-school-los-angeles-ca/</t>
  </si>
  <si>
    <t>1550 Maltman Avenue, Los Angeles, CA 90026</t>
  </si>
  <si>
    <t>Saint Madeleine School</t>
  </si>
  <si>
    <t>Pomona</t>
  </si>
  <si>
    <t>http://www.stmadeleineschool.org/wp-content/uploads/2020/05/Contract2021.pdf</t>
  </si>
  <si>
    <t>https://www.niche.com/k12/st-madeleine-school-pomona-ca/</t>
  </si>
  <si>
    <t>935 E Kingsley Ave. Pomona, CA 91767</t>
  </si>
  <si>
    <t>Saint Joseph High School</t>
  </si>
  <si>
    <t>Westchester</t>
  </si>
  <si>
    <t>https://il02222025.schoolwires.net/cms/lib/IL02222025/Centricity/Domain/8/Letter%20to%20Alumni%20and%20Friends.pdf</t>
  </si>
  <si>
    <t>https://www.privateschoolreview.com/st-joseph-high-school-profile/60154</t>
  </si>
  <si>
    <t>https://www.stjoeshs.org/domain/568</t>
  </si>
  <si>
    <t>http://www.usaschoolinfo.com/school/st-joseph-high-school-westchester-illinois.106183/enrollment</t>
  </si>
  <si>
    <t>10900 West Cermak Road, Westchester, IL 60154</t>
  </si>
  <si>
    <t>Holy Cross School Pearl Lake/Marty</t>
  </si>
  <si>
    <t>Kimball</t>
  </si>
  <si>
    <t>https://stcdio.org/2021/05/01/may-1-2021-future-of-holy-cross-school-pearl-lake-marty/</t>
  </si>
  <si>
    <t>https://www.privateschoolreview.com/holy-cross-school-profile/55353</t>
  </si>
  <si>
    <t>http://holycrossmn.org/tuitionadmission/</t>
  </si>
  <si>
    <t>https://www.niche.com/k12/holy-cross-school-kimball-mn/</t>
  </si>
  <si>
    <t>10672 County Road 8, Kimball, MN 55353</t>
  </si>
  <si>
    <t>Holy Spirit Academy</t>
  </si>
  <si>
    <t>New Castle</t>
  </si>
  <si>
    <t>https://triblive.com/local/regional/holy-spirit-academy-in-new-castle-to-close/</t>
  </si>
  <si>
    <t>https://spiritacad.org/tuition</t>
  </si>
  <si>
    <t>915 S. Jefferson Street, New Castle, PA 16101</t>
  </si>
  <si>
    <t>Shenandoah</t>
  </si>
  <si>
    <t>https://shensentinel.com/news/trinity-academy-closing-next-month/</t>
  </si>
  <si>
    <t>https://www.niche.com/k12/trinity-academy-shenandoah-pa/</t>
  </si>
  <si>
    <t>233 West Cherry Street, Shenandoah, PA 17976</t>
  </si>
  <si>
    <t>Christian Academy</t>
  </si>
  <si>
    <t>Sikeston</t>
  </si>
  <si>
    <t>https://www.kfvs12.com/2021/05/21/sikeston-school-raises-money-keep-doors-open/</t>
  </si>
  <si>
    <t>https://thechristianacademy.org/about/fees/</t>
  </si>
  <si>
    <t>https://www.niche.com/k12/the-christian-academy-sikeston-mo/students/</t>
  </si>
  <si>
    <t>103 E. Kathleen Street, Sikeston, MO 63801</t>
  </si>
  <si>
    <t>St. Bridget of Kildare Elementary School</t>
  </si>
  <si>
    <t>Parma</t>
  </si>
  <si>
    <t>https://fox8.com/news/local-catholic-grade-school-to-permanently-shut-doors-on-friday/</t>
  </si>
  <si>
    <t>http://nebula.wsimg.com/a7dd3ddecc27cd61b9a93c120efe44a9?AccessKeyId=C10687A745C23972C1F8&amp;disposition=0&amp;alloworigin=1</t>
  </si>
  <si>
    <t>https://www.greatschools.org/ohio/parma/3052-St-Bridget-Of-Kildare-School/</t>
  </si>
  <si>
    <t>5620 Hauserman Rd Parma OH 44130 US</t>
  </si>
  <si>
    <t>St. Bernard School</t>
  </si>
  <si>
    <t>New Washington</t>
  </si>
  <si>
    <t>https://www.bucyrustelegraphforum.com/story/news/2021/07/02/st-bernard-school-closes-after-teaching-students-since-1844/7815640002/</t>
  </si>
  <si>
    <t>https://www.niche.com/k12/st-bernard-school-new-washington-oh/</t>
  </si>
  <si>
    <t>320 W Mansfield St, New Washington, OH 44854</t>
  </si>
  <si>
    <t>Adventure Christian Academy</t>
  </si>
  <si>
    <t>Tavares</t>
  </si>
  <si>
    <t>https://www.mynews13.com/fl/orlando/news/2021/07/16/parents-concerned-after-lake-county-private-school-closes-</t>
  </si>
  <si>
    <t>https://www.greatschools.org/florida/tavares/12706-Adventure-Christian-Academy/#osp-school-info*Enrollment</t>
  </si>
  <si>
    <t>3501 N Eichelberger Rd, Tavares, FL 32778</t>
  </si>
  <si>
    <t>Miss Selma's School</t>
  </si>
  <si>
    <t>Little Rock</t>
  </si>
  <si>
    <t>Teacher assistant arrested on child pornography charges</t>
  </si>
  <si>
    <t>https://katv.com/news/local/miss-selmas-school-in-little-rock-closing-after-65-years</t>
  </si>
  <si>
    <t>https://www.missselmasschool.com/admissions#tuitioncosts</t>
  </si>
  <si>
    <t>https://www.niche.com/k12/miss-selmas-schools-little-rock-ar/</t>
  </si>
  <si>
    <t>7814 T Street, Little Rock, AR 72227</t>
  </si>
  <si>
    <t>New Summit School</t>
  </si>
  <si>
    <t>Owners indicted for filing fradulent educational claims</t>
  </si>
  <si>
    <t>https://www.wlbt.com/2021/08/13/new-summit-school-closure-leaves-special-needs-students-loss/</t>
  </si>
  <si>
    <t>https://www.niche.com/k12/new-summit-school-jackson-ms/</t>
  </si>
  <si>
    <t>https://www.niche.com/k12/new-summit-school-jackson-ms/students/</t>
  </si>
  <si>
    <t>1417 Lelia Drive, Jackson, MS 39216</t>
  </si>
  <si>
    <t>Heart of Mary Catholic School</t>
  </si>
  <si>
    <t>Mobile</t>
  </si>
  <si>
    <t>There is a gofundme to save the school, but even though it raise $400k school is still closing</t>
  </si>
  <si>
    <t>https://lagniappemobile.com/historically-black-catholic-heart-of-mary-fights-to-stay-open/</t>
  </si>
  <si>
    <t>https://heartofmaryschoolmobile.org/financial-information-2021-22</t>
  </si>
  <si>
    <t>https://www.niche.com/k12/most-pure-heart-of-mary-school-mobile-al/</t>
  </si>
  <si>
    <t>310 Sengstak St. Mobile, AL 36603</t>
  </si>
  <si>
    <t>St. Mary Magdalen</t>
  </si>
  <si>
    <t>Metairie</t>
  </si>
  <si>
    <t>https://nolacatholic.org/news/three-catholic-schools-to-close-at-the-end-of-the-2021-2022-school-year</t>
  </si>
  <si>
    <t>https://d2y1pz2y630308.cloudfront.net/17049/documents/2021/1/Tuition%20and%20Fees%202021-2022-1.pdf</t>
  </si>
  <si>
    <t>https://www.niche.com/k12/st-mary-magdalen-school-metairie-la/</t>
  </si>
  <si>
    <t>6421 West Metairie Avenue, Metairie, LA 70003</t>
  </si>
  <si>
    <t>St. Rita</t>
  </si>
  <si>
    <t>http://www.stritanola.org/tuitionrates20212022</t>
  </si>
  <si>
    <t>https://www.niche.com/k12/st-rita-school-new-orleans-la/</t>
  </si>
  <si>
    <t>65 Fontainebleau Drive, New Orleans, LA 70125</t>
  </si>
  <si>
    <t>St. Rosalie</t>
  </si>
  <si>
    <t>Harvey</t>
  </si>
  <si>
    <t>https://d2y1pz2y630308.cloudfront.net/22390/documents/2021/1/Tuition%20and%20Fees%201.pdf</t>
  </si>
  <si>
    <t>https://www.niche.com/k12/st-rosalie-elementary-school-harvey-la/</t>
  </si>
  <si>
    <t>617 2nd Avenue, Harvey, LA 70058</t>
  </si>
  <si>
    <t>Howell</t>
  </si>
  <si>
    <t>https://www.msn.com/en-us/news/us/another-nj-catholic-school-announces-closure-blames-low-enrollment-and-covid/ar-AASy0TN</t>
  </si>
  <si>
    <t>https://msaedu.org/registration-tuition-information</t>
  </si>
  <si>
    <t>4219 Rt 9 North, Howell, NJ 07731</t>
  </si>
  <si>
    <t>HOPE Christian High School</t>
  </si>
  <si>
    <t>Milwaukee</t>
  </si>
  <si>
    <t>Closing high school offerings to repuporse for expand (separate) middle school</t>
  </si>
  <si>
    <t>https://resources.finalsite.net/images/v1642716459/openskyeducationorg/ululkfkxsvqxvrta8bll/HOPEChristianSchoolsAnnouncement_PDF_webandfacebook.pdf</t>
  </si>
  <si>
    <t>http://highschool.hopeschools.org/admissions/apply-now</t>
  </si>
  <si>
    <t>https://www.niche.com/k12/hope-christian-high-school-milwaukee-wi/students/</t>
  </si>
  <si>
    <t>3215 N. Dr. Martin Luther King Jr. Dr. Milwaukee, WI 53212</t>
  </si>
  <si>
    <t>Holy Family Holy Name School</t>
  </si>
  <si>
    <t>New Bedford</t>
  </si>
  <si>
    <t>Merging with St. James St. John Campus</t>
  </si>
  <si>
    <t>https://www.hfhn.org/school-merger/</t>
  </si>
  <si>
    <t>https://www.sjsjschool.com/tuition-for-saint-james-saint-john-school/</t>
  </si>
  <si>
    <t>https://www.niche.com/k12/holy-family-holy-name-school-new-bedford-ma/</t>
  </si>
  <si>
    <t>91 Summer Street, New Bedford, MA 02740</t>
  </si>
  <si>
    <t>Saint Christopher</t>
  </si>
  <si>
    <t>https://lasvegassun.com/news/2022/jun/17/diocese-hopeful-despite-having-to-shut-down-nlv-ca/</t>
  </si>
  <si>
    <t>http://www.stchrisnlv.org/tuition</t>
  </si>
  <si>
    <t>https://www.niche.com/k12/st-christopher-catholic-school-north-las-vegas-nv/</t>
  </si>
  <si>
    <t>1840 North Bruce Street North Las Vegas, NV 89030</t>
  </si>
  <si>
    <t>St. Elizabeth Seton School</t>
  </si>
  <si>
    <t>Merging with Saint Mary Academy</t>
  </si>
  <si>
    <t>https://www.sesschool.org/_files/ugd/a5b104_1ba7d79432c1430ca8f34572d7d63eaa.pdf</t>
  </si>
  <si>
    <t>https://www.sesschool.org/admissions</t>
  </si>
  <si>
    <t>https://www.niche.com/k12/st-elizabeth-seton-school-rochester-nh/</t>
  </si>
  <si>
    <t>16 Bridge St. Rochester, NH 03867</t>
  </si>
  <si>
    <t>Bishop Maginn High School</t>
  </si>
  <si>
    <t>Albany</t>
  </si>
  <si>
    <t>https://www.news10.com/classroom-progress-report/bishop-maginn-high-school-closing-at-years-end/</t>
  </si>
  <si>
    <t>https://bishopmaginn.org/admissions/</t>
  </si>
  <si>
    <t>https://www.niche.com/k12/bishop-maginn-high-school-albany-ny/students/</t>
  </si>
  <si>
    <t>75 Park Avenue, Albany, NY  12202</t>
  </si>
  <si>
    <t>Sacred Heart of Jesus Catholic School</t>
  </si>
  <si>
    <t>Anniston</t>
  </si>
  <si>
    <t xml:space="preserve">Article is paywalled, but contacted the school on COVID/financial problems. Waiting to hear back. </t>
  </si>
  <si>
    <t>https://www.annistonstar.com/news/education/sacred-heart-school-to-close-at-end-of-term/article_4013fd4c-91ab-11ec-be89-2f0564731df9.html#tncms-source=signup</t>
  </si>
  <si>
    <t>https://shcards.org/admissions-process</t>
  </si>
  <si>
    <t>https://www.niche.com/k12/sacred-heart-of-jesus-catholic-school---anniston-anniston-al/students/</t>
  </si>
  <si>
    <t>16 Morton Road, Anniston, AL 36205, US</t>
  </si>
  <si>
    <t>Hampton Lutheran</t>
  </si>
  <si>
    <t>Hampton</t>
  </si>
  <si>
    <t>https://theindependent.com/news/local/hampton-lutheran-really-couldn-t-go-on-after-52-years-of-educating-children/article_3c14df62-ac37-11ec-94dc-9b02392bb6c7.html</t>
  </si>
  <si>
    <t>https://hamptonlutheran.org/2020/03/14/updates-to-next-years-tuition-and-classroom-structure-at-hls/</t>
  </si>
  <si>
    <t>https://www.niche.com/k12/hampton-lutheran-school-hampton-ne/</t>
  </si>
  <si>
    <t>732 N. 3rd Street, Hampton, NE</t>
  </si>
  <si>
    <t>Baton Rouge International School</t>
  </si>
  <si>
    <t>Baton Rouge</t>
  </si>
  <si>
    <t>https://www.theadvocate.com/baton_rouge/news/education/article_fb2d84a0-ba31-11ec-9e8a-93f1c182a7ef.html</t>
  </si>
  <si>
    <t>https://brintl.com/wp-content/uploads/2020/12/BRIS_20-21_TuitionFees.pdf</t>
  </si>
  <si>
    <t>https://www.niche.com/k12/baton-rouge-international-school-baton-rouge-la/students/</t>
  </si>
  <si>
    <t>5015 Auto Plex Drive Baton Rouge, LA 70809</t>
  </si>
  <si>
    <t>St. Mary Catholic School</t>
  </si>
  <si>
    <t>consolidating with the nearby School of Santa Isabel, enrollment declines last five years</t>
  </si>
  <si>
    <t>https://abc7.com/saint-marys-catholic-elementary-school/11744838/</t>
  </si>
  <si>
    <t>https://stmaryla.org/tuition</t>
  </si>
  <si>
    <t>https://www.niche.com/k12/st-mary-elementary-school-los-angeles-ca/</t>
  </si>
  <si>
    <t>416 S. St. Louis Street Los Angeles, CA 90033</t>
  </si>
  <si>
    <t>St. Joseph Parish</t>
  </si>
  <si>
    <t>Cuyahoga Falls</t>
  </si>
  <si>
    <t>https://www.beaconjournal.com/story/news/local/communities/falls-news/2022/04/25/st-joseph-parish-school-close-end-school-year/7446646001/</t>
  </si>
  <si>
    <t>https://www.niche.com/k12/st-joseph-parish-school-cuyahoga-falls-oh/</t>
  </si>
  <si>
    <t>https://uploads.weconnect.com/mce/c26ab3bbd8b137f99cd83c2c1c0963bcc1a35cad/2223School/2022-2023%20Tuition%20K-8%20Registration%20FormMMR%20PDF%201.pdf</t>
  </si>
  <si>
    <t>1909 3rd St, Cuyahoga Falls, OH 44221</t>
  </si>
  <si>
    <t>St. Dominic Catholic School</t>
  </si>
  <si>
    <t>Bolingbrook</t>
  </si>
  <si>
    <t>https://patch.com/illinois/bolingbrook/bolingbrooks-st-dominic-catholic-school-closing-school-years-end</t>
  </si>
  <si>
    <t>https://www.stdominicschool.org/apps/pages/index.jsp?uREC_ID=1028888&amp;type=d&amp;pREC_ID=1332986</t>
  </si>
  <si>
    <t>https://www.niche.com/k12/st-dominic-elementary-school-bolingbrook-il/</t>
  </si>
  <si>
    <t>420 E Briarcliff Rd, Bolingbrook, IL 60440</t>
  </si>
  <si>
    <t>Mater Dei Prep</t>
  </si>
  <si>
    <t>Middletown</t>
  </si>
  <si>
    <t>https://www.thejournalnj.com/articles/mater-dei-prep-high-school-in-middletown-to-close/</t>
  </si>
  <si>
    <t>https://www.materdeiprep.org/apps/pages/tuition</t>
  </si>
  <si>
    <t>https://www.niche.com/k12/mater-dei-prep-middletown-nj/students/</t>
  </si>
  <si>
    <t>538 Church Street, Middletown, NJ 07748</t>
  </si>
  <si>
    <t>Greenwood</t>
  </si>
  <si>
    <t>https://www.union-bulletin.com/seattle_times/catholic-school-in-mississippi-delta-closing-after-70-years/article_bae927b0-ddb4-51c9-b929-34d64a0d724d.html</t>
  </si>
  <si>
    <t>https://sfgwschool.org/Portals/sfgSchool/CMAdmin/Files/Parent-Student%20Handbook%202020-21.pdf?ver=2020-08-06-101326-673</t>
  </si>
  <si>
    <t>https://www.niche.com/k12/st-francis-of-assisi-school-greenwood-ms/</t>
  </si>
  <si>
    <t>2607 Hwy 82 E Greenwood, MS  38930</t>
  </si>
  <si>
    <t>Our Lady of Victories</t>
  </si>
  <si>
    <t>Sayreville</t>
  </si>
  <si>
    <t>https://www.mycentraljersey.com/story/news/education/2022/05/25/our-lady-victories-school-sayreville-nj-close/9925859002/</t>
  </si>
  <si>
    <t>https://olvnj.com/tuition-1</t>
  </si>
  <si>
    <t>https://www.niche.com/k12/our-lady-of-victories-school-sayreville-nj/</t>
  </si>
  <si>
    <t>36 Main St, Sayreville, NJ 08872</t>
  </si>
  <si>
    <t>Saint Aloysius Regional School</t>
  </si>
  <si>
    <t>Springville</t>
  </si>
  <si>
    <t>https://buffalonews.com/news/local/education/after-143-years-in-operation-st-aloysius-catholic-school-in-springville-is-closing/article_d3e594c0-e2ac-11ec-8f1a-9f0b8f223ac5.html</t>
  </si>
  <si>
    <t>https://staloysiusregional.com/wp-content/uploads/2020/03/2020-21-K-8-Tuition-Contract.pdf</t>
  </si>
  <si>
    <t>https://www.niche.com/k12/st-aloysius-regional-school-springville-ny/</t>
  </si>
  <si>
    <t>186 Franklin St. Springville, NY 14141</t>
  </si>
  <si>
    <t>Bishop Kelly Catholic School</t>
  </si>
  <si>
    <t>Lapeer</t>
  </si>
  <si>
    <t>https://wcrz.com/emotions-high-bishop-kelly-catholic-school-in-lapeer-is-closing/</t>
  </si>
  <si>
    <t>http://www.bishopkelleylapeer.org/tuition.html</t>
  </si>
  <si>
    <t>https://www.niche.com/k12/bishop-kelley-catholic-school-lapeer-mi/</t>
  </si>
  <si>
    <t>926 W. Nepessing St., Lapeer, MI 48446</t>
  </si>
  <si>
    <t>Saint Barbara Catholic School</t>
  </si>
  <si>
    <t>Massillon</t>
  </si>
  <si>
    <t>https://www.cantonrep.com/story/news/local/canton/2022/06/27/st-barbara-catholic-school-massillon-closing/7744721001/</t>
  </si>
  <si>
    <t>https://www.starkcountycatholicschools.org/Downloads/SBS%20Handbook%20%2021-222.pdf</t>
  </si>
  <si>
    <t>https://www.niche.com/k12/st-barbara-elementary-school-massillon-oh/</t>
  </si>
  <si>
    <t>2809 Lincoln Way NW, Massillon, OH 44647</t>
  </si>
  <si>
    <t>Champagnat Catholic School</t>
  </si>
  <si>
    <t>Hialeah</t>
  </si>
  <si>
    <t>https://www.miamiherald.com/sports/high-school/article262785588.html</t>
  </si>
  <si>
    <t>http://champagnatcatholicschool.com/wp-content/uploads/2020/05/Registration_2020-2021-Fillable.pdf</t>
  </si>
  <si>
    <t>https://www.niche.com/k12/champagnat-catholic-school-hialeah-fl/students/</t>
  </si>
  <si>
    <t>1851 Palm Ave, Hialeah, FL 33010</t>
  </si>
  <si>
    <t>Santa Cruz</t>
  </si>
  <si>
    <t>https://www.ksbw.com/article/parents-frustrated-with-monterey-dioceses-after-good-shepherd-school-closure/40487113</t>
  </si>
  <si>
    <t>https://www.niche.com/k12/good-shepherd-catholic-school-santa-cruz-ca/</t>
  </si>
  <si>
    <t>2727 Mattison Lane Santa Cruz, CA 95065</t>
  </si>
  <si>
    <t>Our Lady of Fatima</t>
  </si>
  <si>
    <t>https://newjersey.news12.com/wilton-catholic-school-closes-due-to-low-enrollment-budget-issues</t>
  </si>
  <si>
    <t>https://4.files.edl.io/e8eb/09/05/21/035232-eaea1016-b1e9-4748-ba21-729711010ddf.pdf</t>
  </si>
  <si>
    <t>https://www.niche.com/k12/our-lady-of-fatima-school-wilton-ct/</t>
  </si>
  <si>
    <t>225 Danbury Rd, Wilton, CT 06897</t>
  </si>
  <si>
    <t>Kingfisher Academy</t>
  </si>
  <si>
    <t>Tucker</t>
  </si>
  <si>
    <t>Lease was not renewed by the church they rented from and they had to close</t>
  </si>
  <si>
    <t>https://www.cbs46.com/2022/07/20/some-parents-scramble-find-new-options-after-tucker-private-school-closes/</t>
  </si>
  <si>
    <t>http://kingfisheracademy.org/parents/tuition-payments/</t>
  </si>
  <si>
    <t>https://www.niche.com/k12/kingfisher-academy-tucker-ga/</t>
  </si>
  <si>
    <t>5073 Lavista Rd, Tucker, GA 30084</t>
  </si>
  <si>
    <t>St. Gerard Catholic High School</t>
  </si>
  <si>
    <t>San Antonio</t>
  </si>
  <si>
    <t>https://sanantonioreport.org/st-gerard-catholic-high-school-closes-amid-low-enrollment-financial-woes/</t>
  </si>
  <si>
    <t>https://www.stgerardsa.org/_files/ugd/70622b_6d65229a19904a13a963fd6f34d9a294.pdf</t>
  </si>
  <si>
    <t>https://www.niche.com/k12/st-gerard-catholic-high-school--plus--regional-middle-school-san-antonio-tx/students/</t>
  </si>
  <si>
    <t>521 S New Braunfels Ave, San Antonio, TX 78203</t>
  </si>
  <si>
    <t>St. Thomas Aquinas Catholic Online Academy</t>
  </si>
  <si>
    <t>Online academy, started in 2020 due to COVID</t>
  </si>
  <si>
    <t>https://thetablet.org/post-pandemic-st-thomas-aquinas-online-academy-closes/</t>
  </si>
  <si>
    <t>https://stacoa.org/</t>
  </si>
  <si>
    <t>Online</t>
  </si>
  <si>
    <t>Wings of Faith Academy</t>
  </si>
  <si>
    <t>Stockton</t>
  </si>
  <si>
    <t>Unlicensed Christian boarding school</t>
  </si>
  <si>
    <t>https://www.kansascity.com/news/state/missouri/article264212536.html</t>
  </si>
  <si>
    <t xml:space="preserve">(3,200 month x 9 months), https://www.kansascity.com/news/state/missouri/article264212536.html </t>
  </si>
  <si>
    <t>https://www.niche.com/k12/wings-of-faith-academy-stockton-mo/</t>
  </si>
  <si>
    <t>10866 MO-32, Stockton, MO 65785</t>
  </si>
  <si>
    <t>St. Mary's Immaculate Conception</t>
  </si>
  <si>
    <t>Guttenberg</t>
  </si>
  <si>
    <t>Closed due to not finding enough teachers</t>
  </si>
  <si>
    <t>https://www.kcrg.com/2022/08/05/st-marys-immaculate-conception-school-closing-after-lack-teachers/</t>
  </si>
  <si>
    <t>https://www.stmic.org/admission</t>
  </si>
  <si>
    <t>https://www.niche.com/k12/st-mary-immaculate-conception-school-guttenberg-ia/</t>
  </si>
  <si>
    <t>510 S 2nd St, Guttenberg, IA 52052</t>
  </si>
  <si>
    <t>Closed due to lack of enrollment and staffing, but hope to rennovate and reopen in the future</t>
  </si>
  <si>
    <t>https://www.kold.com/2022/08/15/san-xavier-mission-school-suspects-operations-with-plans-reopen/</t>
  </si>
  <si>
    <t>https://sanxaviermission.org/documents/2021/6/SXMS20Registration_21-222028Rev29-Addendum20Word1.pdf</t>
  </si>
  <si>
    <t>https://www.niche.com/k12/san-xavier-mission-school-tucson-az/</t>
  </si>
  <si>
    <t>1980 W. San Xavier Rd, Tucson, AZ 85746</t>
  </si>
  <si>
    <t>Stone Path Academy</t>
  </si>
  <si>
    <t>Moretown</t>
  </si>
  <si>
    <t>VT</t>
  </si>
  <si>
    <t>School founder retiring and couldn't find a buyer (for-profit school). Also some questions around the school from the state.</t>
  </si>
  <si>
    <t>Funded with tuition from school districts.</t>
  </si>
  <si>
    <t>https://vtdigger.org/2022/09/21/stones-unturned-before-it-closed-for-profit-school-drew-attention-of-vermont-officials/</t>
  </si>
  <si>
    <t>https://education.vermont.gov/sites/aoe/files/documents/edu-state-board-item-l-1-02-16-22.pdf</t>
  </si>
  <si>
    <t>Paid by school districts for kids with special needs.</t>
  </si>
  <si>
    <t>https://www.schooldigger.com/go/VT/schools/9999974823/school.aspx</t>
  </si>
  <si>
    <t>7386 Vt Route 100b Moretown, VT  56609-765</t>
  </si>
  <si>
    <t>Chewonki Elementary and Middle School</t>
  </si>
  <si>
    <t>Wiscasset</t>
  </si>
  <si>
    <t>Covid one of many factors cited</t>
  </si>
  <si>
    <t>Yes - low-enrollment</t>
  </si>
  <si>
    <t>https://www.asumag.com/facilities-management/business-finance/article/21254602/independent-elementary-and-middle-school-in-maine-will-close-in-june-amid-financial-woes</t>
  </si>
  <si>
    <t>Tuition is average of tiered grades tuition. https://web.archive.org/web/20220128170044/https://elementary.chewonki.org/admissions/tuition/</t>
  </si>
  <si>
    <t>485 Chewonki Neck Road, Wiscasset, ME 04578</t>
  </si>
  <si>
    <t>The Blue School</t>
  </si>
  <si>
    <r>
      <rPr>
        <rFont val="Calibri"/>
        <color theme="1"/>
        <sz val="11.0"/>
      </rPr>
      <t xml:space="preserve">Niche </t>
    </r>
    <r>
      <rPr>
        <rFont val="Calibri"/>
        <color rgb="FF1155CC"/>
        <sz val="11.0"/>
        <u/>
      </rPr>
      <t>https://www.niche.com/k12/blue-school-new-york-ny/#students</t>
    </r>
  </si>
  <si>
    <t>https://www.bloomberg.com/news/articles/2022-11-16/beleaguered-nyc-private-school-to-shutter-after-headcount-drop</t>
  </si>
  <si>
    <t>https://www.niche.com/k12/blue-school-new-york-ny/#tuition</t>
  </si>
  <si>
    <t>https://www.blueschool.org/individualized-tuition</t>
  </si>
  <si>
    <r>
      <rPr>
        <rFont val="Calibri"/>
        <color rgb="FF000000"/>
        <sz val="11.0"/>
        <u/>
      </rPr>
      <t xml:space="preserve">https://www.niche.com/k12/blue-school-new-york-ny/#students
</t>
    </r>
    <r>
      <rPr>
        <rFont val="Calibri"/>
        <color theme="1"/>
        <sz val="11.0"/>
      </rPr>
      <t>11.2% unknown
The 19.2% "other" = multiethnic</t>
    </r>
  </si>
  <si>
    <t>241 Water St, New York, NY 10038</t>
  </si>
  <si>
    <t>Allapattah Wynwood School</t>
  </si>
  <si>
    <t>https://www.nbcmiami.com/news/local/parents-dropping-off-students-find-private-elementary-school-in-miami-closed/2946474/</t>
  </si>
  <si>
    <t>Very little info available. School doesn't seem to have a website. Not showing up on niche, etc.</t>
  </si>
  <si>
    <t xml:space="preserve">Agape Boarding School </t>
  </si>
  <si>
    <t>Down from 121 in early 2021 https://www.kcur.org/news/2023-01-11/agape-boarding-school-in-missouri-will-shut-down-this-month-after-years-of-abuse-allegations</t>
  </si>
  <si>
    <t>Closed after dozens of abuse accusations.</t>
  </si>
  <si>
    <t>12998 E 1400 Rd, Stockton, MO 65785</t>
  </si>
  <si>
    <t>/</t>
  </si>
  <si>
    <t>https://www.privateschoolreview.com/st-thomas-the-apostle-elementary-school-profile</t>
  </si>
  <si>
    <t>shutdown was due to “low enrollment that was negatively impacting the long-term financial viability of the school.”</t>
  </si>
  <si>
    <t>https://www.sfchronicle.com/sf/article/Heartbroken-Another-Catholic-school-in-San-17709000.php</t>
  </si>
  <si>
    <t>http://sfsta.org/wp-content/uploads/2022/02/Summary-of-Charges-22-23.pdf</t>
  </si>
  <si>
    <t>https://www.niche.com/k12/st-thomas-the-apostle-elementary-school-san-francisco-ca/</t>
  </si>
  <si>
    <t>3801 Balboa St. @ 39th Ave. - San Francisco 94121</t>
  </si>
  <si>
    <t>Ste Jeanne d'Arc School</t>
  </si>
  <si>
    <t>https://www.niche.com/k12/ste-jeanne-darc-school-lowell-ma/</t>
  </si>
  <si>
    <r>
      <rPr>
        <rFont val="Calibri"/>
        <color theme="1"/>
        <sz val="11.0"/>
      </rPr>
      <t xml:space="preserve">declining enrollment &amp; diminishing resources due to reduced tuition revenue </t>
    </r>
    <r>
      <rPr>
        <rFont val="Calibri"/>
        <color rgb="FF1155CC"/>
        <sz val="11.0"/>
        <u/>
      </rPr>
      <t>https://www.facebook.com/photo/?fbid=623887713075259&amp;set=a.390076319789734</t>
    </r>
  </si>
  <si>
    <t>https://www.lowellsun.com/2023/01/17/ste-jeanne-darc-announces-closure-at-end-of-academic-year-but-spirit-of-sja-to-live-on-in-students-alumni/</t>
  </si>
  <si>
    <t>Essentially all get financial aid b/c cost to educate is $11,496 and tuition is $6,300.</t>
  </si>
  <si>
    <t>https://www.sjdarc.org/admissions/tuition.cfm</t>
  </si>
  <si>
    <t>https://www.niche.com/k12/ste-jeanne-darc-school-lowell-ma/#students</t>
  </si>
  <si>
    <t>68 Dracut Street Lowell , MA  01854</t>
  </si>
  <si>
    <t>St. Mark Catholic School</t>
  </si>
  <si>
    <t>https://www.stltoday.com/news/local/education/st-mark-catholic-school-in-south-st-louis-county-to-close-in-may/article_93e368bd-40cd-5dbf-b7b8-0eef93758201.html</t>
  </si>
  <si>
    <t>declining enrollment</t>
  </si>
  <si>
    <t>https://www.privateschoolreview.com/st-mark-school-profile/63125 (year founded)</t>
  </si>
  <si>
    <t>https://stmarkstl.com/tuition-and-fees</t>
  </si>
  <si>
    <t>https://www.niche.com/k12/st-mark-school-saint-louis-mo/#students</t>
  </si>
  <si>
    <t>4220 Ripa Ave. 
St. Louis, MO 63125</t>
  </si>
  <si>
    <t>Incarnate Word Academy</t>
  </si>
  <si>
    <t>https://www.niche.com/k12/incarnate-word-academy-brownsville-tx/#students</t>
  </si>
  <si>
    <t>declining enrollment (1/2 what it was 10 years ago)</t>
  </si>
  <si>
    <t>http://www.iw-academy.org/index.html</t>
  </si>
  <si>
    <t>https://www.privateschoolreview.com/incarnate-word-academy-profile/78520</t>
  </si>
  <si>
    <t>http://www.iw-academy.org/tuition_fees.html</t>
  </si>
  <si>
    <t>244 Resaca Blvd. Brownsville, Texas 78520</t>
  </si>
  <si>
    <t>Saint Bartholomew School</t>
  </si>
  <si>
    <t>yes</t>
  </si>
  <si>
    <t>Pope Francis Global Academy</t>
  </si>
  <si>
    <t>https://www.niche.com/k12/st-bartholomew-school-chicago-il/#students</t>
  </si>
  <si>
    <t>https://www.stbartsschool.net/tuition--scholarships.html</t>
  </si>
  <si>
    <t>4941 W Patterson Ave 
​Chicago, IL 60641</t>
  </si>
  <si>
    <t xml:space="preserve">Sts. Peter and Paul School </t>
  </si>
  <si>
    <t>Wellston</t>
  </si>
  <si>
    <t>https://www.niche.com/k12/sts-peter--and--paul-school-wellston-oh/#students</t>
  </si>
  <si>
    <t>https://www.wsaz.com/2023/01/24/diocese-columbus-close-sts-peter-paul-school/</t>
  </si>
  <si>
    <t>na</t>
  </si>
  <si>
    <t>https://www.stspeterandpaulwellston.com/tuition-assistance</t>
  </si>
  <si>
    <t>229 S New York Ave Wellston, OH 45692</t>
  </si>
  <si>
    <t xml:space="preserve">Urban Christian Academy </t>
  </si>
  <si>
    <t>Kansas City</t>
  </si>
  <si>
    <t>https://www.kansascity.com/news/local/education/article271933062.html</t>
  </si>
  <si>
    <t>Support from Christian churches dried up when school announced it was lbgtq affirming</t>
  </si>
  <si>
    <t xml:space="preserve">2810 East 80th Street Kansas City, MO 64130
</t>
  </si>
  <si>
    <t>Academy of St. Paul &amp; St. Ann, Manhattan</t>
  </si>
  <si>
    <t>https://www.niche.com/k12/academy-of-st-paul-and-st-ann-new-york-ny/?utm_source=google&amp;utm_medium=cpc&amp;gclid=EAIaIQobChMIu5niiI6n_QIVg5XICh02Rg6WEAAYASAAEgLTTfD_BwE#tuition</t>
  </si>
  <si>
    <t>114 E 118TH ST NEW YORK, NY 10035</t>
  </si>
  <si>
    <t>Ascension School, Manhattan</t>
  </si>
  <si>
    <t>https://www.niche.com/k12/ascension-school-new-york-ny/</t>
  </si>
  <si>
    <t>220 W 108TH ST NEW YORK, NY 10025</t>
  </si>
  <si>
    <t>Guardian Angel School, Manhattan</t>
  </si>
  <si>
    <t>https://www.niche.com/k12/guardian-angel-school-new-york-ny/</t>
  </si>
  <si>
    <t>193 10TH AVE NEW YORK, NY 10011</t>
  </si>
  <si>
    <t>Holy Family School, Bronx</t>
  </si>
  <si>
    <t>Bronx</t>
  </si>
  <si>
    <t>https://www.niche.com/k12/holy-family-school-bronx-ny/</t>
  </si>
  <si>
    <t>2169 BLACKROCK AVE BRONX, NY 10472</t>
  </si>
  <si>
    <t>Immaculate Conception School, Manhattan</t>
  </si>
  <si>
    <t>https://www.niche.com/k12/immaculate-conception-school-new-york-city-ny-00920083/</t>
  </si>
  <si>
    <t>419 E 13TH ST NEW YORK, NY 10009</t>
  </si>
  <si>
    <t>Immaculate Conception School, 760 E Gun Hill Rd, Bronx (the Immaculate Conception School on 151st Street operated by Partnership Schools is NOT impacted by the closings)</t>
  </si>
  <si>
    <t>https://www.niche.com/k12/immaculate-conception-school-the-bronx-ny-00921826/</t>
  </si>
  <si>
    <t>760 E GUN HILL RD BRONX, NY 10467</t>
  </si>
  <si>
    <t>Our Lady Queen of Martyrs, Manhattan</t>
  </si>
  <si>
    <t>https://www.niche.com/k12/our-lady-queen-of-martyrs-school-new-york-ny/</t>
  </si>
  <si>
    <t>71 ARDEN ST NEW YORK, NY 10040</t>
  </si>
  <si>
    <t>Santa Maria School, Bronx</t>
  </si>
  <si>
    <t>https://www.niche.com/k12/santa-maria-school-bronx-ny/</t>
  </si>
  <si>
    <t>1510 ZEREGA AVE BRONX, NY 10462</t>
  </si>
  <si>
    <t>St. Angela Merici School, Bronx</t>
  </si>
  <si>
    <t>https://www.niche.com/k12/st-angela-merici-school-bronx-ny/</t>
  </si>
  <si>
    <t>266 E 163RD ST BRONX, NY 10451</t>
  </si>
  <si>
    <t>St. Brendan School, Bronx</t>
  </si>
  <si>
    <t>https://www.niche.com/k12/st-brendan-school-bronx-ny/</t>
  </si>
  <si>
    <t>268 E 207TH ST BRONX, NY 10467</t>
  </si>
  <si>
    <t>St. Christopher School, Staten Island</t>
  </si>
  <si>
    <t>https://www.privateschoolreview.com/st-christopher-school-profile/10306</t>
  </si>
  <si>
    <t>15 Lisbon Place Staten Island, NY 10306</t>
  </si>
  <si>
    <t>St. Margaret Mary School, Bronx</t>
  </si>
  <si>
    <t>https://www.niche.com/k12/st-margaret-mary-school-bronx-ny/</t>
  </si>
  <si>
    <t>121 E 177TH ST BRONX, NY 10453</t>
  </si>
  <si>
    <t>St. Clare of Assisi-St. Francis Xavier School</t>
  </si>
  <si>
    <t>https://sfxschool.net/</t>
  </si>
  <si>
    <t>https://sfxschool.net/tuition-and-fees</t>
  </si>
  <si>
    <t>1711 Haight Avenue
Bronx, NY 10461</t>
  </si>
  <si>
    <t>St. Clare of Assisi</t>
  </si>
  <si>
    <t>https://stclareofassisischool.org/</t>
  </si>
  <si>
    <t>https://stclareofassisischool.org/tuition-and-fees</t>
  </si>
  <si>
    <t>https://www.niche.com/k12/st-clare-of-assisi-school-bronx-ny/#students</t>
  </si>
  <si>
    <t>1911 Hone Avenue
Bronx, NY 10461</t>
  </si>
  <si>
    <t>St. Gabriel School</t>
  </si>
  <si>
    <t>St. Margaret of Cortona-St. Gabriel School</t>
  </si>
  <si>
    <t>https://saintgabrielschoolbronx.org/</t>
  </si>
  <si>
    <t>https://saintgabrielschoolbronx.org/tuition-and-fees</t>
  </si>
  <si>
    <t>https://www.niche.com/k12/st-gabriel-elementary-school-bronx-ny/#students</t>
  </si>
  <si>
    <t>590 West 235th Street
Bronx, NY 10463</t>
  </si>
  <si>
    <t>St. Margaret of Cortona</t>
  </si>
  <si>
    <t xml:space="preserve">St. Margaret of Cortona-St. Gabriel School </t>
  </si>
  <si>
    <t>https://smcsriverdale.org/</t>
  </si>
  <si>
    <t>Built in 1910 but leased to public school until 1926 due to financial issues.</t>
  </si>
  <si>
    <t>https://smcsriverdale.org/tuition-amp-fees</t>
  </si>
  <si>
    <t>https://www.niche.com/k12/st-margaret-of-cortona-school-bronx-ny/#students</t>
  </si>
  <si>
    <t>452 West 260th Street
Bronx, NY 10471</t>
  </si>
  <si>
    <t>Saint Joseph Preparatory High School</t>
  </si>
  <si>
    <t>https://www.boston25news.com/news/local/saint-joseph-prep-boston-close-doors-2023/NJUGPEWIHVGMJOR7BY5ZN4KYWA/</t>
  </si>
  <si>
    <t>https://www.niche.com/k12/saint-joseph-prep-boston-boston-ma/#tuition</t>
  </si>
  <si>
    <t>https://www.niche.com/k12/saint-joseph-prep-boston-boston-ma/students/</t>
  </si>
  <si>
    <t>617 Cambridge Street, Boston, MA 02134</t>
  </si>
  <si>
    <t>Alverno Heights Academy Upper School</t>
  </si>
  <si>
    <t>Sierra Madre</t>
  </si>
  <si>
    <t>https://www.pasadenastarnews.com/2023/02/23/alverno-heights-academy-is-closing-its-all-girls-catholic-high-school/</t>
  </si>
  <si>
    <t>Upper school (all-girls, 9-12) closing. Lowerr school (preK-8, co-ed, opened 2020-21) staying open.</t>
  </si>
  <si>
    <t>https://alvernoheightsacademy.org/home/us-homepage/</t>
  </si>
  <si>
    <t>https://alvernoheightsacademy.org/admissions_home/tuition-and-fees/us-tuition-and-fees/</t>
  </si>
  <si>
    <t>200 North Michillinda Avenue, Sierra Madre, CA 91024</t>
  </si>
  <si>
    <t>Maple Knoll Montessori Child Cente</t>
  </si>
  <si>
    <t>https://www.niche.com/k12/maple-knoll-child-center-springdale-oh/#tuition</t>
  </si>
  <si>
    <t>Prek &amp; kindergarten</t>
  </si>
  <si>
    <t>https://www.wlwt.com/article/cincinnat-maple-knoll-montessori-child-center-losing-2023-2024/42912311</t>
  </si>
  <si>
    <t>11100 Springfield Pike
Cincinnati, OH 45246</t>
  </si>
  <si>
    <t>Bishop Connolly High School</t>
  </si>
  <si>
    <t>Fall River</t>
  </si>
  <si>
    <t>https://www.heraldnews.com/story/news/education/2023/03/08/bishop-connolly-closing-fall-river-massachusetts-catholic-high-school-announcement/69986550007/</t>
  </si>
  <si>
    <t>https://www.abc6.com/bishop-connolly-high-school-in-fall-river-to-close-at-end-of-the-year/</t>
  </si>
  <si>
    <t>https://www.bishopconnolly.com/358-2/</t>
  </si>
  <si>
    <t>https://www.niche.com/k12/bishop-connolly-high-school-fall-river-ma/students/</t>
  </si>
  <si>
    <t>373 ELSBREE STREET FALL RIVER, MA 02720</t>
  </si>
  <si>
    <t>Mount Alvernia HIgh School</t>
  </si>
  <si>
    <t>Newton</t>
  </si>
  <si>
    <t>https://www.wickedlocal.com/story/regional/massachusetts/2023/03/10/mount-alvernia-newton-ma-closing-shocks-students-school-community/69993952007/</t>
  </si>
  <si>
    <t>https://mountalverniahs.org/admissions/tuition-financial-aid-scholarships/</t>
  </si>
  <si>
    <t>https://www.niche.com/k12/mount-alvernia-high-school-newton-ma/students/</t>
  </si>
  <si>
    <t>790 Centre Street,
Newton, MA 02458</t>
  </si>
  <si>
    <t>St. Joan of Arc</t>
  </si>
  <si>
    <t>https://www.nola.com/news/education/archdiocese-to-close-st-joan-of-arc-school/article_02100c2e-bf91-11ed-99f6-efc1b278f6db.html</t>
  </si>
  <si>
    <t>prek-7th</t>
  </si>
  <si>
    <t>919 Cambronne St
New Orleans, LA 70118</t>
  </si>
  <si>
    <t xml:space="preserve">St. Peter Prince of the Apostles </t>
  </si>
  <si>
    <t>Alamo Heights</t>
  </si>
  <si>
    <t>https://www.niche.com/k12/st-peter-prince-of-the-apostles-school-san-antonio-tx/#students</t>
  </si>
  <si>
    <t>https://www.expressnews.com/news/education/article/st-peter-alamo-heights-closes-17856200.php</t>
  </si>
  <si>
    <t>https://files.ecatholic.com/5449/documents/2022/2/4%20-%202022-2023%20SPP%20Reg%20Tuition%20Fees%20%20Discounts.pdf?t=1645912639000</t>
  </si>
  <si>
    <t xml:space="preserve"> 141 Grove Pl, San Antonio, TX 78209</t>
  </si>
  <si>
    <t xml:space="preserve">Saint Aloysius Catholic School </t>
  </si>
  <si>
    <t>Stamford</t>
  </si>
  <si>
    <t>https://www.niche.com/k12/st-aloysius-catholic-school-stamford-ct/#students</t>
  </si>
  <si>
    <t>prek-8th</t>
  </si>
  <si>
    <t>https://www.stamfordadvocate.com/news/article/new-canaan-s-st-aloysius-school-close-fall-17871322.php</t>
  </si>
  <si>
    <t xml:space="preserve">Catholic stewardship tuition: $9,765        </t>
  </si>
  <si>
    <t>403 Scofieldtown Rd. Stamford, CT 06903</t>
  </si>
  <si>
    <t>Immaculate Conception High School</t>
  </si>
  <si>
    <t>Lodi</t>
  </si>
  <si>
    <t>https://www.northjersey.com/story/sports/hs-sports/2023/04/06/immaculate-conception-high-school-players-fight-on-despite-schools-closing-blue-wolves-catholic/70070564007/</t>
  </si>
  <si>
    <t>https://www.ichslodi.org/admissions/tuition-fees/</t>
  </si>
  <si>
    <t>https://www.niche.com/k12/immaculate-conception-high-school-lodi-nj/students/</t>
  </si>
  <si>
    <t>258 S. Main Street, Lodi, NJ 07644</t>
  </si>
  <si>
    <t>Kolbe Academy</t>
  </si>
  <si>
    <t>https://www.wfmz.com/news/area/lehighvalley/parent-of-graduate-of-kolbe-academy-speaks-out-after-officials-announce-school-specializing-in-teen/article_f1e0f57c-dd57-11ed-9c9a-1b1f58bb5419.html</t>
  </si>
  <si>
    <r>
      <rPr>
        <rFont val="Calibri"/>
        <color theme="1"/>
        <sz val="11.0"/>
      </rPr>
      <t xml:space="preserve">First and only Catholic recovery high school in US. </t>
    </r>
    <r>
      <rPr>
        <rFont val="Calibri"/>
        <color rgb="FF1155CC"/>
        <sz val="11.0"/>
        <u/>
      </rPr>
      <t>https://kolbe-academy.org/</t>
    </r>
  </si>
  <si>
    <t>https://www.mcall.com/2023/04/16/kolbe-academy-closing/</t>
  </si>
  <si>
    <t>None of the 4 current students pay any tuition.</t>
  </si>
  <si>
    <t>115 Washington St Bath, PA 18014</t>
  </si>
  <si>
    <t>Hillsboro</t>
  </si>
  <si>
    <t>https://www.stltoday.com/news/local/education/good-shepherd-catholic-school-in-hillsboro-to-close-at-end-of-the-year/article_0d5ca2a0-9902-542e-a9af-2aa4d77c816a.html</t>
  </si>
  <si>
    <t>https://mygoodshepherd.com/school/</t>
  </si>
  <si>
    <t>https://www.niche.com/k12/good-shepherd-catholic-school-hillsboro-mo/#students</t>
  </si>
  <si>
    <t>703 Third Street Hillsboro, MO 63050</t>
  </si>
  <si>
    <t>Wauwatosa Catholic School</t>
  </si>
  <si>
    <t>Wauwatosa</t>
  </si>
  <si>
    <t>https://www.jsonline.com/story/news/education/2023/04/24/wauwatosa-catholic-school-will-close-at-the-end-of-the-school-year/70141994007/</t>
  </si>
  <si>
    <t>https://www.wauwatosacatholic.org/</t>
  </si>
  <si>
    <r>
      <rPr>
        <rFont val="Calibri"/>
        <color rgb="FF000000"/>
        <sz val="11.0"/>
      </rPr>
      <t xml:space="preserve"> $5,665 for active parishioners. </t>
    </r>
    <r>
      <rPr>
        <rFont val="Calibri"/>
        <color rgb="FF1155CC"/>
        <sz val="11.0"/>
        <u/>
      </rPr>
      <t>https://www.wauwatosacatholic.org/admissions/tuition.cfm</t>
    </r>
  </si>
  <si>
    <t>https://www.greatschools.org/wisconsin/wauwatosa/2152-Wauwatosa-Catholic-School/</t>
  </si>
  <si>
    <t xml:space="preserve">1500 Wauwatosa Avenue Wauwatosa, WI 53213
</t>
  </si>
  <si>
    <t xml:space="preserve"> St. Mary’s Catholic School</t>
  </si>
  <si>
    <t xml:space="preserve">Ticonderoga </t>
  </si>
  <si>
    <t>https://www.pressrepublican.com/news/st-marys-school-closing-doors-in-ticonderoga/article_fa0d145c-e067-11ed-8e7e-4ba533191e03.html</t>
  </si>
  <si>
    <t>http://www.stmarysschoolticonderoga.org/</t>
  </si>
  <si>
    <t>$2,250 for contributing parishioners http://www.stmarysschoolticonderoga.org/tuition.php</t>
  </si>
  <si>
    <t>https://www.niche.com/k12/st-marys-school-ticonderoga-ny/#students</t>
  </si>
  <si>
    <t>64 Amherst Avenue
Ticonderoga, NY 12883</t>
  </si>
  <si>
    <t>High Road School</t>
  </si>
  <si>
    <t>Findlay</t>
  </si>
  <si>
    <t>School for students with special needs. Closed because they couldn't come to an agreement on lease.</t>
  </si>
  <si>
    <t>https://www.13abc.com/2023/04/24/parents-worry-after-special-needs-school-findlay-announces-closure/</t>
  </si>
  <si>
    <t>varies by special need</t>
  </si>
  <si>
    <t>Spoke with Director of Special Education at the Hancock County Educational Service Center Tyler Burkland. School accepted OH scholarships for disabilities and some students were placed by district.</t>
  </si>
  <si>
    <t>7430 Timberstone Dr, Findlay, OH, 45840</t>
  </si>
  <si>
    <t>Cambridge Matignon School</t>
  </si>
  <si>
    <t>Cambridge</t>
  </si>
  <si>
    <t>https://www.wcvb.com/article/cambridge-matignon-school-closing-massachusetts/43773897#</t>
  </si>
  <si>
    <t>85% participate in merit scholarships and financial aid.</t>
  </si>
  <si>
    <t>https://www.matignon.org/admissions/tuition-affordability</t>
  </si>
  <si>
    <t>https://www.niche.com/k12/the-cambridge-matignon-school-cambridge-ma/students/</t>
  </si>
  <si>
    <t>1 Matignon Road,
Cambridge, MA 02140</t>
  </si>
  <si>
    <t>Franciscan High School</t>
  </si>
  <si>
    <t>https://www.niche.com/k12/cristo-rey-baton-rouge-franciscan-hs-baton-rouge-la/#students</t>
  </si>
  <si>
    <t>Formerly a Christo Rey school.</t>
  </si>
  <si>
    <t>https://www.wbrz.com/news/franciscan-high-school-closing-its-doors-at-end-of-school-year/</t>
  </si>
  <si>
    <t>All students participate in work study program and earn $7,500 towards tuition.</t>
  </si>
  <si>
    <t>https://www.franciscanhigh.org/admissions/tuition-family-contribution</t>
  </si>
  <si>
    <t>4000 St. Gerard Avenue, Baton Rouge, LA 70805</t>
  </si>
  <si>
    <t>St. Anthony School</t>
  </si>
  <si>
    <t>https://www.schoolspeak.com/Pages.aspx?Community=43229001&amp;Page=16</t>
  </si>
  <si>
    <t>https://news.wosu.org/news/2023-05-25/catholic-diocese-of-columbus-closing-15-churches-in-central-ohio-including-nine-in-columbus</t>
  </si>
  <si>
    <t>https://www.niche.com/k12/st-anthony-school-columbus-oh/#students</t>
  </si>
  <si>
    <t>1300 Urban Drive, Columbus, OH 43229</t>
  </si>
  <si>
    <t>Brandon Hall School</t>
  </si>
  <si>
    <t>Atlanta</t>
  </si>
  <si>
    <t>https://www.niche.com/k12/brandon-hall-school-atlanta-ga/students/</t>
  </si>
  <si>
    <t>https://www.wsbtv.com/news/local/metro-boarding-school-closing-leaving-teachers-unpaid-parents-waiting-tuition-refunds/VYBXERTVL5BPLDLLPSJSWHGBDM/</t>
  </si>
  <si>
    <t>https://www.niche.com/k12/brandon-hall-school-atlanta-ga/#tuition</t>
  </si>
  <si>
    <t>1701 Brandon Hall Dr, Atlanta, GA 30350</t>
  </si>
  <si>
    <t>Elmira</t>
  </si>
  <si>
    <t>https://www.mytwintiers.com/news-cat/local-news/catholic-school-closing-after-125-years/</t>
  </si>
  <si>
    <t>https://www.holyfamilyelmira.org/</t>
  </si>
  <si>
    <t>$4,200 for parishioners</t>
  </si>
  <si>
    <t>https://www.niche.com/k12/holy-family-catholic-school-elmira-ny/</t>
  </si>
  <si>
    <t>421 Fulton St, Elmira, NY 14904</t>
  </si>
  <si>
    <t>Wellsville</t>
  </si>
  <si>
    <t>https://wellsvillesun.com/blog/2023/06/28/why-ics-is-closing-for-good-info-on-the-building-and-the-feedback-as-father-jim-hartwell-explains/</t>
  </si>
  <si>
    <t>https://www.icc-ics.org/</t>
  </si>
  <si>
    <t>$4,160 for parishioners</t>
  </si>
  <si>
    <t>24 Maple Ave
Wellsville, NY 14895</t>
  </si>
  <si>
    <t>St. Rose Philippine Duchesne</t>
  </si>
  <si>
    <t>Florissant</t>
  </si>
  <si>
    <t>https://www.strpdparish.org/school</t>
  </si>
  <si>
    <t>https://www.stltoday.com/news/local/education/st-rose-in-florissant-is-third-catholic-grade-school-to-close-this-fall/article_a1b800d4-144a-11ee-b9a1-d3e392723e06.html</t>
  </si>
  <si>
    <t>https://www.greatschools.org/missouri/florissant/2464-St-Rose-Philippine-Duchesne-School/</t>
  </si>
  <si>
    <t>3500 St. Catherine St Florissant, MO 63033</t>
  </si>
  <si>
    <t>https://www.niche.com/k12/st-joseph-school-cincinnati-oh/#students</t>
  </si>
  <si>
    <t>Closing due to structural problems.</t>
  </si>
  <si>
    <t>https://www.fox19.com/2023/07/06/cincinnati-catholic-school-closes-2023-24-school-year/</t>
  </si>
  <si>
    <t>https://saintjoeschool.org/</t>
  </si>
  <si>
    <t>737 Ezzard Charles Drive Cincinnati, OH 45203</t>
  </si>
  <si>
    <t>St. Stephen Catholic School</t>
  </si>
  <si>
    <t>Grand Rapids</t>
  </si>
  <si>
    <t>https://www.ststephenparish.com/wp-content/uploads/2023/06/School-Closure-Letter.pdf</t>
  </si>
  <si>
    <t>https://www.fox17online.com/news/local-news/grand-rapids/saint-stephen-school-to-close-amid-enrollment-drop</t>
  </si>
  <si>
    <t>740 Gladstone SE
East Grand Rapids, MI 49506</t>
  </si>
  <si>
    <t>Divine Saviour School</t>
  </si>
  <si>
    <t>https://www.theeastsiderla.com/news/daily_digest_morning_edition/low-enrollment-dooms-catholic-school/article_1ee4520e-2fbe-11ee-b69c-0335af973e99.html</t>
  </si>
  <si>
    <t>624 Cypress Ave, Los Angeles, CA</t>
  </si>
  <si>
    <t>Holy Family School</t>
  </si>
  <si>
    <t>Covington</t>
  </si>
  <si>
    <t>https://spectrumnews1.com/ky/louisville/news/2023/08/02/teacher-shortages-affecting-schools</t>
  </si>
  <si>
    <t>Closed due to lack of teachers.</t>
  </si>
  <si>
    <t>https://www.holyfamilycovington.org/Home</t>
  </si>
  <si>
    <t>https://www.niche.com/k12/holy-family-catholic-school-covington-ky/#students</t>
  </si>
  <si>
    <t>338 East Sixteenth Street, Covington, KY 41014</t>
  </si>
  <si>
    <t>Santa Fe Waldorf School</t>
  </si>
  <si>
    <t>https://www.santafenewmexican.com/news/education/santa-fe-waldorf-schools-sudden-closure-leaves-students-parents-staff-trying-to-find-answers/article_be710cc8-3530-11ee-86aa-b7571670d416.html</t>
  </si>
  <si>
    <t>https://www.santafewaldorf.org/</t>
  </si>
  <si>
    <t>https://www.niche.com/k12/santa-fe-waldorf-school-santa-fe-nm/#tuition</t>
  </si>
  <si>
    <t>Average. Tuition varies by grade.</t>
  </si>
  <si>
    <t>https://www.niche.com/k12/santa-fe-waldorf-school-santa-fe-nm/students/</t>
  </si>
  <si>
    <t>26 Puesta Del Sol
Santa Fe, New Mexico 87508</t>
  </si>
  <si>
    <t>https://www.thebostonpilot.com/article.php?ID=195057</t>
  </si>
  <si>
    <t>Full Circle Education Center</t>
  </si>
  <si>
    <t>Rice</t>
  </si>
  <si>
    <t>1787 Lockett Road, Rice, VA 23966</t>
  </si>
  <si>
    <t xml:space="preserve"> Mustard Seed School</t>
  </si>
  <si>
    <t>Hoboken</t>
  </si>
  <si>
    <t>https://mustardseedschool.org/about/</t>
  </si>
  <si>
    <t>Merging with The Hudson School.</t>
  </si>
  <si>
    <t>https://patch.com/new-jersey/hoboken/two-hoboken-schools-announce-plans-merge</t>
  </si>
  <si>
    <t>https://mustardseedschool.org/admissions/affordability/</t>
  </si>
  <si>
    <t>Sliding scale tuition.</t>
  </si>
  <si>
    <t>https://www.niche.com/k12/mustard-seed-school-hoboken-nj/#students</t>
  </si>
  <si>
    <t>422 Willow Ave. Hoboken, NJ 07030</t>
  </si>
  <si>
    <t>Fresno Montessori School</t>
  </si>
  <si>
    <t>Fresno</t>
  </si>
  <si>
    <t>https://kmph.com/news/local/montessori-school-in-fresno-is-closing-its-doors-effective-immediately-st-paul-catholic-newman-center-barstow-avenue</t>
  </si>
  <si>
    <t>http://www.thefresnomontessori.com/classes</t>
  </si>
  <si>
    <t>1572 E Barstow Ave
Fresno , CA 93710</t>
  </si>
  <si>
    <t>St. Anthony of Padua Catholic School</t>
  </si>
  <si>
    <t>Dayton</t>
  </si>
  <si>
    <t>https://www.wdtn.com/news/local-news/st-anthony-of-padua-catholic-school-east-dayton/</t>
  </si>
  <si>
    <t>Closing because school needs $13M in repairs.</t>
  </si>
  <si>
    <t>https://school.stanthonydayton.org/welcome</t>
  </si>
  <si>
    <t>https://www.niche.com/k12/st-anthony-elementary-school-dayton-oh/#students</t>
  </si>
  <si>
    <t>1824 St. Charles Ave.  Dayton, OH 45410</t>
  </si>
  <si>
    <t>Schechter Manhattan</t>
  </si>
  <si>
    <t>https://www.timesofisrael.com/schechter-manhattan-school-to-close-at-end-of-year-as-enrollment-declines/</t>
  </si>
  <si>
    <t>https://www.schechtermanhattan.org/</t>
  </si>
  <si>
    <t>Sliding scale tuition; $46,620 was max for 8th grade. https://web.archive.org/web/20230602121829/https://www.schechtermanhattan.org/admissions/maximum-tuition/</t>
  </si>
  <si>
    <t>805 Columbus Ave New York, NY 10025</t>
  </si>
  <si>
    <t>Metropolitan Day School</t>
  </si>
  <si>
    <t>https://richmondfreepress.com/news/2023/oct/12/private-schools-closure-leaves-students-without-cl/</t>
  </si>
  <si>
    <t>Closed after storm damage. Estimated founding date based on it being open more than 2 decades.</t>
  </si>
  <si>
    <t>2824 North Ave, Richmond, VA 23222</t>
  </si>
  <si>
    <t>Christian Academy of Lousiville Southwest Campus</t>
  </si>
  <si>
    <t>https://www.whas11.com/article/news/education/christian-academy-two-schools-2024-southwest-campus-louisville-kentucky-new-albany-indiana/417-89e6bf37-f70f-4bdc-91ea-0b79d79df0dc</t>
  </si>
  <si>
    <t>Closing one campus</t>
  </si>
  <si>
    <t>https://www.bizjournals.com/louisville/news/2023/10/20/christian-academy-louisville-campus-closure.html</t>
  </si>
  <si>
    <t>KG: $7,025; 1-5: $7,225; 6-8: $7,800</t>
  </si>
  <si>
    <t>https://www.niche.com/k12/christian-academy-louisville-sw-campus-louisville-ky/#students</t>
  </si>
  <si>
    <t>8307 St. Andrews Church Road
Louisville, KY 40258</t>
  </si>
  <si>
    <t xml:space="preserve">Spalding Catholic School </t>
  </si>
  <si>
    <t>Alton</t>
  </si>
  <si>
    <t>https://siouxcityjournal.com/news/local/column/education-spalding-catholic-alton-granville-hospers/article_0c43bdcc-7755-11ee-b810-9f418e06a2d3.html</t>
  </si>
  <si>
    <t>https://www.spaldingcatholic.org/</t>
  </si>
  <si>
    <t>https://www.niche.com/k12/spalding-catholic-schools-granville-ia/#students</t>
  </si>
  <si>
    <t>908 6th Ave., Alton, IA 51003</t>
  </si>
  <si>
    <t xml:space="preserve">Elgin Academy </t>
  </si>
  <si>
    <t>Elgin</t>
  </si>
  <si>
    <t>https://abc7chicago.com/elgin-academy-closing-private-school-185-years-closes-at-end-of-year/14036171/</t>
  </si>
  <si>
    <t>https://www.elginacademy.org/</t>
  </si>
  <si>
    <t>https://www.chicagotribune.com/suburbs/elgin-courier-news/ct-ecn-elgin-academy-school-closing-st-1110-20231108-m4nxc4ue7be3vk6ibqfdbweq5u-story.html</t>
  </si>
  <si>
    <t xml:space="preserve">Elgin Academy’s yearly tuition is set by grade level. The cost is between $10,695 and $17,310 for early education; $21,730 for kindergarten to fourth grade; $27,190 for middle school; and $31,560 for high school. Calculated tuition here just divides above by five.
</t>
  </si>
  <si>
    <t>https://www.niche.com/k12/elgin-academy-elgin-il/students/</t>
  </si>
  <si>
    <t>350 Park Street
ElginIL60120</t>
  </si>
  <si>
    <t>St. Maria Goretti Regional Catholic High School</t>
  </si>
  <si>
    <t>Hagerstown</t>
  </si>
  <si>
    <t>https://catholicreview.org/st-maria-goretti-regional-catholic-high-school-confirms-closure/</t>
  </si>
  <si>
    <t>https://goretti.org/</t>
  </si>
  <si>
    <t xml:space="preserve">18614 Crestwood Drive, Hagerstown, MD 21742
</t>
  </si>
  <si>
    <t>Our Lady of Fatima Catholic School</t>
  </si>
  <si>
    <t>Albuquerque</t>
  </si>
  <si>
    <t>https://www.koat.com/article/our-lady-of-fatima-catholic-school-close-in-2024/45992846#</t>
  </si>
  <si>
    <t>Ascension of Our Lord Catholic School</t>
  </si>
  <si>
    <t>LaPlace</t>
  </si>
  <si>
    <t>https://www.lobservateur.com/2023/12/06/faith-over-fear-ascension-of-our-lord-catholic-school-prays-for-its-future/</t>
  </si>
  <si>
    <t>Our Lady of Mercy Academy</t>
  </si>
  <si>
    <t>Syosset</t>
  </si>
  <si>
    <t>https://www.niche.com/k12/our-lady-of-mercy-academy-syosset-ny/students/</t>
  </si>
  <si>
    <t>School cited falling enrollment, so it's probably lower than this. Incoming freshman class only 37 students.</t>
  </si>
  <si>
    <t>https://www.newsday.com/long-island/religion/mercy-high-school-academy-closing-olma-cgecu2qa</t>
  </si>
  <si>
    <t>https://www.niche.com/k12/our-lady-of-mercy-academy-syosset-ny/#tuition</t>
  </si>
  <si>
    <t>815 Convent Road Syosset, NY 11791</t>
  </si>
  <si>
    <t>unnamed yet</t>
  </si>
  <si>
    <t>Lindsay</t>
  </si>
  <si>
    <t>https://www.niche.com/k12/lindsay-holy-family-school-lindsay-ne/students/</t>
  </si>
  <si>
    <t>301 Pine Street
Lindsay, NE  68644</t>
  </si>
  <si>
    <t>St. Francis School</t>
  </si>
  <si>
    <t>Humphrey</t>
  </si>
  <si>
    <t>https://www.niche.com/k12/st-francis-schools-humphrey-ne/students/</t>
  </si>
  <si>
    <t xml:space="preserve">St. Martin of Tours Catholic School </t>
  </si>
  <si>
    <t>Cheviot</t>
  </si>
  <si>
    <t>https://www.cincinnati.com/story/news/2023/12/19/cincinnati-catholic-school-closing-after-more-than-100-years/71975669007/</t>
  </si>
  <si>
    <t>https://saintmartin.org/school/Prospective-Families/Document-Library</t>
  </si>
  <si>
    <t>3729 Harding Avenue
Cheviot, OH 45211</t>
  </si>
  <si>
    <t>La Reina High School and Middle School</t>
  </si>
  <si>
    <t>Thousand Oaks</t>
  </si>
  <si>
    <t>https://www.kclu.org/2024-01-25/a-private-catholic-school-serving-the-conejo-valley-is-closing-after-nearly-six-decades-in-operation</t>
  </si>
  <si>
    <t>Lack of Enrollment</t>
  </si>
  <si>
    <t>https://www.niche.com/k12/la-reina-high-school-and-middle-school-thousand-oaks-ca/</t>
  </si>
  <si>
    <t>106 W Janss Rd Thousand Oaks, CA 91360</t>
  </si>
  <si>
    <t>St. Germaine Catholic School</t>
  </si>
  <si>
    <t>St Claire Shores</t>
  </si>
  <si>
    <t>https://www.niche.com/k12/st-germaine-elementary-school-saint-clair-shores-mi/</t>
  </si>
  <si>
    <t>Financial problems, school has had a $150,000 deficit per year for a number of years</t>
  </si>
  <si>
    <t>https://stgermaine.org/news/st-germaine-school-celebrates-50-years#:~:text=When%20St.,from%20the%20Sisters%20of%20St.</t>
  </si>
  <si>
    <t>https://stgermaineschool.com/tuition-schedule/</t>
  </si>
  <si>
    <t>28250 ROCKWOOD ST SAINT CLAIR SHORES, MI 48081</t>
  </si>
  <si>
    <t>St. Paul the Apostle Catholic School</t>
  </si>
  <si>
    <t>Joliet</t>
  </si>
  <si>
    <t>https://www.ncronline.org/news/joliet-bishop-announces-merging-closure-9-catholic-parishes</t>
  </si>
  <si>
    <t>Two schools are closing and being replaced by one school</t>
  </si>
  <si>
    <t>https://thestpaulschool.org/</t>
  </si>
  <si>
    <t>130 Woodlawn Ave, Joliet, IL 60435</t>
  </si>
  <si>
    <t>St. Jude Catholic School</t>
  </si>
  <si>
    <t>https://www.saintjudejoliet.net/</t>
  </si>
  <si>
    <t>2204 McDonough St #1842, Joliet, IL 60436</t>
  </si>
  <si>
    <t xml:space="preserve">St. Matthew School </t>
  </si>
  <si>
    <t>Glendale Heights</t>
  </si>
  <si>
    <t>https://www.niche.com/k12/st-matthew-parish-school-glendale-heights-il/#students</t>
  </si>
  <si>
    <t>Enrollment may be off; no date available for it.</t>
  </si>
  <si>
    <t>https://www.diojoliet.org/w/bishop-ronald-hicks-decision-concerning-the-restructuring-of-the-joliet-deanery</t>
  </si>
  <si>
    <t>https://stmatthewschool.org/admissions/tuition-fees/</t>
  </si>
  <si>
    <t>1555 Glen Ellyn Rd, Glendale Heights, IL 60139</t>
  </si>
  <si>
    <t>Venango Catholic High School</t>
  </si>
  <si>
    <t>Oil City</t>
  </si>
  <si>
    <t>https://www.meadvilletribune.com/news/venango-christian-high-school-to-close-at-end-of-academic-year/article_3674df64-c7a4-11ee-b71e-6fb3346ba184.html</t>
  </si>
  <si>
    <t>https://www.venangocatholic.org/</t>
  </si>
  <si>
    <t>1505 W. First Street
Oil City, PA 16301</t>
  </si>
  <si>
    <t>https://news.yahoo.com/l-hotels-homeless-residents-forced-110026761.html</t>
  </si>
  <si>
    <t>In a hotel that serves as homeless residence. School founder cited safety issues for abrupt closure. Formerly charter school.</t>
  </si>
  <si>
    <t>333 S Figueroa St, Los Angeles, CA 90071</t>
  </si>
  <si>
    <t>Visitation Academy</t>
  </si>
  <si>
    <t>https://www.niche.com/k12/visitation-academy-brooklyn-ny/#students</t>
  </si>
  <si>
    <t>https://www.brooklynpaper.com/bay-ridge-visitation-academy-to-shut-down/</t>
  </si>
  <si>
    <t>8902 Ridge Blvd Brooklyn NY 11209</t>
  </si>
  <si>
    <t>St. Andrew’s Country Day School</t>
  </si>
  <si>
    <t>https://www.wivb.com/news/local-news/erie-county/tonawanda/st-andrews-parish-school-in-tonawanda-to-close-by-june/</t>
  </si>
  <si>
    <t>The Little Flower School</t>
  </si>
  <si>
    <t>Richmond Heights</t>
  </si>
  <si>
    <t>Search for Private Schools - School Detail for LITTLE FLOWER CATHOLIC SCHOOL (ed.gov)</t>
  </si>
  <si>
    <t>Falling enrollment the last few years</t>
  </si>
  <si>
    <t>2 St. Louis parish elementary schools to close | ksdk.com</t>
  </si>
  <si>
    <t>Tuition (littleflowerstl.org)</t>
  </si>
  <si>
    <t>1264 Arch Terrace Richmond Heights, MO 63117</t>
  </si>
  <si>
    <t>St. Roch School in St. Louis</t>
  </si>
  <si>
    <t>St. Roch School in St. Louis, MO - Niche</t>
  </si>
  <si>
    <t>6052 Waterman Boulevard St. Louis, MO, 63112 Parish</t>
  </si>
  <si>
    <t>Christ the King Elementary School</t>
  </si>
  <si>
    <t>Christ the King Elementary School in Wichita, KS - Niche</t>
  </si>
  <si>
    <t>Lack of funding</t>
  </si>
  <si>
    <t>Enrollment (ctkwichita.org)</t>
  </si>
  <si>
    <t>4501 W MAPLE ST, WICHITA, KS 67209</t>
  </si>
  <si>
    <t>St. Odilo School</t>
  </si>
  <si>
    <t>Berwyn</t>
  </si>
  <si>
    <t>St. Odilo Elementary School in Berwyn, IL - Niche</t>
  </si>
  <si>
    <t>Loss of scholarship tax credit program</t>
  </si>
  <si>
    <t>2 suburban Chicago Catholic schools closing in June - CBS Chicago (cbsnews.com)</t>
  </si>
  <si>
    <t>6617 23RD ST, BERWYN, IL 60402</t>
  </si>
  <si>
    <t>St. Catherine School</t>
  </si>
  <si>
    <t>Kapaa</t>
  </si>
  <si>
    <t>https://kauainownews.com/2024/03/15/parents-struggle-to-prevent-st-catherines-school-closure-amid-low-enrollment/</t>
  </si>
  <si>
    <t>5021 Kawaihau Road Kapaa, HI 96746</t>
  </si>
  <si>
    <t>St. Bede School</t>
  </si>
  <si>
    <t>Ingleside</t>
  </si>
  <si>
    <t>https://www.cbsnews.com/chicago/news/st-bede-school-chicago-north-suburbs-closing/</t>
  </si>
  <si>
    <t>Loss of scholarship tax credit program, insufficient enrollment.</t>
  </si>
  <si>
    <t>https://www.stbedeschool.com/tuition-and-fees</t>
  </si>
  <si>
    <t>https://www.niche.com/k12/st-bede-elementary-school-ingleside-il/#students</t>
  </si>
  <si>
    <t>36399 N. Wilson Rd. Ingleside, IL 60041</t>
  </si>
  <si>
    <t>Atlanta Girls’ School</t>
  </si>
  <si>
    <t>https://www.11alive.com/article/news/education/atlanta-girls-school-closing/85-9a15bf52-c2f5-4120-b677-c90369ebdfaf</t>
  </si>
  <si>
    <t>https://www.niche.com/k12/atlanta-girls-school-atlanta-ga/#tuition</t>
  </si>
  <si>
    <t>https://www.niche.com/k12/atlanta-girls-school-atlanta-ga/students/</t>
  </si>
  <si>
    <t>3254 Northside Parkway NW Atlanta, GA 30327</t>
  </si>
  <si>
    <t>St. Dominic Academy</t>
  </si>
  <si>
    <t>Auburn</t>
  </si>
  <si>
    <t>https://www.sunjournal.com/2025/03/28/saint-dominic-academy-to-close-its-high-school-at-end-of-school-year/</t>
  </si>
  <si>
    <t>Closing the high school portion of a K-12 school. Added to tracker after an independent group announced new private high school in its place for 2026.</t>
  </si>
  <si>
    <t>Cathedral Academy at Pompe</t>
  </si>
  <si>
    <t>https://www.niche.com/k12/cathedral-academy-at-pompei-syracuse-ny/#students</t>
  </si>
  <si>
    <t>Formed through merger of Our Lady of Pompei School and Cathedral Academy</t>
  </si>
  <si>
    <t>https://www.syracuse.com/news/2024/03/syracuse-catholic-diocese-to-close-pre-k-6-school-at-end-of-academic-year.html</t>
  </si>
  <si>
    <t>923 North Mcbride Street, Syracuse, New York 13208</t>
  </si>
  <si>
    <t xml:space="preserve">St. Teresa of Avila Microschool
</t>
  </si>
  <si>
    <t>https://www.theeastsiderla.com/news/daily_digest_evening_edition/microschool-is-too-small-to-survive/article_c327a378-eb8b-11ee-ae63-7f6a3026509b.html</t>
  </si>
  <si>
    <r>
      <rPr>
        <rFont val="Calibri"/>
        <color rgb="FF1155CC"/>
        <sz val="11.0"/>
        <u/>
      </rPr>
      <t>https://www.niche.com/k12/st-teresa-of-avila-school-los-angeles-ca/#students</t>
    </r>
    <r>
      <rPr>
        <rFont val="Calibri"/>
        <color rgb="FF000000"/>
        <sz val="11.0"/>
      </rPr>
      <t xml:space="preserve"> (breakdown from when school had more students)</t>
    </r>
  </si>
  <si>
    <t>2215 Fargo St., Los Angeles, CA 90039</t>
  </si>
  <si>
    <t xml:space="preserve"> Immaculate Conception Cathedral School </t>
  </si>
  <si>
    <t>https://www.niche.com/k12/immaculate-conception-cathedral-school-memphis-tn/#students</t>
  </si>
  <si>
    <t>High school closed in 2020; elementary closing end of 2024. Date unknown for enrollment figure.</t>
  </si>
  <si>
    <t>https://wreg.com/news/immaculate-conception-cathedral-school-to-close-at-end-of-school-year/</t>
  </si>
  <si>
    <t>$8,995 preK-5; $9,575 6-8</t>
  </si>
  <si>
    <t xml:space="preserve">1669 Central Ave. Memphis, TN 38104 </t>
  </si>
  <si>
    <t>St. Anne Catholic School</t>
  </si>
  <si>
    <t>https://www.niche.com/k12/st-anne-catholic-school-las-vegas-nv/</t>
  </si>
  <si>
    <t>“continued diminishing enrollment and tremendous financial challenges.”</t>
  </si>
  <si>
    <t>https://school.stannelvnv.org/tuition-fees</t>
  </si>
  <si>
    <t>1813 S Maryland Pkwy, Las Vegas, NV 89104</t>
  </si>
  <si>
    <t>East Moline</t>
  </si>
  <si>
    <t>https://www.niche.com/k12/our-lady-of-grace-east-moline-il/</t>
  </si>
  <si>
    <t>lack of enrollment and maintenance costs, The end of Illinois’ Invest in Kids Scholarship Tax Credit Program</t>
  </si>
  <si>
    <t>https://qconline.com/news/local/education/our-lady-of-grace-east-moline-closing/article_e04bf4ec-f782-11ee-9ae5-0f2c7a6c0c00.html</t>
  </si>
  <si>
    <t>https://www.olgca.org/</t>
  </si>
  <si>
    <t>603 18th Ave, East Moline, IL 61244</t>
  </si>
  <si>
    <t>Manistee Catholic Central School</t>
  </si>
  <si>
    <t>Manistee</t>
  </si>
  <si>
    <t>https://www.niche.com/k12/manistee-catholic-central-school-manistee-mi/</t>
  </si>
  <si>
    <t>https://www.manisteenews.com/news/article/manistee-families-caught-guard-students-pulled-18591712.php</t>
  </si>
  <si>
    <t>1200 US 31, Manistee MI 49660</t>
  </si>
  <si>
    <t>St. Monica School</t>
  </si>
  <si>
    <t xml:space="preserve">Creve Coeur </t>
  </si>
  <si>
    <t>https://fox2now.com/news/missouri/st-monica-school-in-creve-coeur-to-close-after-school-year/</t>
  </si>
  <si>
    <t>https://www.niche.com/k12/st-monica-elementary-school-saint-louis-mo/#students</t>
  </si>
  <si>
    <t>12132 Olive Blvd, Creve Coeur, MO 63141</t>
  </si>
  <si>
    <t>St. Columba Catholic School</t>
  </si>
  <si>
    <t>Bloomsburg</t>
  </si>
  <si>
    <t>https://www.hbgdiocese.org/saint-columba-catholic-school-to-close/</t>
  </si>
  <si>
    <t>Increasing costs and decreasing enrollment</t>
  </si>
  <si>
    <t>https://www.wnep.com/article/news/local/columbia-county/saint-columba-catholic-school-bloomsburg-to-close-after-70-years/523-c6fb9794-f724-4f5a-a77e-16ef9da2ba45</t>
  </si>
  <si>
    <t>https://www.saintcolumbaschool.org/Portals/stcolumbaschool/CMAdmin/Files/2023-2024%20Tuition%20rates.pdf?ver=2023-05-15-061405-317</t>
  </si>
  <si>
    <t>40 East Third Street
Bloomsburg, PA 17815</t>
  </si>
  <si>
    <t>St. Matthias Catholic Academy</t>
  </si>
  <si>
    <t>Ridgewood</t>
  </si>
  <si>
    <t>https://qns.com/2024/04/catholic-school-ridgewood-faces-closure-114-years/</t>
  </si>
  <si>
    <t>https://www.stmatthiasca.org/</t>
  </si>
  <si>
    <t>https://www.niche.com/k12/st-matthias-school-ridgewood-ny/#tuition</t>
  </si>
  <si>
    <t>https://www.niche.com/k12/st-matthias-school-ridgewood-ny/#students (from when enrollment was higher)</t>
  </si>
  <si>
    <t>58-25 Catalpa Avenue
Ridgewood, New York 11385</t>
  </si>
  <si>
    <t xml:space="preserve">St. Zachary School </t>
  </si>
  <si>
    <t xml:space="preserve">Des Plaines </t>
  </si>
  <si>
    <t>https://abc7chicago.com/st-zachary-school-closing-after-more-than-60-years-in-des-plaines-illinois/14722825/</t>
  </si>
  <si>
    <t>https://www.saintzacharyschool.org/enrollment/tuition-and-scholarships/</t>
  </si>
  <si>
    <t>567 W Algonquin Rd, Des Plaines, IL 60016</t>
  </si>
  <si>
    <t>Lutheran North Academy</t>
  </si>
  <si>
    <t>https://www.niche.com/k12/lutheran-north-academy-houston-tx/students/</t>
  </si>
  <si>
    <t xml:space="preserve"> Grades 6-8 Tuition: $11,500; Grades 9-12 Tuition: $18,400</t>
  </si>
  <si>
    <t>1130 W 34th St, Houston, TX 77018</t>
  </si>
  <si>
    <t>St. Alphonsus Catholic School</t>
  </si>
  <si>
    <t>Brooklyn Center</t>
  </si>
  <si>
    <t>https://ccxmedia.org/news/st-alphonsus-catholic-school-in-brooklyn-center-to-close-after-65-years/</t>
  </si>
  <si>
    <t>https://stalsmnschool.org/</t>
  </si>
  <si>
    <r>
      <rPr>
        <rFont val="&quot;Google Sans&quot;, Roboto, sans-serif"/>
        <color rgb="FF1155CC"/>
        <sz val="9.0"/>
        <u/>
      </rPr>
      <t>https://www.niche.com/k12/st-alphonsus-elementary-school-brooklyn-center-mn/#students</t>
    </r>
    <r>
      <rPr>
        <rFont val="&quot;Google Sans&quot;, Roboto, sans-serif"/>
        <color rgb="FF000000"/>
        <sz val="9.0"/>
      </rPr>
      <t xml:space="preserve">  (from when enrollment was higher)</t>
    </r>
  </si>
  <si>
    <t>7031 Halifax Avenue N
Brooklyn Center, MN 55429</t>
  </si>
  <si>
    <t>Salve Regina Catholic Academy</t>
  </si>
  <si>
    <t>https://www.brooklynpaper.com/bk-diocese-closing-2-catholic-elementary-schools-2024/</t>
  </si>
  <si>
    <r>
      <rPr>
        <rFont val="Calibri"/>
        <color theme="1"/>
        <sz val="11.0"/>
      </rPr>
      <t xml:space="preserve">Initial school in 1864. Went through many changes. Salve Regina formed in a consolodation in 2011. </t>
    </r>
    <r>
      <rPr>
        <rFont val="Calibri"/>
        <color rgb="FF1155CC"/>
        <sz val="11.0"/>
        <u/>
      </rPr>
      <t>https://srca.org/history-of-salve-regina-catholic-academy</t>
    </r>
  </si>
  <si>
    <t>237 Jerome St, Brooklyn, NY 11207</t>
  </si>
  <si>
    <t xml:space="preserve"> St. Catherine of Genoa-St. Therese of Lisieux</t>
  </si>
  <si>
    <r>
      <rPr>
        <rFont val="Calibri"/>
        <color theme="1"/>
        <sz val="11.0"/>
      </rPr>
      <t xml:space="preserve">St. Catherine of Genoa School began in 1923 and St. Thérèse of Lisieux School began in 1941. Combined St. Catherine of Genoa ~ St. Thérèse of Lisieux Catholic Academy started in September 2011. </t>
    </r>
    <r>
      <rPr>
        <rFont val="Calibri"/>
        <color rgb="FF1155CC"/>
        <sz val="11.0"/>
        <u/>
      </rPr>
      <t>https://scgstl.org/school-history</t>
    </r>
  </si>
  <si>
    <t>4410 Avenue D, Brooklyn, NY 11203</t>
  </si>
  <si>
    <t>St Simon Stock School</t>
  </si>
  <si>
    <t>https://bronx.news12.com/st-simon-stock-school-in-fordham-to-not-reopen-this-fall-due-to-low-enrollment</t>
  </si>
  <si>
    <t>2195 Valentine Avenue
Bronx, NY 10457</t>
  </si>
  <si>
    <t xml:space="preserve">The Transfiguration School </t>
  </si>
  <si>
    <t>Tarrytown</t>
  </si>
  <si>
    <r>
      <rPr>
        <rFont val="Calibri"/>
        <color rgb="FF1155CC"/>
        <sz val="11.0"/>
        <u/>
      </rPr>
      <t>https://thehudsonindependent.com/transfiguration-catholic-school-in-tarrytown-to-close/</t>
    </r>
    <r>
      <rPr>
        <rFont val="Calibri"/>
        <color theme="1"/>
        <sz val="11.0"/>
      </rPr>
      <t>/</t>
    </r>
  </si>
  <si>
    <t>https://transfigurationschool.org/tuition-and-fees</t>
  </si>
  <si>
    <t>40 Prospect Avenue
Tarrytown, NY 10591</t>
  </si>
  <si>
    <t>St. Margaret Catholic Elementary</t>
  </si>
  <si>
    <t xml:space="preserve">Otsego </t>
  </si>
  <si>
    <t>https://wwmt.com/news/local/saint-margaret-catholic-elementary-school-otsego-closing-kalamazoo-diocese-catholic-church-teacher-shortage-funding-students-education</t>
  </si>
  <si>
    <t>Aquin Catholic School</t>
  </si>
  <si>
    <t>https://www.wifr.com/2024/05/01/diocese-close-aquin-catholic-high-school-freeport-creates-micro-academy/</t>
  </si>
  <si>
    <t>Northside Christian Academy</t>
  </si>
  <si>
    <t>https://www.charlotteobserver.com/sports/high-school/article288360285.html</t>
  </si>
  <si>
    <t>Avg - varies by grade
GRADES K-5: $9,850
GRADES 6-8: $10,500
GRADES 9-12: $11,650</t>
  </si>
  <si>
    <t>333 Jeremiah Boulevard Charlotte, NC 28262</t>
  </si>
  <si>
    <t>Trinity Lutheran Church School</t>
  </si>
  <si>
    <t xml:space="preserve">Hawthorne </t>
  </si>
  <si>
    <t>https://www.dailybreeze.com/2024/05/20/k-8-school-at-trinity-lutheran-church-in-hawthorne-to-close-after-77-years/</t>
  </si>
  <si>
    <t>4783 W 130th St Hawthorne, CA 90250</t>
  </si>
  <si>
    <t>Immaculate Heart of Mary School</t>
  </si>
  <si>
    <t>Wayne</t>
  </si>
  <si>
    <t>https://www.nj.com/education/2024/05/nj-catholic-school-to-close-after-65-years.html</t>
  </si>
  <si>
    <t>https://www.niche.com/k12/immaculate-heart-of-mary-school-wayne-nj/#students</t>
  </si>
  <si>
    <t>580 Ratzer Road, Wayne, New Jersey, 07470</t>
  </si>
  <si>
    <t>Rome Catholic School</t>
  </si>
  <si>
    <t>Rome</t>
  </si>
  <si>
    <t>https://cnycentral.com/news/local/rome-catholic-school-set-to-close-by-end-of-2024-due-to-declining-enrollment</t>
  </si>
  <si>
    <t>800 Cypress St, Rome, NY 13440</t>
  </si>
  <si>
    <t>New Horizons School</t>
  </si>
  <si>
    <t>https://www.niche.com/k12/new-horizons-school-fremont-ca/#students</t>
  </si>
  <si>
    <t>37053 Cherry St #206, Newark, CA 94560</t>
  </si>
  <si>
    <t>Sacred Heart Catholic School</t>
  </si>
  <si>
    <t>Brawley</t>
  </si>
  <si>
    <t>https://kyma.com/news/imperial-county/2024/05/10/beloved-local-catholic-school-set-to-close-after-110-years/</t>
  </si>
  <si>
    <r>
      <rPr>
        <rFont val="Calibri"/>
        <color theme="1"/>
        <sz val="11.0"/>
      </rPr>
      <t xml:space="preserve">From when enrollment was higher. "Other" is "unknown" on niche. </t>
    </r>
    <r>
      <rPr>
        <rFont val="Calibri"/>
        <color rgb="FF000000"/>
        <sz val="11.0"/>
        <u/>
      </rPr>
      <t>https://www.niche.com/k12/sacred-heart-elementary-school-brawley-ca/#tuition</t>
    </r>
  </si>
  <si>
    <t>428 S. Imperial Ave, Brawley, CA 92227</t>
  </si>
  <si>
    <t>Trinity Catholic School</t>
  </si>
  <si>
    <t>Massena</t>
  </si>
  <si>
    <t>https://www.wwnytv.com/2024/06/05/low-enrollment-takes-toll-massenas-trinity-catholic-school/</t>
  </si>
  <si>
    <t>White Mountain School</t>
  </si>
  <si>
    <t>Date of enrollment not known. https://www.niche.com/k12/the-white-mountain-school-bethlehem-nh/students/</t>
  </si>
  <si>
    <t>https://www.wmur.com/article/white-mountain-school-in-bethlehem-announces-its-closing/61111202</t>
  </si>
  <si>
    <r>
      <rPr>
        <rFont val="Calibri"/>
        <color rgb="FF000000"/>
        <sz val="11.0"/>
      </rPr>
      <t xml:space="preserve">Day school. Boarding: $71,620 </t>
    </r>
    <r>
      <rPr>
        <rFont val="Calibri"/>
        <color rgb="FF1155CC"/>
        <sz val="11.0"/>
        <u/>
      </rPr>
      <t>https://www.whitemountain.org/admissions/tuition-and-financial-aid/</t>
    </r>
  </si>
  <si>
    <t>371 West Farm Road Bethlehem NH 0357</t>
  </si>
  <si>
    <t>Mulberry School</t>
  </si>
  <si>
    <t>Los Gatos</t>
  </si>
  <si>
    <t>https://www.greatschools.org/california/los-gatos/9799-Mulberry-School/</t>
  </si>
  <si>
    <t>https://www.greatschools.org/california/los-gatos/9799-Mulberry-School/#osp-school-info*Enrollment</t>
  </si>
  <si>
    <t>220 Belgatos Road Los Gatos, CA 95032</t>
  </si>
  <si>
    <t>The Marin School</t>
  </si>
  <si>
    <t>San Rafael</t>
  </si>
  <si>
    <t>https://www.greatschools.org/california/san-rafael/9385-The-Marin-School/#Neighborhood</t>
  </si>
  <si>
    <t>https://www.themarinschool.org/</t>
  </si>
  <si>
    <t>150 North San Pedro Road San Rafael, CA 94903</t>
  </si>
  <si>
    <t>Academy of Thought and Industry</t>
  </si>
  <si>
    <t>https://www.sfchronicle.com/bayarea/article/academy-of-thought-and-industry-19532299.php</t>
  </si>
  <si>
    <t>2690 Jackson St, San Francisco, CA 94115</t>
  </si>
  <si>
    <t>Saint Barnabas High School</t>
  </si>
  <si>
    <t>https://westchester.news12.com/students-shocked-after-saint-barnabas-hs-announces-sudden-closure</t>
  </si>
  <si>
    <t>https://www.niche.com/k12/saint-barnabas-high-school-bronx-ny/students/</t>
  </si>
  <si>
    <t>425 E 240th St, Bronx, NY 10470</t>
  </si>
  <si>
    <t>Bay Shore Christian School</t>
  </si>
  <si>
    <t>Bay Shore</t>
  </si>
  <si>
    <t>https://www.niche.com/k12/bay-shore-christian-school-bay-shore-ny/#students</t>
  </si>
  <si>
    <t>Date of enrollment figure unknown.</t>
  </si>
  <si>
    <t>https://longisland.news12.com/bay-shore-assembly-of-god-school-to-close-following-summer-session</t>
  </si>
  <si>
    <t>211 Bay Shore Rd, Bay Shore, New York, 11706</t>
  </si>
  <si>
    <t>Mercer Christian Academy</t>
  </si>
  <si>
    <t>Closing mentioned in story about Summit Christian Academy opening. No other details found.</t>
  </si>
  <si>
    <t>St. Nicholas Catholic School</t>
  </si>
  <si>
    <t>Jersey City</t>
  </si>
  <si>
    <t>https://www.niche.com/k12/st-nicholas-school-jersey-city-nj/#students</t>
  </si>
  <si>
    <t>Unsure what year enrollment figure is from. According to Diocese: From September 2021 to June 2024, school enrollment declined by 30%. In late July 2024, registration for the coming school year declined an additional 12%.</t>
  </si>
  <si>
    <t>https://rcan.org/st-nicholas-catholic-school-in-jersey-city-to-close/</t>
  </si>
  <si>
    <t>https://www.niche.com/k12/st-nicholas-school-jersey-city-nj/#tuition</t>
  </si>
  <si>
    <t>118 Ferry Street
Jersey City, NJ 07307</t>
  </si>
  <si>
    <t>Wellspring Catholic Academy of St. Bernadette</t>
  </si>
  <si>
    <t xml:space="preserve">Lakewood </t>
  </si>
  <si>
    <t>https://gowellspring.org/wp-content/uploads/2024/09/wcaletterengfinal.pdf</t>
  </si>
  <si>
    <t>Closing notice says school reopened in 2019.</t>
  </si>
  <si>
    <r>
      <rPr>
        <rFont val="Calibri"/>
        <color theme="1"/>
        <sz val="11.0"/>
      </rPr>
      <t xml:space="preserve">Enrollment was double (136) when these stats were published. </t>
    </r>
    <r>
      <rPr>
        <rFont val="Calibri"/>
        <color rgb="FF1155CC"/>
        <sz val="11.0"/>
        <u/>
      </rPr>
      <t>https://www.niche.com/k12/wellspring-catholic-academy-at-st-bernadette-lakewood-co/#students</t>
    </r>
    <r>
      <rPr>
        <rFont val="Calibri"/>
        <color theme="1"/>
        <sz val="11.0"/>
      </rPr>
      <t xml:space="preserve"> </t>
    </r>
  </si>
  <si>
    <t>1100 Upham Street Lakewood, CO 80214</t>
  </si>
  <si>
    <t xml:space="preserve">Guardian Angels Catholic School </t>
  </si>
  <si>
    <t>https://www.niche.com/k12/guardian-angels-catholic-school-denver-co/#students</t>
  </si>
  <si>
    <t>1843 W 52nd Ave, Denver, CO, 80221</t>
  </si>
  <si>
    <t xml:space="preserve">Bishop Machebeuf High School </t>
  </si>
  <si>
    <t>https://www.niche.com/k12/bishop-machebeuf-high-school-denver-co/students/</t>
  </si>
  <si>
    <t>Consolidating with St. John Paul the Great High School in Denver. Unclear how current enrollment figure from Niche is.</t>
  </si>
  <si>
    <t>https://machebeuf.org/admissions/tuition-financial-aid/</t>
  </si>
  <si>
    <t>458 Uinta Way Denver, CO 80230</t>
  </si>
  <si>
    <t>Jubilee Christian School</t>
  </si>
  <si>
    <t>Responded to private school enrollment survey with closure news.</t>
  </si>
  <si>
    <t>255 WASHINGTON RD
PITTSBURGH, PA 15216</t>
  </si>
  <si>
    <t>Northside Christian Daycare</t>
  </si>
  <si>
    <t>Northglenn</t>
  </si>
  <si>
    <t>11550 WASHINGTON ST
NORTHGLENN, CO 80233</t>
  </si>
  <si>
    <t>St. John Vianney</t>
  </si>
  <si>
    <t>Orchard Park</t>
  </si>
  <si>
    <t>https://www.wgrz.com/article/news/special-reports/diocese-in-crisis/st-john-vianney-school-closing/71-7ba83fce-7765-41e4-92e2-18bb3fd2d068</t>
  </si>
  <si>
    <t>https://www.wgrz.com/article/news/local/st-john-vianney-buffalo-diocese-school-closure/71-dda5fb92-7b28-4a53-a6ae-4ef706de18e9</t>
  </si>
  <si>
    <t>https://s3.amazonaws.com/media.cloversites.com/5f/5fae3c17-7e9f-4d0a-8175-1113c7c3f93c/documents/Tuition_Agreement_25-26.pdf</t>
  </si>
  <si>
    <r>
      <rPr>
        <rFont val="Calibri"/>
        <color theme="1"/>
        <sz val="11.0"/>
      </rPr>
      <t xml:space="preserve">Demographics from when enrollment was double: </t>
    </r>
    <r>
      <rPr>
        <rFont val="Calibri"/>
        <color rgb="FF1155CC"/>
        <sz val="11.0"/>
        <u/>
      </rPr>
      <t>https://www.niche.com/k12/st-john-vianney-school-orchard-park-ny/#students</t>
    </r>
  </si>
  <si>
    <t>2950 Southwestern Blvd
Orchard Park, NY 14127</t>
  </si>
  <si>
    <t xml:space="preserve">McDowell School </t>
  </si>
  <si>
    <t>Laguna Niguel</t>
  </si>
  <si>
    <t>https://www.ocregister.com/2024/10/16/mcdowell-school-in-laguna-niguel-is-closing-its-doors-after-educating-kids-for-nearly-50-years/</t>
  </si>
  <si>
    <t>29028 Aloma Ave, Laguna Niguel, CA 92677</t>
  </si>
  <si>
    <t>Saint John Vianney Catholic School</t>
  </si>
  <si>
    <t>St. Pete Beach</t>
  </si>
  <si>
    <t>https://www.niche.com/k12/st-john-vianney-catholic-school-st-pete-beach-fl/#students</t>
  </si>
  <si>
    <t>Closing due to hurricane damage</t>
  </si>
  <si>
    <t>500 84th Ave.
St. Pete Beach, FL 33706</t>
  </si>
  <si>
    <t>Saint Kateri Catholic school</t>
  </si>
  <si>
    <t>Irondequoit</t>
  </si>
  <si>
    <t>https://www.rochesterfirst.com/news/saint-kateri-catholic-school-in-irondequoit-to-close-at-end-of-academic-year/</t>
  </si>
  <si>
    <t>https://www.saintkaterischool.org/admissions/tuition-rates-2023-2024/</t>
  </si>
  <si>
    <t>445 Kings Hwy S, Rochester, NY 14617</t>
  </si>
  <si>
    <t>St. Joseph School</t>
  </si>
  <si>
    <t>Genevieve</t>
  </si>
  <si>
    <t>https://www.stlouisreview.com/story/st-joseph-school-in-zell/</t>
  </si>
  <si>
    <t>11822 Zell Rd Ste,
Genevieve, MO 63670</t>
  </si>
  <si>
    <t>Our Lady of Guadalupe School</t>
  </si>
  <si>
    <t>https://www.niche.com/k12/our-lady-of-guadalupe-school-saint-louis-mo/#students</t>
  </si>
  <si>
    <t>1115 S. Florissant Rd, St Louis, MO 63121</t>
  </si>
  <si>
    <t>Alpine Academy of Rockford</t>
  </si>
  <si>
    <t xml:space="preserve">Rockford </t>
  </si>
  <si>
    <t>https://www.rockrivercurrent.com/2024/12/20/rockford-private-school-to-close-mid-year-wont-return-for-second-semester/</t>
  </si>
  <si>
    <t>https://www.niche.com/k12/alpine-academy-rockford-il/#tuition</t>
  </si>
  <si>
    <t>https://www.niche.com/k12/alpine-academy-rockford-il/#students</t>
  </si>
  <si>
    <t>5001 Forest View Avenue, Rockford, IL 61108</t>
  </si>
  <si>
    <t>Christ the King Catholic School</t>
  </si>
  <si>
    <t>https://www.wtkr.com/news/in-the-community/norfolk/christ-the-king-school-in-norfolk-to-close-at-end-of-school-year-due-to-mounting-debt</t>
  </si>
  <si>
    <t>https://www.niche.com/k12/christ-the-king-catholic-school-norfolk-va/#students</t>
  </si>
  <si>
    <t>3401 Tidewater Dr, Norfolk, VA 23509</t>
  </si>
  <si>
    <t>St. Teresa’s Catholic School</t>
  </si>
  <si>
    <t>https://www.niche.com/k12/st-teresas-catholic-school-albany-ga/students/</t>
  </si>
  <si>
    <t>https://www.niche.com/k12/st-teresas-catholic-school-albany-ga/#tuition</t>
  </si>
  <si>
    <t>https://www.niche.com/k12/st-teresas-catholic-school-albany-ga/#students</t>
  </si>
  <si>
    <t>417 Edgewood Lane
Albany, Georgia 31707</t>
  </si>
  <si>
    <t>St. Agnes Catholic School</t>
  </si>
  <si>
    <t xml:space="preserve">Catonsville </t>
  </si>
  <si>
    <t>https://catholicreview.org/st-agnes-school-catonsville-to-close-at-end-of-academic-year/</t>
  </si>
  <si>
    <t>https://www.wbaltv.com/article/st-agnes-catholic-school-catonsville-to-close-end-school-year/63419176</t>
  </si>
  <si>
    <t>603 St. Agnes Ln. Catonsville, MD 21229</t>
  </si>
  <si>
    <t>St. Katharine Drexel Academy</t>
  </si>
  <si>
    <t>El Cerrito</t>
  </si>
  <si>
    <t>https://www.kpbs.org/news/education/2025/01/02/low-enrollment-lack-funding-san-diego-catholic-school-danger-closing</t>
  </si>
  <si>
    <t>Was formed through merger of two schools.</t>
  </si>
  <si>
    <t>https://www.niche.com/k12/st-katharine-drexel-academy-san-diego-ca/#students</t>
  </si>
  <si>
    <t>4551 56th St. San Diego, CA 92115</t>
  </si>
  <si>
    <t>St. Thomas of Villanova</t>
  </si>
  <si>
    <t>Palatine</t>
  </si>
  <si>
    <t>https://www.dailyherald.com/20250127/news/archdiocese-rejects-reprieve-for-st-thomas-of-villanova/</t>
  </si>
  <si>
    <t>https://stvschool.org/wp-content/uploads/2024/02/K-8-Tuition-2024-2025.docx.pdf</t>
  </si>
  <si>
    <t>https://www.niche.com/k12/st-thomas-of-villanova-school-palatine-il/#students</t>
  </si>
  <si>
    <t>1141 E. Anderson Dr.
Palatine, IL 60074</t>
  </si>
  <si>
    <r>
      <rPr>
        <rFont val="Calibri"/>
        <color rgb="FF1155CC"/>
        <sz val="11.0"/>
        <u/>
      </rPr>
      <t>https://shhighbridge.org/</t>
    </r>
    <r>
      <rPr>
        <rFont val="Calibri"/>
        <color rgb="FF000000"/>
        <sz val="11.0"/>
      </rPr>
      <t xml:space="preserve"> (prek-8)</t>
    </r>
  </si>
  <si>
    <r>
      <rPr>
        <rFont val="Calibri"/>
        <color theme="1"/>
        <sz val="11.0"/>
      </rPr>
      <t xml:space="preserve">Building being taken over by charter school that will have an optional Catholic extended day program. </t>
    </r>
    <r>
      <rPr>
        <rFont val="Calibri"/>
        <color rgb="FF1155CC"/>
        <sz val="11.0"/>
        <u/>
      </rPr>
      <t>https://catholicschoolsny.org/wp-content/uploads/2025/01/SC-and-IC-Schools-in-the-Bronx-to-Close-as-Catholic-Institutions-01.16.25-UPDATED.pdf</t>
    </r>
  </si>
  <si>
    <t>https://www.niche.com/k12/sacred-heart-high-school-yonkers-ny/students/</t>
  </si>
  <si>
    <t>1248 Nelson Ave.
Bronx, NY 10452</t>
  </si>
  <si>
    <t>https://icsfamily.org/ (prek-8)</t>
  </si>
  <si>
    <r>
      <rPr>
        <rFont val="Calibri"/>
        <color theme="1"/>
        <sz val="11.0"/>
      </rPr>
      <t xml:space="preserve">Building being taken over by charter school that will have an optional Catholic extended day program. </t>
    </r>
    <r>
      <rPr>
        <rFont val="Calibri"/>
        <color rgb="FF1155CC"/>
        <sz val="11.0"/>
        <u/>
      </rPr>
      <t>https://catholicschoolsny.org/wp-content/uploads/2025/01/SC-and-IC-Schools-in-the-Bronx-to-Close-as-Catholic-Institutions-01.16.25-UPDATED.pdf</t>
    </r>
  </si>
  <si>
    <t>https://www.niche.com/k12/immaculate-conception-school-bronx-ny/</t>
  </si>
  <si>
    <t>378 E 151st St, Bronx, NY, 10455</t>
  </si>
  <si>
    <t xml:space="preserve">All Saints School </t>
  </si>
  <si>
    <t>Endicott</t>
  </si>
  <si>
    <t>https://www.niche.com/k12/all-saints-endicott-ny/#students</t>
  </si>
  <si>
    <r>
      <rPr>
        <rFont val="Calibri"/>
        <color theme="1"/>
        <sz val="11.0"/>
      </rPr>
      <t xml:space="preserve">Opened as a result of the merger of St. Joseph and Our Lady of Sorrows schools. </t>
    </r>
    <r>
      <rPr>
        <rFont val="Calibri"/>
        <color rgb="FF1155CC"/>
        <sz val="11.0"/>
        <u/>
      </rPr>
      <t>https://wnbf.com/endicott-catholic-elementary-school-to-close/</t>
    </r>
  </si>
  <si>
    <t>https://www.niche.com/k12/all-saints-endicott-ny/#tuition</t>
  </si>
  <si>
    <t>1112 Broad St, Endicott, NY 13760</t>
  </si>
  <si>
    <t xml:space="preserve"> Saint Margaret School </t>
  </si>
  <si>
    <t>Reading</t>
  </si>
  <si>
    <t>https://www.abc27.com/pennsylvania/berks-county-catholic-school-to-close-in-june/</t>
  </si>
  <si>
    <t>https://www.smsreading.org/admissions/tuition</t>
  </si>
  <si>
    <r>
      <rPr>
        <rFont val="Calibri"/>
        <color rgb="FF1155CC"/>
        <sz val="11.0"/>
        <u/>
      </rPr>
      <t>https://www.niche.com/k12/st-margaret-school-reading-pa/#students</t>
    </r>
    <r>
      <rPr>
        <rFont val="Calibri"/>
        <color theme="1"/>
        <sz val="11.0"/>
      </rPr>
      <t xml:space="preserve"> </t>
    </r>
  </si>
  <si>
    <t>235 Spring St. Reading PA 19601</t>
  </si>
  <si>
    <t xml:space="preserve">Huntsville College Preparatory School </t>
  </si>
  <si>
    <t xml:space="preserve">Huntsville </t>
  </si>
  <si>
    <t>https://www.niche.com/k12/huntsville-college-preparatory-school-huntsville-al/students/</t>
  </si>
  <si>
    <t>https://www.rocketcitynow.com/article/news/local/families-scramble-after-school-shuts-down-mid-year/525-75baa6f3-784d-45c5-bb03-2f6cf110aa60</t>
  </si>
  <si>
    <t>654 Discovery Dr NW, Huntsville, AL 35806</t>
  </si>
  <si>
    <t>King Abdullah Academy</t>
  </si>
  <si>
    <t>Herndon</t>
  </si>
  <si>
    <t>https://www.ffxnow.com/2025/02/13/saudi-private-school-in-herndon-to-shut-down-surprising-families/</t>
  </si>
  <si>
    <t>2949 Education Drive, Herndon, VA 20171</t>
  </si>
  <si>
    <t>Our Lady of Refuge School</t>
  </si>
  <si>
    <t>https://www.niche.com/k12/our-lady-of-refuge-school-bronx-ny/#students</t>
  </si>
  <si>
    <t>https://www.niche.com/k12/our-lady-of-refuge-school-bronx-ny/#tuition</t>
  </si>
  <si>
    <t xml:space="preserve">2708 Briggs Avenue
Bronx, NY 10458  </t>
  </si>
  <si>
    <t>St. Lucy's School</t>
  </si>
  <si>
    <t>https://stlucys.org/</t>
  </si>
  <si>
    <t>https://www.niche.com/k12/st-lucys-school-bronx-ny/#tuition</t>
  </si>
  <si>
    <t>https://www.niche.com/k12/st-lucys-school-bronx-ny/</t>
  </si>
  <si>
    <t>830 Mace Ave
Bronx, NY 10467</t>
  </si>
  <si>
    <t>St. Mark the Evangelist</t>
  </si>
  <si>
    <t>https://saintmarkschool.org/</t>
  </si>
  <si>
    <t>https://www.privateschoolreview.com/st-mark-the-evangelist-school-profile</t>
  </si>
  <si>
    <t>https://www.niche.com/k12/st-mark-the-evangelist-school-new-york-ny/</t>
  </si>
  <si>
    <t>55 W 138th Street
New York, NY 10037</t>
  </si>
  <si>
    <t>Erie</t>
  </si>
  <si>
    <t>https://www.goerie.com/story/news/local/2025/02/14/blessed-sacrament-school-closing-june-erie-catholic-school-system/78640631007/</t>
  </si>
  <si>
    <t>https://www.niche.com/k12/blessed-sacrament-school-erie-pa/#students  percentages from when enrollment was 397</t>
  </si>
  <si>
    <t>2510 Greengarden Rd, Erie, PA 16502</t>
  </si>
  <si>
    <t>East Providence</t>
  </si>
  <si>
    <t>https://turnto10.com/news/local/east-providence-catholic-school-close-end-of-school-year-sacred-heart-financial-difficulties-declining-enrollment-neighboring-families-students-february-21-2025</t>
  </si>
  <si>
    <t>https://www.sacredheartepri.com/affordability.html</t>
  </si>
  <si>
    <t>https://www.niche.com/k12/sacred-heart-school-east-providence-ri/#students</t>
  </si>
  <si>
    <t>56 Purchase St. East Providence, RI 02914</t>
  </si>
  <si>
    <t xml:space="preserve"> St. Mary Catholic School</t>
  </si>
  <si>
    <t>Orange</t>
  </si>
  <si>
    <t>https://kfdm.com/news/local/breaking-st-mary-catholic-school-in-orange-to-close-at-end-of-academic-year</t>
  </si>
  <si>
    <t>2600 Bob Hall Rd, Orange, TX 77630</t>
  </si>
  <si>
    <t>Bishop Grimes High School</t>
  </si>
  <si>
    <t>East Syracuse</t>
  </si>
  <si>
    <t>https://cnycentral.com/news/local/rumors-swirl-around-potential-closure-of-bishop-grimes-junior-senior-high-school-possible-closure-catholic-diocese-syracuse-looming-administrator</t>
  </si>
  <si>
    <t>Bishop Ludden High School</t>
  </si>
  <si>
    <t>https://syracusediocese.org/news/diocese-of-syracuse-announces-new-unified-high-school</t>
  </si>
  <si>
    <t>https://www.syracuse.com/schools/2025/02/answers-on-bishop-grimes-closing-why-wasnt-ludden-picked-instead-is-there-hope-for-a-rescue.html</t>
  </si>
  <si>
    <t>St. Michael Catholic School</t>
  </si>
  <si>
    <t>https://www.wfmj.com/story/52557766/st-michael-catholic-school-to-close-after-this-school-year</t>
  </si>
  <si>
    <t>80 North High St.
Greenville PA 16125</t>
  </si>
  <si>
    <t>https://www.timesunion.com/education/article/albany-diocese-closing-saints-catholic-academy-20221249.php</t>
  </si>
  <si>
    <t>10 Rosemont Street
Albany, NY 12203</t>
  </si>
  <si>
    <t>St. Paul Catholic School</t>
  </si>
  <si>
    <t>https://www.expressnews.com/news/education/article/st-paul-catholic-school-closure-san-antonio-20248658.php</t>
  </si>
  <si>
    <r>
      <rPr>
        <rFont val="Calibri"/>
        <color theme="1"/>
        <sz val="11.0"/>
      </rPr>
      <t xml:space="preserve">Demographics from when school had 220 students. </t>
    </r>
    <r>
      <rPr>
        <rFont val="Calibri"/>
        <color rgb="FF1155CC"/>
        <sz val="11.0"/>
        <u/>
      </rPr>
      <t>https://www.niche.com/k12/st-paul-catholic-school-san-antonio-tx/#students</t>
    </r>
  </si>
  <si>
    <t>307 John Adams, San Antono, Texas 78228</t>
  </si>
  <si>
    <t xml:space="preserve">Meadowview Christian School
</t>
  </si>
  <si>
    <t>Selma</t>
  </si>
  <si>
    <t>https://www.niche.com/k12/meadowview-christian-school-selma-al/students/</t>
  </si>
  <si>
    <t>https://meadowviewchristian.com/wp-content/uploads/2023/03/MCS-Registration.pdf</t>
  </si>
  <si>
    <r>
      <rPr>
        <rFont val="Calibri"/>
        <color theme="1"/>
        <sz val="11.0"/>
      </rPr>
      <t xml:space="preserve">Unknown how current enrollment/demographic info is. </t>
    </r>
    <r>
      <rPr>
        <rFont val="Calibri"/>
        <color rgb="FF1155CC"/>
        <sz val="11.0"/>
        <u/>
      </rPr>
      <t>https://www.niche.com/k12/meadowview-christian-school-selma-al/students/</t>
    </r>
  </si>
  <si>
    <t>1512 Old Orrville Rd. Selma, AL 36701</t>
  </si>
  <si>
    <t>St. Simon the Apostle School</t>
  </si>
  <si>
    <t>https://www.ksdk.com/article/news/local/a-st-louis-catholic-elementary-school-to-close-after-65-years/63-5ce2ff65-27aa-4020-9044-53afdd43a497</t>
  </si>
  <si>
    <t>https://stsimonchurch.org/tuitionfinancial-aidscholarships</t>
  </si>
  <si>
    <r>
      <rPr>
        <rFont val="Calibri"/>
        <color theme="1"/>
        <sz val="11.0"/>
      </rPr>
      <t xml:space="preserve">Demographics from when school had 120 students. </t>
    </r>
    <r>
      <rPr>
        <rFont val="Calibri"/>
        <color rgb="FF1155CC"/>
        <sz val="11.0"/>
        <u/>
      </rPr>
      <t>https://www.niche.com/k12/st-simon-the-apostle-school-saint-louis-mo/#students</t>
    </r>
  </si>
  <si>
    <t>11019 Mueller Rd, St. Louis, MO 63123</t>
  </si>
  <si>
    <t xml:space="preserve">Resurrection Catholic School </t>
  </si>
  <si>
    <t>https://lancasteronline.com/news/local/resurrection-catholic-school-to-close-at-the-end-of-school-year/article_21ef5601-d7d6-4513-9362-51ef6e46a913.html</t>
  </si>
  <si>
    <t xml:space="preserve"> 521 E Orange St, Lancaster, Pa. 17602</t>
  </si>
  <si>
    <t>Sound Christian Academy</t>
  </si>
  <si>
    <t>Tacoma</t>
  </si>
  <si>
    <t>https://www.niche.com/k12/sound-christian-academy-tacoma-wa/students/</t>
  </si>
  <si>
    <r>
      <rPr>
        <rFont val="Calibri"/>
        <sz val="11.0"/>
      </rPr>
      <t xml:space="preserve">Varies by grade, $13,000 is for highest grade </t>
    </r>
    <r>
      <rPr>
        <rFont val="Calibri"/>
        <color rgb="FF1155CC"/>
        <sz val="11.0"/>
        <u/>
      </rPr>
      <t>https://www.soundchristianacademy.org/admissions/tuition-and-tuition-assistance/</t>
    </r>
  </si>
  <si>
    <t>2310 S. 66th Street
Tacoma, WA 98409</t>
  </si>
  <si>
    <t xml:space="preserve"> Immaculate Conception School</t>
  </si>
  <si>
    <t xml:space="preserve">Spotswood </t>
  </si>
  <si>
    <t>https://www.nj.com/education/2025/04/nj-catholic-school-to-close-after-65-years.html</t>
  </si>
  <si>
    <t>https://icsspotswood.org/tuition-informationhttps://icsspotswood.org/tuition-information</t>
  </si>
  <si>
    <t>23 Manalapan Road, Spotswood, NJ 08884</t>
  </si>
  <si>
    <t>Divine Redeemer Catholic School</t>
  </si>
  <si>
    <t>https://gazette.com/news/education/colorado-springs-school-to-close-due-to-dwindling-enrollment-and-competition-shocking-families/article_fb4922ef-1112-4cb0-b31b-8b2014bc0966.html</t>
  </si>
  <si>
    <t>https://school.divineredeemer.net/o/drcs/page/tuition-fees</t>
  </si>
  <si>
    <t>enrollment demographics from when school had 200+ students.  https://www.niche.com/k12/divine-redeemer-catholic-school-colorado-springs-co/#students</t>
  </si>
  <si>
    <t>901 N. Logan Ave
Colorado Springs, CO 80909</t>
  </si>
  <si>
    <t>The Primary School</t>
  </si>
  <si>
    <t>East Palo Alto</t>
  </si>
  <si>
    <t>https://www.nytimes.com/2025/04/24/us/school-closure-zuckerberg-chan.html</t>
  </si>
  <si>
    <t xml:space="preserve">The school's East Bay campus is also closing. School founded by Mark Zuckerberg and his wife. </t>
  </si>
  <si>
    <t>enrollment demographics from when school had fewer students.
 https://www.niche.com/k12/the-primary-school-east-palo-alto-east-palo-alto-ca/#students</t>
  </si>
  <si>
    <t>2086 Clarke Avenue
East Palo Alto, CA 94303</t>
  </si>
  <si>
    <t>St. Francis de Sales Catholic School</t>
  </si>
  <si>
    <t>Riverside</t>
  </si>
  <si>
    <t>https://www.raincrossgazette.com/diocese-plans-to-close-historic-riverside-catholic-school/</t>
  </si>
  <si>
    <t>https://www.sfdslions.com/ourpages/auto/2021/6/10/45838915/Tuition%20Contract%202024-2025.pdf?rnd=1716501261132</t>
  </si>
  <si>
    <t>https://www.niche.com/k12/st-francis-de-sales-school-riverside-ca/#students</t>
  </si>
  <si>
    <t>4205 Mulberry St., Riverside, CA 92501</t>
  </si>
  <si>
    <t>Holy Trinity Catholic Academy</t>
  </si>
  <si>
    <t>Shelton</t>
  </si>
  <si>
    <t>https://www.ctinsider.com/news/shelton/article/holy-trinity-catholic-academy-closing-shelton-ct-20310893.php</t>
  </si>
  <si>
    <t>https://www.niche.com/k12/holy-trinity-catholic-academy-shelton-ct/#students</t>
  </si>
  <si>
    <t>503 Shelton Ave, Shelton, CT 06484</t>
  </si>
  <si>
    <t>Nicholasville</t>
  </si>
  <si>
    <t>https://www.news-graphic.com/news/pca-to-close-after-21-years/article_ce668ece-6845-45d9-87cc-0f8338a506bf.html</t>
  </si>
  <si>
    <t>101 Providence Way
Nicholasville, KY 40356</t>
  </si>
  <si>
    <t xml:space="preserve">St. Eugene’s Cathedral School </t>
  </si>
  <si>
    <t>Santa Rosa</t>
  </si>
  <si>
    <t>https://www.pressdemocrat.com/article/news/st-eugenes-catholic-school-santa-rosa-diocese/</t>
  </si>
  <si>
    <t>https://static1.squarespace.com/static/6255cafefdb5c95ecc11ecc9/t/67d8bdda152ce95f1b6f678d/1742257662704/TuitionsandFees.pdf</t>
  </si>
  <si>
    <t xml:space="preserve">Enrollment demographics from when school had 202 students. https://www.niche.com/k12/st-eugenes-cathedral-school-santa-rosa-ca/#students
</t>
  </si>
  <si>
    <t xml:space="preserve">300 Farmers Lane 
Santa Rosa, CA 95405 </t>
  </si>
  <si>
    <t>St. Alphonsus Liguori Catholic School</t>
  </si>
  <si>
    <t>Prospects Heights</t>
  </si>
  <si>
    <t>https://www.dailyherald.com/20250519/education/parents-refuse-to-give-up-as-st-alphonsus-liguori-school-faces-closure-once-again/</t>
  </si>
  <si>
    <t>https://www.niche.com/k12/st-alphonsus-liguori-school-prospect-heights-il/#tuition</t>
  </si>
  <si>
    <t>https://www.niche.com/k12/st-alphonsus-liguori-school-prospect-heights-il/#students</t>
  </si>
  <si>
    <t>411 N Wheeling Rd, Prospect Heights, IL 60070</t>
  </si>
  <si>
    <t>Atonement Catholic Academy</t>
  </si>
  <si>
    <t>https://www.niche.com/k12/the-atonement-catholic-academy-san-antonio-tx/students/</t>
  </si>
  <si>
    <t>https://www.niche.com/k12/the-atonement-catholic-academy-san-antonio-tx/#tuition</t>
  </si>
  <si>
    <t>15415 Red Robin Rd San Antonio, TX 78255</t>
  </si>
  <si>
    <t>Our Lady of Perpetual Help Catholic Academy</t>
  </si>
  <si>
    <t>https://www.brooklynpaper.com/our-lady-of-perpetual-help-catholic-school-close/</t>
  </si>
  <si>
    <t>https://olphcab.org/tuition-and-fees</t>
  </si>
  <si>
    <r>
      <rPr>
        <rFont val="Calibri"/>
        <color theme="1"/>
        <sz val="11.0"/>
      </rPr>
      <t xml:space="preserve">Demographic data based on when enrollment was double current.   </t>
    </r>
    <r>
      <rPr>
        <rFont val="Calibri"/>
        <color rgb="FF1155CC"/>
        <sz val="11.0"/>
        <u/>
      </rPr>
      <t>https://www.niche.com/k12/our-lady-of-perpetual-help-elementary-school-brooklyn-ny/#students</t>
    </r>
  </si>
  <si>
    <t>5902 6th Ave. Brooklyn NY 11220</t>
  </si>
  <si>
    <t>St. Basil School</t>
  </si>
  <si>
    <t>South Haven</t>
  </si>
  <si>
    <t>https://www.niche.com/k12/st-basil-school-south-haven-mi/#students</t>
  </si>
  <si>
    <r>
      <rPr>
        <rFont val="Calibri"/>
        <color theme="1"/>
        <sz val="11.0"/>
      </rPr>
      <t xml:space="preserve">Date for enrollment data unknown. </t>
    </r>
    <r>
      <rPr>
        <rFont val="Calibri"/>
        <color rgb="FF1155CC"/>
        <sz val="11.0"/>
        <u/>
      </rPr>
      <t>https://www.niche.com/k12/st-basil-school-south-haven-mi/#students</t>
    </r>
  </si>
  <si>
    <t>94 Superior Street South Haven, MI 49090</t>
  </si>
  <si>
    <t xml:space="preserve">St. John Central Academy </t>
  </si>
  <si>
    <t xml:space="preserve">Bellaire </t>
  </si>
  <si>
    <t xml:space="preserve">St. John Central High School opened in 1857 and operated until 2019 when the diocese announced it would close. A private committee established St. John Central Academy in the fall of 2019 and operated the school until 2025. </t>
  </si>
  <si>
    <t>https://www.theintelligencer.net/news/top-headlines/2025/06/st-john-central-academy-announces-its-closing-its-doors/</t>
  </si>
  <si>
    <t>3625 Guernesy Street,
Bellaire Ohio, 43906</t>
  </si>
  <si>
    <t>Excel Academy</t>
  </si>
  <si>
    <t>Casper</t>
  </si>
  <si>
    <t>School made arrangements for teachers and interested students to transfer to nearby Miss Ashlee’s Childcare and Preschool and continue to use Excel's curriculum.</t>
  </si>
  <si>
    <r>
      <rPr>
        <rFont val="Calibri"/>
        <color rgb="FF1155CC"/>
        <sz val="11.0"/>
        <u/>
      </rPr>
      <t>https://oilcity.news/community/schools-community/2025/07/24/excel-academy-announces-closure-cites-declining-enrollment/</t>
    </r>
    <r>
      <rPr>
        <rFont val="Calibri"/>
        <color theme="1"/>
        <sz val="11.0"/>
      </rPr>
      <t>/</t>
    </r>
  </si>
  <si>
    <t>500 S Jefferson St, Casper, WY, 82601</t>
  </si>
  <si>
    <t>Cathedral High School</t>
  </si>
  <si>
    <t xml:space="preserve"> NY</t>
  </si>
  <si>
    <t>May be from before recent 50% enrollment drop that led to closure. https://www.niche.com/k12/cathedral-high-school-new-york-ny/students/</t>
  </si>
  <si>
    <t>https://eastsidefeed.com/odds-and-ends/catholic-high-school-announces-permanent-closure/</t>
  </si>
  <si>
    <t>https://www.niche.com/k12/cathedral-high-school-new-york-ny/students/</t>
  </si>
  <si>
    <t>116 E 97th St, New York, NY, 10029</t>
  </si>
  <si>
    <t>https://www.argusleader.com/story/news/education/2025/09/18/christ-the-king-elementary-school-closing-sioux-falls/86220734007/</t>
  </si>
  <si>
    <t>https://www.keloland.com/news/local-news/christ-the-king-elementary-to-close-in-2026/</t>
  </si>
  <si>
    <t>https://www.ogknights.org/page/prospective-families</t>
  </si>
  <si>
    <r>
      <rPr>
        <rFont val="Calibri"/>
        <color theme="1"/>
        <sz val="11.0"/>
      </rPr>
      <t xml:space="preserve">Demographics from when enrollment was 164. </t>
    </r>
    <r>
      <rPr>
        <rFont val="Calibri"/>
        <color rgb="FF1155CC"/>
        <sz val="11.0"/>
        <u/>
      </rPr>
      <t>https://www.niche.com/k12/christ-the-king-elementary-sioux-falls-sd/#students</t>
    </r>
  </si>
  <si>
    <t>1801 S Lake Ave,
Sioux Falls, SD 57105</t>
  </si>
  <si>
    <t>St. Elizabeth’s School</t>
  </si>
  <si>
    <t>https://www.niche.com/k12/st-elizabeths-school-denver-co/#students</t>
  </si>
  <si>
    <t>Sliding scale tuition</t>
  </si>
  <si>
    <t>1800 N Pontiac St.
Denver, CO 80220</t>
  </si>
  <si>
    <t>St. Louis Catholic School</t>
  </si>
  <si>
    <t xml:space="preserve">Louisville </t>
  </si>
  <si>
    <t>https://www.denvercatholic.org/archdiocese-announces-closure-of-st-louis-catholic-school-in-louisville</t>
  </si>
  <si>
    <t>$7,345 if affiliated with a parish.</t>
  </si>
  <si>
    <t>925 Grant Ave., Louisville, CO 80027</t>
  </si>
  <si>
    <t>Stratford School 14th Avenue San Francisco Campus</t>
  </si>
  <si>
    <t>https://www.niche.com/k12/stratford-school-san-francisco-14th-avenue-san-francisco-ca/#students</t>
  </si>
  <si>
    <t>https://www.yahoo.com/news/articles/f-families-stunned-decision-close-193232862.html</t>
  </si>
  <si>
    <t>Grades 1-5; KG: $26,960. Mandarin immersion higher.</t>
  </si>
  <si>
    <t>645 14th Avenue
San Francisco, CA 94118</t>
  </si>
  <si>
    <t>Northside Catholic Assumption Academy</t>
  </si>
  <si>
    <t>https://ncaacademynow.org/welcome/faq/</t>
  </si>
  <si>
    <t>A new school, Saint Cyril of Alexandria Academy, is taking its place. NCAA was formed by merger of schools that opened in 1930.</t>
  </si>
  <si>
    <t>Demographics from when enrollment was 211. https://www.niche.com/k12/northside-catholic-assumption-academy-pittsburgh-pa/#students</t>
  </si>
  <si>
    <t>South Sioux City</t>
  </si>
  <si>
    <t>https://www.niche.com/k12/st-michael-school-south-sioux-city-ne/#students</t>
  </si>
  <si>
    <t>https://www.ktiv.com/2025/12/08/catholic-school-south-sioux-city-close-end-school-year/</t>
  </si>
  <si>
    <t xml:space="preserve">1315 1st Ave
South Sioux City, NE 68776 </t>
  </si>
  <si>
    <t>https://www.niche.com/k12/calvary-christian-academy-charlotte-nc/#students</t>
  </si>
  <si>
    <t>https://www.wfae.org/education/2025-12-22/private-christian-school-in-south-charlotte-announces-closure</t>
  </si>
  <si>
    <t>https://www.calvarychristianacademy.com/tuition-fees/</t>
  </si>
  <si>
    <t>5801 Pineville-Matthews Road Charlotte, NC 28226</t>
  </si>
  <si>
    <t>South City Catholic Academy</t>
  </si>
  <si>
    <t>https://www.yahoo.com/news/articles/catholic-community-reacts-closing-longtime-040351615.html</t>
  </si>
  <si>
    <t>https://www.ksdk.com/article/news/local/south-city-catholic-academy-to-close-at-end-of-school-year/63-07673619-cedf-47fe-acf0-c630e0a15ff1</t>
  </si>
  <si>
    <t>https://www.stlsouthcitycatholicacademy.org/tuition</t>
  </si>
  <si>
    <t>5821 Pernod Avenue, St. Louis, MO, 63139</t>
  </si>
  <si>
    <t>St. Stanislaus Kostka Academy</t>
  </si>
  <si>
    <t>https://www.niche.com/k12/st-stanislaus-kostka-academy-chicago-il/#students</t>
  </si>
  <si>
    <t>https://www.asumag.com/facilities-management/article/55352118/catholic-school-in-chicago-is-closing-after-151-years</t>
  </si>
  <si>
    <t>https://ststanschicago.org/tuition</t>
  </si>
  <si>
    <r>
      <rPr>
        <rFont val="Calibri"/>
        <color theme="1"/>
        <sz val="11.0"/>
      </rPr>
      <t xml:space="preserve">Demographics from when school had 172 students </t>
    </r>
    <r>
      <rPr>
        <rFont val="Calibri"/>
        <color rgb="FF1155CC"/>
        <sz val="11.0"/>
        <u/>
      </rPr>
      <t>https://www.niche.com/k12/st-stanislaus-kostka-academy-chicago-il/#students</t>
    </r>
  </si>
  <si>
    <t>1255 North Noble Street
Chicago, IL 60642</t>
  </si>
  <si>
    <t xml:space="preserve"> St. Hubert Catholic School</t>
  </si>
  <si>
    <t>Hoffman Estates</t>
  </si>
  <si>
    <t>https://www.niche.com/k12/st-hubert-catholic-school-hoffman-estates-il/#students</t>
  </si>
  <si>
    <t>https://sthubertschool.org/tuition-information</t>
  </si>
  <si>
    <t>Demographics from when school had 213 students  https://www.niche.com/k12/st-hubert-catholic-school-hoffman-estates-il/#students</t>
  </si>
  <si>
    <t>255 Flagstaff Lane
Hoffman Estates, IL 60169</t>
  </si>
  <si>
    <t>Our Lady of Humility</t>
  </si>
  <si>
    <t>Beach Park</t>
  </si>
  <si>
    <t>https://chicago.suntimes.com/education/2026/01/26/archdiocese-catholic-school-closing-jerome-bruno-richard-francis-borgia-stanislaus-kostka</t>
  </si>
  <si>
    <t>H</t>
  </si>
  <si>
    <r>
      <rPr>
        <rFont val="Calibri"/>
        <sz val="11.0"/>
      </rPr>
      <t xml:space="preserve">Demographics from when school had 215 students </t>
    </r>
    <r>
      <rPr>
        <rFont val="Calibri"/>
        <color rgb="FF1155CC"/>
        <sz val="11.0"/>
        <u/>
      </rPr>
      <t>https://www.niche.com/k12/our-lady-of-humility-school-beach-park-il/#students</t>
    </r>
  </si>
  <si>
    <t>10601 W. Wadsworth Road
Beach Park, IL 60099</t>
  </si>
  <si>
    <t>St. Bruno and Richard</t>
  </si>
  <si>
    <t>B</t>
  </si>
  <si>
    <t>https://www.niche.com/k12/saints-bruno-and-richard-school-chicago-il/#tuition</t>
  </si>
  <si>
    <t>Demographics from when school had 227 students https://www.niche.com/k12/saints-bruno-and-richard-school-chicago-il/#students</t>
  </si>
  <si>
    <t>5025 South Kenneth Avenue
Chicago, Illinois 60632</t>
  </si>
  <si>
    <t>St. Francis Borgia</t>
  </si>
  <si>
    <t>F</t>
  </si>
  <si>
    <t>https://sfborgia.org/wp-content/uploads/2023/09/SFBTuition20252026.pdf</t>
  </si>
  <si>
    <t>https://www.niche.com/k12/st-francis-borgia-school-chicago-il/#students</t>
  </si>
  <si>
    <t>3535 North Panama Ave
Chicago, IL 60634</t>
  </si>
  <si>
    <t>St. Jerome</t>
  </si>
  <si>
    <t>J</t>
  </si>
  <si>
    <t>https://stjeromeschool.net/ourpages/auto/2024/6/19/46876174/2025-26%20Tuition%20Rates.pdf?rnd=1741195627512</t>
  </si>
  <si>
    <t>https://www.niche.com/k12/st-jerome-catholic-school-chicago-il/#students</t>
  </si>
  <si>
    <t>2801 S. Princeton Ave.
Chicago, IL 60616</t>
  </si>
  <si>
    <t xml:space="preserve">St. Patrick Academy </t>
  </si>
  <si>
    <t>Unknown name on St. Robert School campus</t>
  </si>
  <si>
    <t>https://www.niche.com/k12/st-patrick-academy-sacramento-ca/#students</t>
  </si>
  <si>
    <t>https://www.cbsnews.com/sacramento/news/parents-feel-blindsided-diocese-of-sacramento-catholic-school-consolidation/</t>
  </si>
  <si>
    <t>https://saintpatricksacademy.net/admissions/finances/tuition-rates</t>
  </si>
  <si>
    <t>https://www.niche.com/k12/st-patrick-academy-sacramento-ca/</t>
  </si>
  <si>
    <t>5945 Franklin Blvd.
Sacramento, CA 95824</t>
  </si>
  <si>
    <t xml:space="preserve">St. Charles-Borromeo </t>
  </si>
  <si>
    <t>https://www.niche.com/k12/st-charles-borromeo-school-sacramento-ca/#students</t>
  </si>
  <si>
    <t>https://scbsac.org/prospective-families/tuition-and-fees</t>
  </si>
  <si>
    <t>7580 Center Parkway,
Sacramento, CA 95823</t>
  </si>
  <si>
    <t>St. Robert School</t>
  </si>
  <si>
    <t>https://www.niche.com/k12/st-robert-catholic-school-sacramento-ca/</t>
  </si>
  <si>
    <t>https://strobertschool.org/admissions/</t>
  </si>
  <si>
    <t>https://www.niche.com/k12/st-robert-catholic-school-sacramento-ca/#students</t>
  </si>
  <si>
    <t>2251 Irvin Way Sacramento, CA 95822</t>
  </si>
  <si>
    <t xml:space="preserve">Holyoke </t>
  </si>
  <si>
    <t>https://iobserve.org/2026/01/23/blessed-sacrament-school-holyoke-to-close-at-the-end-of-academic-year/</t>
  </si>
  <si>
    <t>Date estimated based on school being more than 100 years old.</t>
  </si>
  <si>
    <t>https://blessedsacramentschoolholyoke.org/admissions</t>
  </si>
  <si>
    <t>Demographics from when school had 179 students. https://www.niche.com/k12/blessed-sacrament-elementary-school-holyoke-ma/#students</t>
  </si>
  <si>
    <t xml:space="preserve">21 Westfield Rd.
Holyoke, MA 01040
</t>
  </si>
  <si>
    <t xml:space="preserve">Sacred Heart Catholic Academy </t>
  </si>
  <si>
    <t>Queens</t>
  </si>
  <si>
    <t>https://www.amny.com/education/diocese-brooklyn-seven-catholic-schools-close/</t>
  </si>
  <si>
    <t>Explicitly mentioned on website</t>
  </si>
  <si>
    <r>
      <rPr>
        <rFont val="Calibri"/>
        <color rgb="FF1155CC"/>
        <sz val="11.0"/>
        <u/>
      </rPr>
      <t>7 Catholic elementary schools to close in Brooklyn, Queens</t>
    </r>
  </si>
  <si>
    <r>
      <rPr>
        <rFont val="Calibri"/>
        <color rgb="FF1155CC"/>
        <sz val="11.0"/>
        <u/>
      </rPr>
      <t>History - Sacred Heart Catholic Academy – Cambria Heights, Queens</t>
    </r>
  </si>
  <si>
    <t>https://shcach.org/tuition
 (non-catholic tuition)</t>
  </si>
  <si>
    <t>Demographics from when school had 283 students https://www.niche.com/k12/sacred-heart-catholic-school-cambria-heights-ny/?msockid=00bf7dd92dd8681f11fd6b362cd969e3</t>
  </si>
  <si>
    <t>11550 221ST ST
 CAMBRIA HEIGHTS, NY 11411</t>
  </si>
  <si>
    <t xml:space="preserve">St. Bartholomew Catholic Academy </t>
  </si>
  <si>
    <r>
      <rPr>
        <rFont val="Calibri"/>
        <color rgb="FF1155CC"/>
        <sz val="11.0"/>
        <u/>
      </rPr>
      <t>https://www.amny.com/education/diocese-brooklyn-seven-catholic-schools-close/</t>
    </r>
  </si>
  <si>
    <t>School added onto prexisting catholic church, which was established in 1906</t>
  </si>
  <si>
    <r>
      <rPr>
        <rFont val="Calibri"/>
        <color rgb="FF1155CC"/>
        <sz val="11.0"/>
        <u/>
      </rPr>
      <t>https://stbartselmhurst.org/about-us/parish-history/</t>
    </r>
  </si>
  <si>
    <t>https://stbartholomewca.org/tuition  
 (non catholic)</t>
  </si>
  <si>
    <t>Demographics from when school had 170 students</t>
  </si>
  <si>
    <t>4415 JUDGE ST
 ELMHURST, NY 11373</t>
  </si>
  <si>
    <t xml:space="preserve">St. Nicholas of Tolentine Catholic Academy </t>
  </si>
  <si>
    <t>Mentioned in Facebook bio</t>
  </si>
  <si>
    <r>
      <rPr>
        <rFont val="Calibri"/>
        <color rgb="FF1155CC"/>
        <sz val="11.0"/>
        <u/>
      </rPr>
      <t>https://www.facebook.com/sntschoolny/?utm_source=chatgpt.com</t>
    </r>
  </si>
  <si>
    <r>
      <rPr>
        <rFont val="Calibri"/>
        <color rgb="FF1155CC"/>
        <sz val="11.0"/>
        <u/>
      </rPr>
      <t>https://www.sntschoolny.org/uploads/3/8/8/8/38886129/st_nicholas_tuition_2026_2027__rate_schedule.pdf</t>
    </r>
  </si>
  <si>
    <t>Demogaphics from when school had 337 students</t>
  </si>
  <si>
    <t>8022 Parsons Boulevard Jamaica, NY 11432</t>
  </si>
  <si>
    <t xml:space="preserve">Incarnation Catholic Academy </t>
  </si>
  <si>
    <t>Listed on school website under school history section</t>
  </si>
  <si>
    <r>
      <rPr>
        <rFont val="Calibri"/>
        <color rgb="FF1155CC"/>
        <sz val="11.0"/>
        <u/>
      </rPr>
      <t>School History - Incarnation Catholic Academy – Queens Village, NY</t>
    </r>
  </si>
  <si>
    <t>https://incarnationqv.org/announcements/tuition-assistance-available
Ranges ($5,000-$8,000) based off of Futures in Education financial aid package</t>
  </si>
  <si>
    <t>Demographics from when school had 280 students</t>
  </si>
  <si>
    <t>8915 FRANCIS LEWIS BLVD
 QUEENS VILLAGE, NY 11427</t>
  </si>
  <si>
    <t xml:space="preserve">St. Thomas the Apostle Catholic Academy </t>
  </si>
  <si>
    <t>Listed on school website under Letter From The Pastor section</t>
  </si>
  <si>
    <r>
      <rPr>
        <rFont val="Calibri"/>
        <color rgb="FF1155CC"/>
        <sz val="11.0"/>
        <u/>
      </rPr>
      <t>7 Catholic elementary schools to close in Brooklyn, Queens</t>
    </r>
  </si>
  <si>
    <r>
      <rPr>
        <rFont val="Calibri"/>
        <color rgb="FF1155CC"/>
        <sz val="11.0"/>
        <u/>
      </rPr>
      <t>https://sta-catholicacademy.org/letter-from-the-pastor</t>
    </r>
  </si>
  <si>
    <r>
      <rPr>
        <rFont val="Calibri"/>
        <color rgb="FF1155CC"/>
        <sz val="11.0"/>
        <u/>
      </rPr>
      <t>https://files.tilmaplatform.com/system/resources/W1siZiIsIjIwMjUvMTAvMDEvNTcwcXd0MXVrZl9QYXJlbnRfU3R1ZGVudF9IYW5kYm9va18yMDI1XzIwMjYucGRmIl1d/Parent%20Student%20Handbook%202025-2026.pdf</t>
    </r>
  </si>
  <si>
    <t>Demographics from when school had 205 students</t>
  </si>
  <si>
    <t>8749 87TH ST
 WOODHAVEN, NY 11421</t>
  </si>
  <si>
    <t xml:space="preserve">St. Elizabeth Catholic Academy </t>
  </si>
  <si>
    <t>Listed on school website under our academy at the our history section</t>
  </si>
  <si>
    <r>
      <rPr>
        <rFont val="Calibri"/>
        <color rgb="FF1155CC"/>
        <sz val="11.0"/>
        <u/>
      </rPr>
      <t>https://stelizabethca.org/about/our-academy</t>
    </r>
  </si>
  <si>
    <r>
      <rPr>
        <rFont val="Calibri"/>
        <color rgb="FF1155CC"/>
        <sz val="11.0"/>
        <u/>
      </rPr>
      <t>https://files.tilmaplatform.com/system/resources/W1siZiIsIjIwMjUvMDgvMjAvOTYyMHpwM3A2b19GSU5BTF8yNS4wNy4xN19BY2FkZW15X1BhcmVudF9TdHVkZW50X0hhbmRib29rXzIwMjUuMjZfMV8ucGRmIl1d/FINAL%2025.07.17%20Academy%20Parent-Student%20Handbook%202025.26%20%281%29.pdf</t>
    </r>
  </si>
  <si>
    <t>Demographics from when school had 263 students</t>
  </si>
  <si>
    <t>9401 85th St Ozone Park, NY 11416</t>
  </si>
  <si>
    <t>Our Lady of Trust Catholic Academy</t>
  </si>
  <si>
    <t>Found under page header on ProPublica-an independent non-profit newsroom dedicated to investigative journalism to spur reform</t>
  </si>
  <si>
    <r>
      <rPr>
        <rFont val="Calibri"/>
        <color rgb="FF1155CC"/>
        <sz val="11.0"/>
        <u/>
      </rPr>
      <t>7 Catholic elementary schools to close in Brooklyn, Queens</t>
    </r>
  </si>
  <si>
    <r>
      <rPr>
        <rFont val="Calibri"/>
        <color rgb="FF1155CC"/>
        <sz val="11.0"/>
        <u/>
      </rPr>
      <t>https://projects.propublica.org/private-school-demographics/schools/our-lady-of-trust-catholic-accadamy-00924339?utm_source=chatgpt.com</t>
    </r>
  </si>
  <si>
    <r>
      <rPr>
        <rFont val="Calibri"/>
        <color rgb="FF1155CC"/>
        <sz val="11.0"/>
        <u/>
      </rPr>
      <t>https://www.niche.com/k12/our-lady-of-trust-catholic-academy-brooklyn-ny/</t>
    </r>
  </si>
  <si>
    <t>Demographics from when school had 233 students</t>
  </si>
  <si>
    <t>1696 Canarsie Rd Brooklyn, NY 11236</t>
  </si>
  <si>
    <t xml:space="preserve">Escambia Christian School </t>
  </si>
  <si>
    <t>Escambia County</t>
  </si>
  <si>
    <t>https://www.wkrg.com/northwest-florida/escambia-county/escambia-christian-school-closing/</t>
  </si>
  <si>
    <t>Catholic Academy of West Buffalo</t>
  </si>
  <si>
    <t>https://www.niche.com/k12/catholic-of-academy-west-buffalo-buffalo-ny/#students</t>
  </si>
  <si>
    <t>Consolidating with Our Lady of Victory Elementary School in Lackawanna due to declining enrollment and structural issues with the building.</t>
  </si>
  <si>
    <t>https://www.wkbw.com/news/local-news/catholic-academy-of-west-buffalo-to-be-consolidated-into-our-lady-of-victory-elementary-school</t>
  </si>
  <si>
    <t>1069 Delaware Avenue
Buffalo, NY 14209</t>
  </si>
  <si>
    <t>North Cedar Academy</t>
  </si>
  <si>
    <t>Ladysmith</t>
  </si>
  <si>
    <t>https://www.wqow.com/news/top-stories/north-cedar-academy-in-ladysmith-to-close-due-to-insurmountable-financial-challenges/article_e8440c13-e7c5-4345-a214-4b288232d94f.html</t>
  </si>
  <si>
    <t xml:space="preserve">https://northcedar.net/  
https://www.wqow.com/news/top-stories/north-cedar-academy-in-ladysmith-to-close-due-to-insurmountable-financial-challenges/article_e8440c13-e7c5-4345-a214-4b288232d94f.html
</t>
  </si>
  <si>
    <t>https://www.niche.com/k12/north-cedar-academy-ladysmith-wi/#tuition</t>
  </si>
  <si>
    <t>1500 Port Arthur Rd,
Ladysmith, WI 54848</t>
  </si>
  <si>
    <t>St. Patricks Catholic School</t>
  </si>
  <si>
    <t>Sheldon</t>
  </si>
  <si>
    <t>https://northwestiowanow.com/news/278872-st-patricks-catholic-school-closing-in-sheldon/</t>
  </si>
  <si>
    <t>St. Joseph’s School</t>
  </si>
  <si>
    <t>Medford</t>
  </si>
  <si>
    <t>https://wbznewsradio.iheart.com/content/medfords-st-josephs-school-closure-catches-many-by-surprise/</t>
  </si>
  <si>
    <t>St. Ignatius of Loyola School</t>
  </si>
  <si>
    <t xml:space="preserve">Marthasville </t>
  </si>
  <si>
    <t>Year founded estimated based on being more than 150 years old.</t>
  </si>
  <si>
    <t>https://fox2now.com/news/missouri/st-ignatius-school-in-marthasville-closing-after-150-years/</t>
  </si>
  <si>
    <t xml:space="preserve">St. Patrick Catholic School </t>
  </si>
  <si>
    <t>Year founded estimated based on being more than 115 years old.</t>
  </si>
  <si>
    <r>
      <rPr>
        <rFont val="Calibri"/>
        <color rgb="FF1155CC"/>
        <sz val="11.0"/>
        <u/>
      </rPr>
      <t>https://capitolcitynow.com/news/248842-115-year-old-springfield-catholic-school-to-close-at-end-of-school-year/</t>
    </r>
    <r>
      <rPr>
        <rFont val="Calibri"/>
        <color theme="1"/>
        <sz val="11.0"/>
      </rPr>
      <t>/</t>
    </r>
  </si>
  <si>
    <t>Notre Dame High School</t>
  </si>
  <si>
    <t xml:space="preserve">Salinas </t>
  </si>
  <si>
    <t>https://www.montereyherald.com/2026/02/27/notre-dame-high-school-to-close-at-the-end-of-academic-year/</t>
  </si>
  <si>
    <t xml:space="preserve">St Joseph Parish School
</t>
  </si>
  <si>
    <t>Josephville</t>
  </si>
  <si>
    <t>Two schools are reconfiguring. St. Joseph will house only preK (so K-8 closing) and a nearby school, St. Paul, will house K-8.</t>
  </si>
  <si>
    <t>https://fox2now.com/news/missouri/two-st-charles-county-catholic-schools-to-reconfigure/</t>
  </si>
  <si>
    <t xml:space="preserve">Perelman Jewish Day School </t>
  </si>
  <si>
    <t>Name TBD</t>
  </si>
  <si>
    <t>Penn Wynne and Melrose Park</t>
  </si>
  <si>
    <t>The unified school will be the only PreK-12 Jewish community day school in Greater Philadelphia</t>
  </si>
  <si>
    <t>Jack M. Barrack Hebrew Academy</t>
  </si>
  <si>
    <t>Bryn Mawr</t>
  </si>
  <si>
    <t xml:space="preserve">Ss. Andrew-Thomas School </t>
  </si>
  <si>
    <t>Potosi</t>
  </si>
  <si>
    <t>https://files.ecatholic.com/35521/documents/2026/3/Ss%20Andrew%20Thomas%20Letter-1.pdf?t=1774579408000</t>
  </si>
  <si>
    <t>100 Highway 61 North, PO Box 160
Potosi, WI 53820</t>
  </si>
  <si>
    <t>Incarnation School</t>
  </si>
  <si>
    <t xml:space="preserve">Washington Heights </t>
  </si>
  <si>
    <t>https://www.ourtownny.com/news/another-manhattan-catholic-school-to-close-archdiocese-KK5682729</t>
  </si>
  <si>
    <t>https://nypost.com/2026/03/18/us-news/manhattan-students-devastated-about-closing-catholic-schools/</t>
  </si>
  <si>
    <t>https://www.niche.com/k12/incarnation-catholic-academy-queens-village-ny/#students</t>
  </si>
  <si>
    <t>570 West 175th Street
New York, NY 10033</t>
  </si>
  <si>
    <t>St. Catherine of Siena School</t>
  </si>
  <si>
    <t>Fort Thomas</t>
  </si>
  <si>
    <t>https://www.wlwt.com/article/st-catherine-of-siena-to-close-at-the-end-of-the-school-year/70873405</t>
  </si>
  <si>
    <t>https://0b60a8f9-3c79-4d70-81c2-5b4592924be6.filesusr.com/ugd/7987cd_aff50900e7024da380ae2671f8cdee5a.pdf</t>
  </si>
  <si>
    <t>https://www.niche.com/k12/st-catherine-of-siena-school-fort-thomas-ky/#students</t>
  </si>
  <si>
    <t>1803 N Ft Thomas Ave Fort Thomas, KY 41075</t>
  </si>
  <si>
    <t xml:space="preserve">Hartsdale </t>
  </si>
  <si>
    <t>59 Wilson Street
Hartsdale, NY 10530</t>
  </si>
  <si>
    <t>Most Precious Blood School</t>
  </si>
  <si>
    <t xml:space="preserve">Walden </t>
  </si>
  <si>
    <t>180 Ulster Avenue Walden, NY 12586</t>
  </si>
  <si>
    <t>Harmony School</t>
  </si>
  <si>
    <t>Forest Acres</t>
  </si>
  <si>
    <t>https://www.niche.com/k12/harmony-school-columbia-sc/</t>
  </si>
  <si>
    <t>Small, non-profit, low-tuition private preschool and elementary school. Announced closure in March 2026 on Facebook; will close permanently at end of 2026 school year. Only school in South Carolina offering blended curriculum of Montessori, Waldorf, and Inquiry-based principles. School cited an "exhaustive, roughly three-year search for a new location" that was unsuccessful and inability to remain at current 3737 Covenant Rd location past this academic year. Serves students aged 2.5-12 (PK through 5th grade). Tuition $7,500-$8,400.</t>
  </si>
  <si>
    <t>Yes - unable to secure a new location and unable to remain at current location</t>
  </si>
  <si>
    <t>https://www.wltx.com/article/news/local/harmony-school-to-close-permanently/101-59b0b2f3-f6b1-416c-8216-3d30c34e7f75</t>
  </si>
  <si>
    <t>https://www.privateschoolreview.com/harmony-school-profile/29204</t>
  </si>
  <si>
    <t>https://harmonyschoolsc.org/</t>
  </si>
  <si>
    <t>3737 Covenant Rd
 Columbia, SC 29204</t>
  </si>
  <si>
    <t>St. Michael-St. Clement School</t>
  </si>
  <si>
    <t>https://catholicreview.org/st-michael-st-clement-school-will-close-at-end-of-academic-year/</t>
  </si>
  <si>
    <t>Merged school of St. Michael the Archangel (founded 1926) and St. Clement Mary Hofbauer (founded 1932); consolidated in July 2017. Closure announced April 13, 2026 for end of 2025-26 year. Enrollment dropped 52% in 4 years (315 in 2023-24 to projected 150 for 2026-27). Budget deficit of $500,000 growing to $700,000; archdiocese provided $2.5M in support over 5 years.</t>
  </si>
  <si>
    <t>Yes - $500K current deficit growing to $700K; $500K near-term facility maintenance + $4.5M over 10 years projected</t>
  </si>
  <si>
    <t>https://www.niche.com/k12/st-michael---st-clement-school-baltimore-md/</t>
  </si>
  <si>
    <t>https://www.usnews.com/education/k12/maryland/st-michael-st-clement-school-308272 (demographics from when school had 257 students)</t>
  </si>
  <si>
    <t>10 Willow Ave
 Overlea, MD 21206</t>
  </si>
  <si>
    <t>Midtown International School</t>
  </si>
  <si>
    <t>https://roughdraftatlanta.com/2026/03/31/midtown-international-school-closure/</t>
  </si>
  <si>
    <t>Small private K-12 school for gifted and exceptional students, located in Druid Hills neighborhood (Lavista Park area). Board announced abrupt permanent closure on March 31, 2026, with doors closing Friday April 3 — just 8 weeks before end of academic year. Board cited declining reenrollment, increased demand for scholarships/financial aid, and an "unsustainable" financial position. The school had already phased out grades 9-12 in 2025. School sold its building to avoid foreclosure. 2024 tax records showed negative net assets of $3.1M and operating deficit. Tuition ~$26,052-27,354/year. 35% students of color.</t>
  </si>
  <si>
    <t>Yes - operating at a deficit for at least 8 years; sold building to avoid foreclosure</t>
  </si>
  <si>
    <t>https://www.ajc.com/education/2026/04/atlanta-private-school-announces-sudden-closure-citing-financial-problems/</t>
  </si>
  <si>
    <t>https://hoodline.com/2026/04/druid-hills-private-school-pulls-plug-days-before-break-parents-reeling/</t>
  </si>
  <si>
    <t>https://www.niche.com/k12/midtown-international-school-atlanta-ga/</t>
  </si>
  <si>
    <t>https://www.privateschoolreview.com/midtown-international-school-profile</t>
  </si>
  <si>
    <t>1575 Sheridan Road NE
 Atlanta, GA 30324</t>
  </si>
  <si>
    <t>St. Michael School</t>
  </si>
  <si>
    <t>Waialua</t>
  </si>
  <si>
    <t>https://www.niche.com/k12/st-michael-school-waialua-hi/</t>
  </si>
  <si>
    <t>Mentioned in news story</t>
  </si>
  <si>
    <t>Yes - not enough students enrolled to reach goal for operation fees</t>
  </si>
  <si>
    <t>https://www.hawaiinewsnow.com/2026/05/02/st-michael-school-waialua-close-after-82-years-following-enrollment-shortfall/</t>
  </si>
  <si>
    <t>https://www.stmichaelschoolhi.com/preschool.html</t>
  </si>
  <si>
    <t>67-340 Haona St, Waialua, HI 96791</t>
  </si>
  <si>
    <t>Saint Patrick’s Academy East</t>
  </si>
  <si>
    <t>Great Falls</t>
  </si>
  <si>
    <t>https://www.niche.com/k12/st-patricks-academy-east-great-falls-mt/</t>
  </si>
  <si>
    <t>Mentioned on website (https://www.stpatricksacademymt.org/our-history)</t>
  </si>
  <si>
    <t>Yes - school was $400,000 short of what it needed to keep operating.</t>
  </si>
  <si>
    <t>https://www.montanarightnow.com/great-falls/great-falls-catholic-school-faces-closure-after-60-years/article_5284d803-8a8b-40bb-9bc0-a72b790d3a00.html</t>
  </si>
  <si>
    <t>https://www.stpatricksacademymt.org/admissions</t>
  </si>
  <si>
    <t>https://www.niche.com/k12/st-patricks-academy-east-great-falls-mt/#students</t>
  </si>
  <si>
    <t>2820 Central Ave, Great Falls, MT 59401</t>
  </si>
  <si>
    <t>Boulder City</t>
  </si>
  <si>
    <t>https://bouldercityreview.com/news/grace-christian-academy-set-to-close-after-26-years-123078/</t>
  </si>
  <si>
    <t>Alternative elementary education.</t>
  </si>
  <si>
    <t>Yes - lack of principal and the lack of students made it hard to pay teachers.</t>
  </si>
  <si>
    <t>https://gracechristianacademybc.org/tuition-financial-aid/</t>
  </si>
  <si>
    <t>https://www.usnews.com/education/k12/nevada/grace-christian-academy-314352</t>
  </si>
  <si>
    <t>512 California Ave, Boulder City, NV 89005</t>
  </si>
  <si>
    <t>Cambridge Friends School</t>
  </si>
  <si>
    <t>https://cambridgefriendsschool.org/</t>
  </si>
  <si>
    <t>Founded by the Religious Society of Friends (Quakers) and abides by Quaker values, but is not religious.</t>
  </si>
  <si>
    <t>https://www.cambridgeday.com/2026/05/23/cambridge-friends-will-close/</t>
  </si>
  <si>
    <t>https://www.niche.com/k12/cambridge-friends-school-cambridge-ma/</t>
  </si>
  <si>
    <t>5 Cadbury Road, Cambridge, MA 02140</t>
  </si>
  <si>
    <t>Aquin Catholic Academy</t>
  </si>
  <si>
    <t>https://www.wrex.com/news/education/aquin-catholic-academy-to-close-after-last-day-of-2025-26-school-year/article_54fa39c0-d29e-415a-a844-1a17ea96d6a7.html</t>
  </si>
  <si>
    <t>A school that merged with Aquine High school a few years ago.</t>
  </si>
  <si>
    <t>Yes - School is running on $400,000 deficit</t>
  </si>
  <si>
    <t>https://www.rockforddiocese.org/pdfs/pressreleases/PRESS%20RELEASE--aquin.pdf</t>
  </si>
  <si>
    <t>St. John the Baptist Catholic School</t>
  </si>
  <si>
    <t>Milwaukie</t>
  </si>
  <si>
    <t>https://www.oregonlive.com/clackamascounty/2026/05/after-107-years-this-milwaukie-catholic-school-is-closing-its-doors.html</t>
  </si>
  <si>
    <t>Thinking of replacing the catholic school with just a preeschool program.</t>
  </si>
  <si>
    <t>Yes - Charging less students with the same tuition would entail cutting half of the staff.</t>
  </si>
  <si>
    <t>https://sjbcatholicschool.org/tuition-affordability</t>
  </si>
  <si>
    <t>https://www.niche.com/k12/st-john-the-baptist-catholic-school-milwaukie-or/</t>
  </si>
  <si>
    <t>10956 SE 25th Ave Milwaukie, OR 97222</t>
  </si>
  <si>
    <t>Immaculate Conception Academy</t>
  </si>
  <si>
    <t>Berks County</t>
  </si>
  <si>
    <t>https://www.niche.com/k12/immaculate-conception-academy-douglassville-pa/</t>
  </si>
  <si>
    <t>Noted by the Immaculate Conception BVM Parish</t>
  </si>
  <si>
    <t>Yes - Declining enrollment led to pressures put on parish resources</t>
  </si>
  <si>
    <t>https://www.lehighvalleylive.com/news/2026/06/allentown-diocese-closing-catholic-school-announcement-made-days-before-end-of-school-year.html</t>
  </si>
  <si>
    <t>903 Chestnut Street Douglassville, PA 19518</t>
  </si>
  <si>
    <t>Palm Valley School</t>
  </si>
  <si>
    <t>Rancho Mirage</t>
  </si>
  <si>
    <t>https://www.nbcpalmsprings.com/2026/06/06/palm-valley-school-in-rancho-mirage-to-close-permanently-following-financial-collapse-and-lost-donation</t>
  </si>
  <si>
    <t>Yes - Filed for Chapter 11 Bankrupcy</t>
  </si>
  <si>
    <t>https://www.usnews.com/education/k12/california/palm-valley-school-306217</t>
  </si>
  <si>
    <t>35-525 Da Vall Drive, Rancho Mirage, CA 92270</t>
  </si>
  <si>
    <t>Croft School</t>
  </si>
  <si>
    <t>Closed in all three locations, in Providence, RI, and Boston, MA</t>
  </si>
  <si>
    <t>Yes - Hid financial turmoil</t>
  </si>
  <si>
    <t>https://www.nbcboston.com/news/local/closing-croft-school-founder-apology/3960826/</t>
  </si>
  <si>
    <t>https://www.thecroftschool.org/</t>
  </si>
  <si>
    <t>179 Wayland Avenue Providence, RI</t>
  </si>
  <si>
    <t>St. Pius X Catholic School</t>
  </si>
  <si>
    <t>El Paso</t>
  </si>
  <si>
    <t>https://www.niche.com/k12/saint-pius-x-school-el-paso-tx/</t>
  </si>
  <si>
    <t>Yes - There was a $300,000 annual operating deficit</t>
  </si>
  <si>
    <t>https://www.ktsm.com/news/st-pius-x-catholic-school-closes-immediately-due-to-financial-challenges/</t>
  </si>
  <si>
    <t>1007 Geronimo Dr, El Paso, TX 79905</t>
  </si>
  <si>
    <t>Hosanna Christian Academy</t>
  </si>
  <si>
    <t>https://www.wafb.com/2026/06/11/hosanna-christian-academy-close/</t>
  </si>
  <si>
    <t>Yes - Accused changes in state scholarship program like LA GATOR for the reason behind its financial losses</t>
  </si>
  <si>
    <t>https://www.niche.com/k12/hosanna-christian-academy-baton-rouge-la/</t>
  </si>
  <si>
    <t>8850 Goodwood Blvd Baton Rouge, LA 70806</t>
  </si>
  <si>
    <t>Queen of Martyrs Catholic School</t>
  </si>
  <si>
    <t>Evergreen Park</t>
  </si>
  <si>
    <t>https://www.nbcchicago.com/news/local/south-suburban-catholic-school-closing-due-to-declining-enrollment/3949117/</t>
  </si>
  <si>
    <t>Yes - Projected deficit of $400,000 next year</t>
  </si>
  <si>
    <t>https://www.niche.com/k12/queen-of-martyrs-catholic-school-evergreen-park-il/</t>
  </si>
  <si>
    <t>3550 W. 103rd St  Evergreen Park, IL 60805</t>
  </si>
  <si>
    <t>St. Columbanus School</t>
  </si>
  <si>
    <t>Cortlandt Manor</t>
  </si>
  <si>
    <t>https://www.usnews.com/education/k12/new-york/st-columbanus-school-433152</t>
  </si>
  <si>
    <t>K-5 Catholic School</t>
  </si>
  <si>
    <t>https://catholicschoolsny.org/schools-in-the-news/st-columbanus-school-to-close-following-significant-enrollment-decline/</t>
  </si>
  <si>
    <t>https://st-columbanus.com/tuition-amp-fees</t>
  </si>
  <si>
    <t>122 Oregon Road Cortlandt Manor, NY 10567</t>
  </si>
  <si>
    <t>Holy Name School</t>
  </si>
  <si>
    <t>Camden</t>
  </si>
  <si>
    <t>https://www.niche.com/k12/holy-name-school-camden-nj/</t>
  </si>
  <si>
    <t>K-8 Catholic School, most students are transferring to St. Cecilia School</t>
  </si>
  <si>
    <t>https://www.audacy.com/kywnewsradio/news/local/holy-name-school-closes-2001-time-capsule</t>
  </si>
  <si>
    <t>https://www.catholicpartnershipschools.org/apps/pages/index.jsp?uREC_ID=2065349&amp;type=d&amp;pREC_ID=2126459</t>
  </si>
  <si>
    <t>700 North 5th Street Camden, NJ 08102</t>
  </si>
  <si>
    <t>Putnam Science Academy</t>
  </si>
  <si>
    <t>Putnam</t>
  </si>
  <si>
    <t>https://www.niche.com/k12/putnam-science-academy-putnam-ct/</t>
  </si>
  <si>
    <t>Transitioned from a Catholic high school to a boarding school</t>
  </si>
  <si>
    <t>Yes - The school has millions of dollars in liens against it</t>
  </si>
  <si>
    <t>https://www.wfsb.com/2026/06/23/putnam-science-academy-will-close-amid-financial-crisis/</t>
  </si>
  <si>
    <t>https://www.usnews.com/education/k12/connecticut/putnam-science-academy-315537</t>
  </si>
  <si>
    <t>St. Brigid Academy</t>
  </si>
  <si>
    <t>https://www.niche.com/k12/saint-brigid-academy-san-francisco-ca/</t>
  </si>
  <si>
    <t>No - School mainly shut down because San Francisco Clergy had to pay $400 million to hundreds of alleged clergy sex abuse survivors</t>
  </si>
  <si>
    <t>https://nypost.com/2026/06/29/us-news/top-california-private-school-suddenly-shuts-down-as-shameful-400m-settlement-paid-out/</t>
  </si>
  <si>
    <t>2250 Franklin St, San Francisco, CA 94109</t>
  </si>
  <si>
    <t>Holy Ghost Catholic School</t>
  </si>
  <si>
    <t xml:space="preserve">Albuquerque </t>
  </si>
  <si>
    <t>https://www.niche.com/k12/holy-ghost-catholic-school-albuquerque-nm/</t>
  </si>
  <si>
    <t>Yes - Declining enrollment and financial challenges were noted.</t>
  </si>
  <si>
    <t>https://www.kob.com/new-mexico/santa-fe-northern-new-mexico/archdiocese-of-santa-fe-to-close-2-catholic-schools/</t>
  </si>
  <si>
    <t>https://hgcsabq.com/tuition-fees-2026-2027</t>
  </si>
  <si>
    <t>6201 Ross Ave SE Albuquerque, NM 87108</t>
  </si>
  <si>
    <t>Holy Cross Catholic School</t>
  </si>
  <si>
    <t>Española</t>
  </si>
  <si>
    <t>https://www.niche.com/k12/holy-cross-catholic-school-santa-cruz-nm/</t>
  </si>
  <si>
    <t>PreK-8 Catholic School</t>
  </si>
  <si>
    <t>https://www.privateschoolreview.com/holy-cross-catholic-school-profile/87567#google_vignette</t>
  </si>
  <si>
    <t>1331 State Road 76 Santa Cruz, NM 87567</t>
  </si>
  <si>
    <t>Mary Francis Bachmann School</t>
  </si>
  <si>
    <t>https://lancasteronline.com/news/local/difficult-but-necessary-mary-francis-bachmann-school-to-close-in-august-one-year-after-opening/article_da93bedf-8647-4234-accd-68be1d69b264.html</t>
  </si>
  <si>
    <t>1-12th Grade</t>
  </si>
  <si>
    <t>Yes - Enrollment dropped to only 11% filled, led to finanical difficulty</t>
  </si>
  <si>
    <t>1834 Lititz Pike Lancaster, PA 17601</t>
  </si>
  <si>
    <t>United Friends School</t>
  </si>
  <si>
    <t>Quakertown</t>
  </si>
  <si>
    <t>https://www.niche.com/k12/united-friends-school-quakertown-pa/</t>
  </si>
  <si>
    <t>PreK-5 Quaker School</t>
  </si>
  <si>
    <t>https://www.wfmz.com/news/schools/private-school-in-bucks-county-shutting-down-after-42-year-run/article_c7b14d1c-fc9b-46a4-9140-b1d36fe0d41b.html</t>
  </si>
  <si>
    <t>1018 West Broad Street Quakertown, PA 18951</t>
  </si>
  <si>
    <t>Valor Montessori High School</t>
  </si>
  <si>
    <t>Yes- They were not meeting enrollment minimums</t>
  </si>
  <si>
    <t>https://www.aol.com/articles/independent-school-dayton-closing-205455000.html?guccounter=1&amp;guce_referrer=aHR0cHM6Ly93d3cuZ29vZ2xlLmNvbS8&amp;guce_referrer_sig=AQAAAECUaHa62KLcHFMlIx7DUQn5dRunUWsTyGGxUxWxKoYLQDjXrraoy98Vs9Vzbva4CAfatKNQ0SnxUZhVfzedyBH1hFmNg9RANbysL3W-Cw2s2nEieDbPuedXPZ6GSBxEWJQI5i3mG5NTZw_pw2UE14SMcJMRn-g_y-PB-5adeoQI</t>
  </si>
  <si>
    <t>https://www.valormontessori.org/faqs</t>
  </si>
  <si>
    <t>31 South Main Street, Suite 040 Dayton, Ohio 45402</t>
  </si>
  <si>
    <t>Trinity Baptist School</t>
  </si>
  <si>
    <t>Williston</t>
  </si>
  <si>
    <t>https://www.niche.com/k12/trinity-baptist-schools-williston-vt/</t>
  </si>
  <si>
    <t>K-12 Christian School</t>
  </si>
  <si>
    <t>https://www.willistonobserver.com/community/schools/trinity-baptist-shutters-school/article_0d3683f3-d703-4695-8160-301cd39f4ddf.html</t>
  </si>
  <si>
    <t>https://www.privateschoolreview.com/trinity-baptist-school-profile</t>
  </si>
  <si>
    <t>https://www.usnews.com/education/k12/vermont/trinity-baptist-school-311678</t>
  </si>
  <si>
    <t>280 Trinity Dr, Williston, VT 05495</t>
  </si>
  <si>
    <t>Roycemore School</t>
  </si>
  <si>
    <t>https://www.niche.com/k12/roycemore-school-evanston-il/</t>
  </si>
  <si>
    <t>PreK-12 grade</t>
  </si>
  <si>
    <t>Yes - Decreasing enrollment led to financial decline</t>
  </si>
  <si>
    <t>https://www.chicagotribune.com/2026/07/16/evanston-roycemore-school-closing/</t>
  </si>
  <si>
    <t>1200 Davis St, Evanston, IL 60201</t>
  </si>
  <si>
    <t>White</t>
  </si>
  <si>
    <t>Black</t>
  </si>
  <si>
    <t>Hispanic</t>
  </si>
  <si>
    <t>Asian</t>
  </si>
  <si>
    <t>Other</t>
  </si>
  <si>
    <t>2023-24</t>
  </si>
  <si>
    <t>2024-25</t>
  </si>
  <si>
    <t>2025-26</t>
  </si>
  <si>
    <t>2022-23</t>
  </si>
  <si>
    <t>2023–24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</si>
</sst>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&quot; ’&quot;yy"/>
    <numFmt numFmtId="165" formatCode="&quot;$&quot;#,##0"/>
    <numFmt numFmtId="166" formatCode="0.0"/>
    <numFmt numFmtId="167" formatCode="m/d/yyyy"/>
    <numFmt numFmtId="168" formatCode="mmm yyyy"/>
    <numFmt numFmtId="169" formatCode="m/d/yy"/>
    <numFmt numFmtId="170" formatCode="mmmm yyyy"/>
    <numFmt numFmtId="171" formatCode="m-d"/>
    <numFmt numFmtId="172" formatCode="yyyy&quot;-&quot;mm&quot;-&quot;dd"/>
    <numFmt numFmtId="173" formatCode="mm/dd/yyyy"/>
    <numFmt numFmtId="174" formatCode="&quot;$&quot;#,##0_);[Red]\(&quot;$&quot;#,##0\)"/>
    <numFmt numFmtId="175" formatCode="&quot;+&quot;0;&quot;-&quot;0;"/>
  </numFmts>
  <fonts count="8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u/>
      <sz val="11.0"/>
      <color rgb="FF1155CC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u/>
      <sz val="11.0"/>
      <color rgb="FF1155CC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222222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sz val="11.0"/>
      <color rgb="FF1F1F1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color theme="1"/>
      <name val="Calibri"/>
    </font>
    <font>
      <color theme="1"/>
      <name val="Calibri"/>
    </font>
    <font>
      <color theme="1"/>
      <name val="Arial"/>
    </font>
    <font>
      <b/>
      <u/>
      <sz val="11.0"/>
      <color rgb="FF1155CC"/>
      <name val="Calibri"/>
    </font>
    <font>
      <b/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980000"/>
      <name val="Calibri"/>
    </font>
    <font>
      <u/>
      <sz val="11.0"/>
      <color rgb="FF1155CC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sz val="11.0"/>
      <color rgb="FF202124"/>
      <name val="Calibri"/>
    </font>
    <font>
      <u/>
      <sz val="11.0"/>
      <color rgb="FF1155CC"/>
      <name val="Calibri"/>
    </font>
    <font>
      <u/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rgb="FF000000"/>
      <name val="Roboto"/>
    </font>
    <font>
      <u/>
      <sz val="11.0"/>
      <color rgb="FF000000"/>
      <name val="Calibri"/>
    </font>
    <font>
      <color rgb="FF464646"/>
      <name val="&quot;Source Sans Pro&quot;"/>
    </font>
    <font>
      <b/>
      <color rgb="FF000000"/>
      <name val="Inherit"/>
    </font>
    <font>
      <u/>
      <sz val="11.0"/>
      <color rgb="FF000000"/>
      <name val="Calibri"/>
    </font>
    <font>
      <sz val="11.0"/>
      <color rgb="FF58595B"/>
      <name val="Helvetica"/>
    </font>
    <font>
      <u/>
      <color rgb="FF0000FF"/>
    </font>
    <font>
      <u/>
      <sz val="9.0"/>
      <color rgb="FF000000"/>
      <name val="&quot;Google Sans&quot;"/>
    </font>
    <font>
      <u/>
      <sz val="11.0"/>
      <color rgb="FF000000"/>
      <name val="Calibri"/>
    </font>
    <font>
      <u/>
      <color rgb="FF0000FF"/>
    </font>
    <font>
      <sz val="9.0"/>
      <color rgb="FF1F1F1F"/>
      <name val="&quot;Google Sans&quot;"/>
    </font>
    <font>
      <u/>
      <sz val="11.0"/>
      <color rgb="FF0563C1"/>
      <name val="Calibri"/>
    </font>
    <font>
      <sz val="11.0"/>
      <color rgb="FF101010"/>
      <name val="Calibri"/>
    </font>
    <font>
      <u/>
      <sz val="9.0"/>
      <color rgb="FF000000"/>
      <name val="&quot;Google Sans&quot;"/>
    </font>
    <font>
      <u/>
      <sz val="11.0"/>
      <color rgb="FF0000FF"/>
      <name val="Calibri"/>
    </font>
    <font>
      <u/>
      <sz val="11.0"/>
      <color theme="1"/>
      <name val="Calibri"/>
    </font>
    <font>
      <sz val="8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1">
    <border/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165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166" xfId="0" applyAlignment="1" applyFont="1" applyNumberFormat="1">
      <alignment horizontal="left" shrinkToFit="0" vertical="bottom" wrapText="0"/>
    </xf>
    <xf borderId="0" fillId="2" fontId="3" numFmtId="0" xfId="0" applyAlignment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3" numFmtId="167" xfId="0" applyAlignment="1" applyFont="1" applyNumberFormat="1">
      <alignment readingOrder="0" shrinkToFit="0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2" fontId="6" numFmtId="0" xfId="0" applyAlignment="1" applyFont="1">
      <alignment readingOrder="0" shrinkToFit="0" wrapText="0"/>
    </xf>
    <xf borderId="0" fillId="0" fontId="6" numFmtId="0" xfId="0" applyAlignment="1" applyFont="1">
      <alignment horizontal="left" readingOrder="0" shrinkToFit="0" vertical="top" wrapText="0"/>
    </xf>
    <xf borderId="0" fillId="0" fontId="3" numFmtId="165" xfId="0" applyAlignment="1" applyFont="1" applyNumberForma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14" xfId="0" applyAlignment="1" applyFont="1" applyNumberFormat="1">
      <alignment horizontal="left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11" numFmtId="0" xfId="0" applyAlignment="1" applyFont="1">
      <alignment horizontal="left" readingOrder="0" shrinkToFit="0" vertical="top" wrapText="0"/>
    </xf>
    <xf borderId="0" fillId="0" fontId="12" numFmtId="0" xfId="0" applyAlignment="1" applyFont="1">
      <alignment shrinkToFit="0" vertical="top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 shrinkToFit="0" vertical="top" wrapText="0"/>
    </xf>
    <xf borderId="0" fillId="0" fontId="13" numFmtId="0" xfId="0" applyAlignment="1" applyFont="1">
      <alignment readingOrder="0" shrinkToFit="0" vertical="top" wrapText="0"/>
    </xf>
    <xf borderId="0" fillId="0" fontId="3" numFmtId="167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top" wrapText="0"/>
    </xf>
    <xf borderId="0" fillId="0" fontId="6" numFmtId="167" xfId="0" applyAlignment="1" applyFont="1" applyNumberFormat="1">
      <alignment horizontal="left" readingOrder="0" shrinkToFit="0" vertical="top" wrapText="0"/>
    </xf>
    <xf borderId="0" fillId="0" fontId="15" numFmtId="0" xfId="0" applyAlignment="1" applyFont="1">
      <alignment readingOrder="0" shrinkToFit="0" vertical="top" wrapText="0"/>
    </xf>
    <xf borderId="0" fillId="0" fontId="16" numFmtId="0" xfId="0" applyAlignment="1" applyFont="1">
      <alignment horizontal="left" readingOrder="0" shrinkToFit="0" vertical="top" wrapText="0"/>
    </xf>
    <xf borderId="0" fillId="0" fontId="6" numFmtId="165" xfId="0" applyAlignment="1" applyFont="1" applyNumberFormat="1">
      <alignment horizontal="left" readingOrder="0" shrinkToFit="0" vertical="top" wrapText="0"/>
    </xf>
    <xf borderId="0" fillId="0" fontId="17" numFmtId="0" xfId="0" applyAlignment="1" applyFont="1">
      <alignment horizontal="left" readingOrder="0" shrinkToFit="0" vertical="top" wrapText="0"/>
    </xf>
    <xf borderId="0" fillId="2" fontId="6" numFmtId="165" xfId="0" applyAlignment="1" applyFont="1" applyNumberFormat="1">
      <alignment horizontal="left" readingOrder="0" shrinkToFit="0" wrapText="0"/>
    </xf>
    <xf borderId="0" fillId="0" fontId="18" numFmtId="0" xfId="0" applyAlignment="1" applyFont="1">
      <alignment readingOrder="0" shrinkToFit="0" vertical="top" wrapText="0"/>
    </xf>
    <xf borderId="0" fillId="2" fontId="19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readingOrder="0" shrinkToFit="0" wrapText="0"/>
    </xf>
    <xf borderId="0" fillId="2" fontId="6" numFmtId="0" xfId="0" applyAlignment="1" applyFont="1">
      <alignment horizontal="left" readingOrder="0" shrinkToFit="0" wrapText="0"/>
    </xf>
    <xf borderId="0" fillId="0" fontId="3" numFmtId="168" xfId="0" applyAlignment="1" applyFont="1" applyNumberFormat="1">
      <alignment readingOrder="0" shrinkToFit="0" wrapText="0"/>
    </xf>
    <xf borderId="0" fillId="0" fontId="3" numFmtId="169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6" numFmtId="169" xfId="0" applyAlignment="1" applyFont="1" applyNumberForma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3" numFmtId="169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24" numFmtId="0" xfId="0" applyAlignment="1" applyFont="1">
      <alignment readingOrder="0" shrinkToFit="0" wrapText="0"/>
    </xf>
    <xf borderId="0" fillId="0" fontId="3" numFmtId="170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shrinkToFit="0" vertical="bottom" wrapText="0"/>
    </xf>
    <xf borderId="0" fillId="0" fontId="6" numFmtId="169" xfId="0" applyAlignment="1" applyFont="1" applyNumberFormat="1">
      <alignment horizontal="right" shrinkToFit="0" vertical="bottom" wrapText="0"/>
    </xf>
    <xf borderId="0" fillId="2" fontId="25" numFmtId="0" xfId="0" applyAlignment="1" applyFont="1">
      <alignment readingOrder="0" shrinkToFit="0" wrapText="0"/>
    </xf>
    <xf borderId="0" fillId="0" fontId="26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readingOrder="0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71" xfId="0" applyAlignment="1" applyFont="1" applyNumberForma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right" shrinkToFit="0" vertical="bottom" wrapText="0"/>
    </xf>
    <xf borderId="0" fillId="0" fontId="28" numFmtId="0" xfId="0" applyAlignment="1" applyFont="1">
      <alignment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3" numFmtId="172" xfId="0" applyAlignment="1" applyFont="1" applyNumberFormat="1">
      <alignment horizontal="center" readingOrder="0" shrinkToFit="0" vertical="top" wrapText="0"/>
    </xf>
    <xf borderId="0" fillId="0" fontId="6" numFmtId="167" xfId="0" applyAlignment="1" applyFont="1" applyNumberFormat="1">
      <alignment horizontal="right" shrinkToFit="0" vertical="bottom" wrapText="0"/>
    </xf>
    <xf borderId="0" fillId="0" fontId="30" numFmtId="165" xfId="0" applyAlignment="1" applyFont="1" applyNumberFormat="1">
      <alignment horizontal="left" readingOrder="0"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readingOrder="0" shrinkToFit="0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wrapText="0"/>
    </xf>
    <xf borderId="0" fillId="0" fontId="31" numFmtId="0" xfId="0" applyAlignment="1" applyFont="1">
      <alignment readingOrder="0" shrinkToFit="0" vertical="bottom" wrapText="0"/>
    </xf>
    <xf borderId="0" fillId="0" fontId="3" numFmtId="173" xfId="0" applyAlignment="1" applyFont="1" applyNumberFormat="1">
      <alignment readingOrder="0" shrinkToFit="0" wrapText="0"/>
    </xf>
    <xf borderId="0" fillId="0" fontId="32" numFmtId="0" xfId="0" applyAlignment="1" applyFont="1">
      <alignment horizontal="center" readingOrder="0"/>
    </xf>
    <xf borderId="0" fillId="0" fontId="32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33" numFmtId="0" xfId="0" applyAlignment="1" applyFont="1">
      <alignment horizontal="center" readingOrder="0"/>
    </xf>
    <xf borderId="0" fillId="0" fontId="33" numFmtId="0" xfId="0" applyAlignment="1" applyFont="1">
      <alignment horizontal="center"/>
    </xf>
    <xf borderId="0" fillId="0" fontId="34" numFmtId="0" xfId="0" applyFont="1"/>
    <xf borderId="0" fillId="0" fontId="34" numFmtId="0" xfId="0" applyAlignment="1" applyFont="1">
      <alignment vertical="bottom"/>
    </xf>
    <xf borderId="0" fillId="0" fontId="33" numFmtId="3" xfId="0" applyAlignment="1" applyFont="1" applyNumberFormat="1">
      <alignment horizontal="center" readingOrder="0"/>
    </xf>
    <xf borderId="0" fillId="0" fontId="34" numFmtId="4" xfId="0" applyAlignment="1" applyFont="1" applyNumberFormat="1">
      <alignment vertical="bottom"/>
    </xf>
    <xf borderId="0" fillId="2" fontId="34" numFmtId="1" xfId="0" applyAlignment="1" applyFont="1" applyNumberFormat="1">
      <alignment vertical="bottom"/>
    </xf>
    <xf borderId="0" fillId="0" fontId="34" numFmtId="1" xfId="0" applyAlignment="1" applyFont="1" applyNumberFormat="1">
      <alignment vertical="bottom"/>
    </xf>
    <xf borderId="0" fillId="0" fontId="33" numFmtId="3" xfId="0" applyAlignment="1" applyFont="1" applyNumberFormat="1">
      <alignment horizontal="center"/>
    </xf>
    <xf borderId="0" fillId="0" fontId="33" numFmtId="165" xfId="0" applyAlignment="1" applyFont="1" applyNumberFormat="1">
      <alignment horizontal="center"/>
    </xf>
    <xf borderId="0" fillId="0" fontId="4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35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right" readingOrder="0" shrinkToFit="0" vertical="top" wrapText="0"/>
    </xf>
    <xf borderId="0" fillId="0" fontId="4" numFmtId="166" xfId="0" applyAlignment="1" applyFont="1" applyNumberFormat="1">
      <alignment horizontal="left" readingOrder="0" shrinkToFit="0" vertical="top" wrapText="0"/>
    </xf>
    <xf borderId="0" fillId="0" fontId="4" numFmtId="165" xfId="0" applyAlignment="1" applyFont="1" applyNumberFormat="1">
      <alignment horizontal="left" readingOrder="0" shrinkToFit="0" vertical="top" wrapText="0"/>
    </xf>
    <xf borderId="0" fillId="0" fontId="4" numFmtId="1" xfId="0" applyAlignment="1" applyFont="1" applyNumberFormat="1">
      <alignment horizontal="left" readingOrder="0" shrinkToFit="0" vertical="top" wrapText="0"/>
    </xf>
    <xf borderId="0" fillId="0" fontId="7" numFmtId="0" xfId="0" applyAlignment="1" applyFont="1">
      <alignment readingOrder="0" shrinkToFit="0" wrapText="0"/>
    </xf>
    <xf borderId="0" fillId="0" fontId="36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172" xfId="0" applyAlignment="1" applyFont="1" applyNumberFormat="1">
      <alignment horizontal="center" readingOrder="0" shrinkToFit="0" vertical="top" wrapText="0"/>
    </xf>
    <xf borderId="0" fillId="0" fontId="6" numFmtId="0" xfId="0" applyAlignment="1" applyFont="1">
      <alignment horizontal="right" readingOrder="0" shrinkToFit="0" vertical="top" wrapText="0"/>
    </xf>
    <xf borderId="0" fillId="0" fontId="37" numFmtId="0" xfId="0" applyAlignment="1" applyFont="1">
      <alignment horizontal="left" readingOrder="0" shrinkToFit="0" vertical="top" wrapText="0"/>
    </xf>
    <xf borderId="0" fillId="0" fontId="6" numFmtId="166" xfId="0" applyAlignment="1" applyFont="1" applyNumberFormat="1">
      <alignment horizontal="left" shrinkToFit="0" vertical="top" wrapText="0"/>
    </xf>
    <xf borderId="0" fillId="0" fontId="6" numFmtId="0" xfId="0" applyAlignment="1" applyFont="1">
      <alignment horizontal="left" shrinkToFit="0" vertical="top" wrapText="0"/>
    </xf>
    <xf borderId="0" fillId="0" fontId="6" numFmtId="165" xfId="0" applyAlignment="1" applyFont="1" applyNumberFormat="1">
      <alignment horizontal="left" readingOrder="0" shrinkToFit="0" vertical="top" wrapText="0"/>
    </xf>
    <xf borderId="0" fillId="0" fontId="6" numFmtId="1" xfId="0" applyAlignment="1" applyFont="1" applyNumberFormat="1">
      <alignment horizontal="left" readingOrder="0" shrinkToFit="0" vertical="top" wrapText="0"/>
    </xf>
    <xf borderId="0" fillId="0" fontId="3" numFmtId="166" xfId="0" applyAlignment="1" applyFont="1" applyNumberFormat="1">
      <alignment horizontal="left" shrinkToFit="0" vertical="top" wrapText="0"/>
    </xf>
    <xf borderId="0" fillId="0" fontId="6" numFmtId="165" xfId="0" applyAlignment="1" applyFont="1" applyNumberFormat="1">
      <alignment horizontal="left" shrinkToFit="0" vertical="top" wrapText="0"/>
    </xf>
    <xf borderId="0" fillId="0" fontId="38" numFmtId="0" xfId="0" applyAlignment="1" applyFont="1">
      <alignment readingOrder="0" shrinkToFit="0" vertical="top" wrapText="0"/>
    </xf>
    <xf borderId="0" fillId="0" fontId="6" numFmtId="1" xfId="0" applyAlignment="1" applyFont="1" applyNumberFormat="1">
      <alignment horizontal="right" readingOrder="0" shrinkToFit="0" vertical="top" wrapText="0"/>
    </xf>
    <xf borderId="0" fillId="0" fontId="6" numFmtId="166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shrinkToFit="0" wrapText="0"/>
    </xf>
    <xf borderId="0" fillId="0" fontId="39" numFmtId="0" xfId="0" applyAlignment="1" applyFont="1">
      <alignment horizontal="left" shrinkToFit="0" vertical="top" wrapText="0"/>
    </xf>
    <xf borderId="0" fillId="0" fontId="3" numFmtId="3" xfId="0" applyAlignment="1" applyFont="1" applyNumberFormat="1">
      <alignment shrinkToFit="0" wrapText="0"/>
    </xf>
    <xf borderId="0" fillId="0" fontId="3" numFmtId="1" xfId="0" applyAlignment="1" applyFont="1" applyNumberFormat="1">
      <alignment shrinkToFit="0" wrapText="0"/>
    </xf>
    <xf borderId="0" fillId="0" fontId="3" numFmtId="174" xfId="0" applyAlignment="1" applyFont="1" applyNumberFormat="1">
      <alignment shrinkToFit="0" wrapText="0"/>
    </xf>
    <xf borderId="0" fillId="0" fontId="6" numFmtId="1" xfId="0" applyAlignment="1" applyFont="1" applyNumberFormat="1">
      <alignment horizontal="left" shrinkToFit="0" vertical="top" wrapText="0"/>
    </xf>
    <xf borderId="0" fillId="0" fontId="6" numFmtId="1" xfId="0" applyAlignment="1" applyFont="1" applyNumberFormat="1">
      <alignment horizontal="right" shrinkToFit="0" vertical="top" wrapText="0"/>
    </xf>
    <xf borderId="0" fillId="0" fontId="40" numFmtId="0" xfId="0" applyAlignment="1" applyFont="1">
      <alignment horizontal="left" shrinkToFit="0" vertical="top" wrapText="0"/>
    </xf>
    <xf borderId="0" fillId="0" fontId="6" numFmtId="165" xfId="0" applyAlignment="1" applyFont="1" applyNumberFormat="1">
      <alignment horizontal="left" readingOrder="0" shrinkToFit="0" wrapText="0"/>
    </xf>
    <xf borderId="0" fillId="0" fontId="41" numFmtId="1" xfId="0" applyAlignment="1" applyFont="1" applyNumberFormat="1">
      <alignment horizontal="left" shrinkToFit="0" vertical="top" wrapText="0"/>
    </xf>
    <xf borderId="0" fillId="0" fontId="42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shrinkToFit="0" wrapText="0"/>
    </xf>
    <xf borderId="0" fillId="0" fontId="3" numFmtId="0" xfId="0" applyAlignment="1" applyFont="1">
      <alignment horizontal="left" readingOrder="0" shrinkToFit="0" vertical="top" wrapText="0"/>
    </xf>
    <xf borderId="0" fillId="0" fontId="43" numFmtId="0" xfId="0" applyAlignment="1" applyFont="1">
      <alignment horizontal="left" readingOrder="0" shrinkToFit="0" vertical="top" wrapText="0"/>
    </xf>
    <xf borderId="0" fillId="0" fontId="44" numFmtId="0" xfId="0" applyAlignment="1" applyFont="1">
      <alignment horizontal="left" readingOrder="0" shrinkToFit="0" vertical="top" wrapText="0"/>
    </xf>
    <xf borderId="0" fillId="3" fontId="6" numFmtId="0" xfId="0" applyAlignment="1" applyFill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172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65" xfId="0" applyAlignment="1" applyFont="1" applyNumberFormat="1">
      <alignment shrinkToFit="0" wrapText="0"/>
    </xf>
    <xf borderId="0" fillId="0" fontId="3" numFmtId="1" xfId="0" applyAlignment="1" applyFont="1" applyNumberFormat="1">
      <alignment readingOrder="0" shrinkToFit="0" wrapText="0"/>
    </xf>
    <xf borderId="0" fillId="2" fontId="6" numFmtId="0" xfId="0" applyAlignment="1" applyFont="1">
      <alignment readingOrder="0" shrinkToFit="0" vertical="top" wrapText="0"/>
    </xf>
    <xf borderId="0" fillId="0" fontId="3" numFmtId="1" xfId="0" applyAlignment="1" applyFont="1" applyNumberFormat="1">
      <alignment horizontal="left" shrinkToFit="0" vertical="top" wrapText="0"/>
    </xf>
    <xf borderId="0" fillId="0" fontId="45" numFmtId="0" xfId="0" applyAlignment="1" applyFont="1">
      <alignment readingOrder="0" shrinkToFit="0" vertical="top" wrapText="0"/>
    </xf>
    <xf borderId="0" fillId="0" fontId="46" numFmtId="0" xfId="0" applyAlignment="1" applyFont="1">
      <alignment horizontal="left" readingOrder="0" shrinkToFit="0" vertical="top" wrapText="0"/>
    </xf>
    <xf borderId="0" fillId="0" fontId="47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3" numFmtId="1" xfId="0" applyAlignment="1" applyFont="1" applyNumberFormat="1">
      <alignment horizontal="left" readingOrder="0" shrinkToFit="0" vertical="top" wrapText="0"/>
    </xf>
    <xf borderId="0" fillId="0" fontId="48" numFmtId="0" xfId="0" applyAlignment="1" applyFont="1">
      <alignment readingOrder="0" shrinkToFit="0" wrapText="0"/>
    </xf>
    <xf borderId="0" fillId="2" fontId="6" numFmtId="0" xfId="0" applyAlignment="1" applyFont="1">
      <alignment horizontal="right" readingOrder="0" shrinkToFit="0" wrapText="0"/>
    </xf>
    <xf borderId="0" fillId="2" fontId="6" numFmtId="0" xfId="0" applyAlignment="1" applyFont="1">
      <alignment shrinkToFit="0" wrapText="0"/>
    </xf>
    <xf borderId="0" fillId="2" fontId="6" numFmtId="165" xfId="0" applyAlignment="1" applyFont="1" applyNumberFormat="1">
      <alignment readingOrder="0" shrinkToFit="0" wrapText="0"/>
    </xf>
    <xf borderId="0" fillId="0" fontId="3" numFmtId="0" xfId="0" applyAlignment="1" applyFont="1">
      <alignment horizontal="left" readingOrder="0" shrinkToFit="0" vertical="top" wrapText="0"/>
    </xf>
    <xf borderId="0" fillId="0" fontId="49" numFmtId="0" xfId="0" applyAlignment="1" applyFont="1">
      <alignment horizontal="left" shrinkToFit="0" vertical="top" wrapText="0"/>
    </xf>
    <xf borderId="0" fillId="0" fontId="3" numFmtId="166" xfId="0" applyAlignment="1" applyFont="1" applyNumberFormat="1">
      <alignment horizontal="left" readingOrder="0" shrinkToFit="0" vertical="top" wrapText="0"/>
    </xf>
    <xf borderId="0" fillId="0" fontId="50" numFmtId="166" xfId="0" applyAlignment="1" applyFont="1" applyNumberFormat="1">
      <alignment horizontal="left" readingOrder="0" shrinkToFit="0" vertical="top" wrapText="0"/>
    </xf>
    <xf borderId="0" fillId="0" fontId="6" numFmtId="0" xfId="0" applyAlignment="1" applyFont="1">
      <alignment horizontal="right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51" numFmtId="0" xfId="0" applyAlignment="1" applyFont="1">
      <alignment horizontal="left" readingOrder="0" shrinkToFit="0" vertical="top" wrapText="0"/>
    </xf>
    <xf borderId="0" fillId="0" fontId="52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wrapText="0"/>
    </xf>
    <xf borderId="0" fillId="0" fontId="53" numFmtId="0" xfId="0" applyAlignment="1" applyFont="1">
      <alignment horizontal="left" readingOrder="0" shrinkToFit="0" vertical="top" wrapText="0"/>
    </xf>
    <xf borderId="0" fillId="2" fontId="6" numFmtId="0" xfId="0" applyAlignment="1" applyFont="1">
      <alignment horizontal="left" readingOrder="0" shrinkToFit="0" vertical="top" wrapText="0"/>
    </xf>
    <xf borderId="0" fillId="2" fontId="6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166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readingOrder="0" shrinkToFit="0" vertical="top" wrapText="0"/>
    </xf>
    <xf borderId="0" fillId="0" fontId="3" numFmtId="1" xfId="0" applyAlignment="1" applyFont="1" applyNumberFormat="1">
      <alignment readingOrder="0" shrinkToFit="0" vertical="top" wrapText="0"/>
    </xf>
    <xf borderId="0" fillId="0" fontId="3" numFmtId="166" xfId="0" applyAlignment="1" applyFont="1" applyNumberFormat="1">
      <alignment readingOrder="0" shrinkToFit="0" vertical="top" wrapText="0"/>
    </xf>
    <xf borderId="0" fillId="0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54" numFmtId="166" xfId="0" applyAlignment="1" applyFont="1" applyNumberFormat="1">
      <alignment readingOrder="0" shrinkToFit="0" vertical="top" wrapText="0"/>
    </xf>
    <xf borderId="0" fillId="0" fontId="3" numFmtId="1" xfId="0" applyAlignment="1" applyFont="1" applyNumberFormat="1">
      <alignment shrinkToFit="0" vertical="top" wrapText="0"/>
    </xf>
    <xf borderId="0" fillId="2" fontId="3" numFmtId="165" xfId="0" applyAlignment="1" applyFont="1" applyNumberFormat="1">
      <alignment horizontal="right" readingOrder="0" shrinkToFit="0" vertical="bottom" wrapText="0"/>
    </xf>
    <xf borderId="0" fillId="0" fontId="55" numFmtId="166" xfId="0" applyAlignment="1" applyFont="1" applyNumberFormat="1">
      <alignment readingOrder="0" shrinkToFit="0" vertical="top" wrapText="0"/>
    </xf>
    <xf borderId="0" fillId="0" fontId="3" numFmtId="1" xfId="0" applyAlignment="1" applyFont="1" applyNumberFormat="1">
      <alignment horizontal="right" readingOrder="0" shrinkToFit="0" vertical="top" wrapText="0"/>
    </xf>
    <xf borderId="0" fillId="0" fontId="56" numFmtId="0" xfId="0" applyAlignment="1" applyFont="1">
      <alignment readingOrder="0" shrinkToFit="0" vertical="top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14" xfId="0" applyAlignment="1" applyFont="1" applyNumberFormat="1">
      <alignment shrinkToFit="0" vertical="top" wrapText="0"/>
    </xf>
    <xf borderId="0" fillId="0" fontId="3" numFmtId="172" xfId="0" applyAlignment="1" applyFont="1" applyNumberFormat="1">
      <alignment horizontal="center" shrinkToFit="0" vertical="top" wrapText="0"/>
    </xf>
    <xf borderId="0" fillId="2" fontId="6" numFmtId="0" xfId="0" applyAlignment="1" applyFont="1">
      <alignment horizontal="right" shrinkToFit="0" vertical="bottom" wrapText="0"/>
    </xf>
    <xf borderId="0" fillId="2" fontId="3" numFmtId="0" xfId="0" applyAlignment="1" applyFont="1">
      <alignment shrinkToFit="0" vertical="bottom" wrapText="0"/>
    </xf>
    <xf borderId="0" fillId="0" fontId="57" numFmtId="166" xfId="0" applyAlignment="1" applyFont="1" applyNumberFormat="1">
      <alignment shrinkToFit="0" vertical="top" wrapText="0"/>
    </xf>
    <xf borderId="0" fillId="2" fontId="6" numFmtId="165" xfId="0" applyAlignment="1" applyFont="1" applyNumberFormat="1">
      <alignment horizontal="right" shrinkToFit="0" vertical="bottom" wrapText="0"/>
    </xf>
    <xf borderId="0" fillId="0" fontId="58" numFmtId="166" xfId="0" applyAlignment="1" applyFont="1" applyNumberFormat="1">
      <alignment shrinkToFit="0" vertical="top" wrapText="0"/>
    </xf>
    <xf borderId="0" fillId="0" fontId="59" numFmtId="1" xfId="0" applyAlignment="1" applyFont="1" applyNumberFormat="1">
      <alignment shrinkToFit="0" vertical="top" wrapText="0"/>
    </xf>
    <xf borderId="0" fillId="0" fontId="60" numFmtId="0" xfId="0" applyAlignment="1" applyFont="1">
      <alignment shrinkToFit="0" vertical="top" wrapText="0"/>
    </xf>
    <xf borderId="0" fillId="0" fontId="61" numFmtId="0" xfId="0" applyAlignment="1" applyFont="1">
      <alignment shrinkToFit="0" vertical="bottom" wrapText="0"/>
    </xf>
    <xf borderId="0" fillId="2" fontId="6" numFmtId="0" xfId="0" applyAlignment="1" applyFont="1">
      <alignment horizontal="right" readingOrder="0" shrinkToFit="0" vertical="bottom" wrapText="0"/>
    </xf>
    <xf borderId="0" fillId="0" fontId="62" numFmtId="166" xfId="0" applyAlignment="1" applyFont="1" applyNumberFormat="1">
      <alignment readingOrder="0" shrinkToFit="0" vertical="top" wrapText="0"/>
    </xf>
    <xf borderId="0" fillId="2" fontId="6" numFmtId="165" xfId="0" applyAlignment="1" applyFont="1" applyNumberFormat="1">
      <alignment horizontal="right" readingOrder="0" shrinkToFit="0" vertical="bottom" wrapText="0"/>
    </xf>
    <xf borderId="0" fillId="0" fontId="63" numFmtId="166" xfId="0" applyAlignment="1" applyFont="1" applyNumberFormat="1">
      <alignment readingOrder="0" shrinkToFit="0" vertical="top" wrapText="0"/>
    </xf>
    <xf borderId="0" fillId="0" fontId="64" numFmtId="166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65" numFmtId="1" xfId="0" applyAlignment="1" applyFont="1" applyNumberFormat="1">
      <alignment readingOrder="0" shrinkToFit="0" vertical="top" wrapText="0"/>
    </xf>
    <xf borderId="0" fillId="0" fontId="3" numFmtId="166" xfId="0" applyAlignment="1" applyFont="1" applyNumberFormat="1">
      <alignment readingOrder="0" shrinkToFit="0" vertical="top" wrapText="0"/>
    </xf>
    <xf borderId="0" fillId="0" fontId="66" numFmtId="166" xfId="0" applyAlignment="1" applyFont="1" applyNumberFormat="1">
      <alignment readingOrder="0" shrinkToFit="0" vertical="top" wrapText="0"/>
    </xf>
    <xf borderId="0" fillId="0" fontId="67" numFmtId="0" xfId="0" applyAlignment="1" applyFont="1">
      <alignment readingOrder="0" shrinkToFit="0" wrapText="0"/>
    </xf>
    <xf borderId="0" fillId="2" fontId="67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6" numFmtId="172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8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" xfId="0" applyAlignment="1" applyFont="1" applyNumberFormat="1">
      <alignment horizontal="right" readingOrder="0" shrinkToFit="0" vertical="bottom" wrapText="0"/>
    </xf>
    <xf borderId="0" fillId="0" fontId="3" numFmtId="1" xfId="0" applyAlignment="1" applyFont="1" applyNumberFormat="1">
      <alignment horizontal="right" shrinkToFit="0" vertical="top" wrapText="0"/>
    </xf>
    <xf borderId="0" fillId="0" fontId="69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2" fontId="70" numFmtId="0" xfId="0" applyAlignment="1" applyFont="1">
      <alignment readingOrder="0" shrinkToFit="0" wrapText="0"/>
    </xf>
    <xf borderId="0" fillId="0" fontId="71" numFmtId="166" xfId="0" applyAlignment="1" applyFont="1" applyNumberFormat="1">
      <alignment readingOrder="0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0" fillId="0" fontId="67" numFmtId="0" xfId="0" applyAlignment="1" applyFont="1">
      <alignment readingOrder="0" shrinkToFit="0" wrapText="0"/>
    </xf>
    <xf borderId="0" fillId="0" fontId="7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vertical="top" wrapText="0"/>
    </xf>
    <xf borderId="0" fillId="0" fontId="73" numFmtId="0" xfId="0" applyAlignment="1" applyFont="1">
      <alignment readingOrder="0" shrinkToFit="0" wrapText="0"/>
    </xf>
    <xf borderId="0" fillId="0" fontId="74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172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75" numFmtId="0" xfId="0" applyAlignment="1" applyFont="1">
      <alignment horizontal="left" shrinkToFit="0" vertical="top" wrapText="0"/>
    </xf>
    <xf borderId="0" fillId="0" fontId="76" numFmtId="0" xfId="0" applyAlignment="1" applyFont="1">
      <alignment readingOrder="0" shrinkToFit="0" wrapText="0"/>
    </xf>
    <xf borderId="0" fillId="0" fontId="3" numFmtId="169" xfId="0" applyAlignment="1" applyFont="1" applyNumberFormat="1">
      <alignment horizontal="center" readingOrder="0" shrinkToFit="0" vertical="top" wrapText="0"/>
    </xf>
    <xf borderId="0" fillId="0" fontId="3" numFmtId="165" xfId="0" applyAlignment="1" applyFont="1" applyNumberFormat="1">
      <alignment horizontal="left" readingOrder="0" shrinkToFit="0" vertical="top" wrapText="0"/>
    </xf>
    <xf borderId="0" fillId="0" fontId="3" numFmtId="167" xfId="0" applyAlignment="1" applyFont="1" applyNumberFormat="1">
      <alignment horizontal="center" readingOrder="0" shrinkToFit="0" vertical="top" wrapText="0"/>
    </xf>
    <xf borderId="0" fillId="2" fontId="77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vertical="top" wrapText="0"/>
    </xf>
    <xf borderId="0" fillId="2" fontId="6" numFmtId="0" xfId="0" applyAlignment="1" applyFont="1">
      <alignment readingOrder="0" shrinkToFit="0" vertical="top" wrapText="0"/>
    </xf>
    <xf borderId="0" fillId="0" fontId="6" numFmtId="172" xfId="0" applyAlignment="1" applyFont="1" applyNumberFormat="1">
      <alignment readingOrder="0" shrinkToFit="0" vertical="bottom" wrapText="0"/>
    </xf>
    <xf borderId="0" fillId="0" fontId="78" numFmtId="0" xfId="0" applyAlignment="1" applyFont="1">
      <alignment readingOrder="0" shrinkToFit="0" vertical="bottom" wrapText="0"/>
    </xf>
    <xf borderId="0" fillId="0" fontId="6" numFmtId="9" xfId="0" applyAlignment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166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" xfId="0" applyAlignment="1" applyFont="1" applyNumberFormat="1">
      <alignment shrinkToFit="0" vertical="bottom" wrapText="0"/>
    </xf>
    <xf borderId="0" fillId="0" fontId="53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79" numFmtId="0" xfId="0" applyAlignment="1" applyFont="1">
      <alignment readingOrder="0" shrinkToFit="0" vertical="bottom" wrapText="0"/>
    </xf>
    <xf borderId="0" fillId="0" fontId="6" numFmtId="172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80" numFmtId="0" xfId="0" applyAlignment="1" applyFont="1">
      <alignment readingOrder="0" shrinkToFit="0" wrapText="0"/>
    </xf>
    <xf borderId="0" fillId="0" fontId="6" numFmtId="172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horizontal="right" readingOrder="0" shrinkToFit="0" vertical="top" wrapText="0"/>
    </xf>
    <xf borderId="0" fillId="0" fontId="8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0"/>
    </xf>
    <xf borderId="0" fillId="0" fontId="6" numFmtId="165" xfId="0" applyAlignment="1" applyFont="1" applyNumberFormat="1">
      <alignment horizontal="left" readingOrder="0" shrinkToFit="0" vertical="top" wrapText="0"/>
    </xf>
    <xf borderId="0" fillId="0" fontId="3" numFmtId="166" xfId="0" applyAlignment="1" applyFont="1" applyNumberFormat="1">
      <alignment horizontal="right" shrinkToFit="0" vertical="top" wrapText="0"/>
    </xf>
    <xf borderId="0" fillId="0" fontId="8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wrapText="0"/>
    </xf>
    <xf borderId="0" fillId="2" fontId="3" numFmtId="0" xfId="0" applyAlignment="1" applyFont="1">
      <alignment shrinkToFit="0" vertical="top" wrapText="0"/>
    </xf>
    <xf borderId="0" fillId="0" fontId="3" numFmtId="165" xfId="0" applyAlignment="1" applyFont="1" applyNumberFormat="1">
      <alignment readingOrder="0" shrinkToFit="0" vertical="top" wrapText="0"/>
    </xf>
    <xf borderId="0" fillId="0" fontId="6" numFmtId="166" xfId="0" applyAlignment="1" applyFont="1" applyNumberFormat="1">
      <alignment readingOrder="0" shrinkToFit="0" vertical="top" wrapText="0"/>
    </xf>
    <xf borderId="0" fillId="0" fontId="6" numFmtId="3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shrinkToFit="0" vertical="top" wrapText="0"/>
    </xf>
    <xf borderId="0" fillId="0" fontId="83" numFmtId="165" xfId="0" applyAlignment="1" applyFont="1" applyNumberFormat="1">
      <alignment horizontal="right" readingOrder="0" shrinkToFit="0" vertical="top" wrapText="0"/>
    </xf>
    <xf borderId="0" fillId="0" fontId="6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1" xfId="0" applyAlignment="1" applyFont="1" applyNumberFormat="1">
      <alignment shrinkToFit="0" vertical="bottom" wrapText="0"/>
    </xf>
    <xf borderId="0" fillId="0" fontId="6" numFmtId="1" xfId="0" applyAlignment="1" applyFont="1" applyNumberFormat="1">
      <alignment horizontal="right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1" numFmtId="4" xfId="0" applyFont="1" applyNumberFormat="1"/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7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capstoneclassical.com/" TargetMode="External"/><Relationship Id="rId194" Type="http://schemas.openxmlformats.org/officeDocument/2006/relationships/hyperlink" Target="https://cornerstonechapel.net/cca" TargetMode="External"/><Relationship Id="rId193" Type="http://schemas.openxmlformats.org/officeDocument/2006/relationships/hyperlink" Target="https://cornerstonechapel.net/cca" TargetMode="External"/><Relationship Id="rId192" Type="http://schemas.openxmlformats.org/officeDocument/2006/relationships/hyperlink" Target="https://loudounnow.com/2022/02/07/cornerstone-chapel-plans-school-at-middleburg-academy-site/" TargetMode="External"/><Relationship Id="rId191" Type="http://schemas.openxmlformats.org/officeDocument/2006/relationships/hyperlink" Target="https://capstoneclassical.com/tuition/" TargetMode="External"/><Relationship Id="rId187" Type="http://schemas.openxmlformats.org/officeDocument/2006/relationships/hyperlink" Target="https://www.wlky.com/article/west-louisville-christian-school-opens-looks-to-expand/38793624" TargetMode="External"/><Relationship Id="rId186" Type="http://schemas.openxmlformats.org/officeDocument/2006/relationships/hyperlink" Target="https://www.wlky.com/article/west-louisville-christian-school-opens-looks-to-expand/38793624" TargetMode="External"/><Relationship Id="rId185" Type="http://schemas.openxmlformats.org/officeDocument/2006/relationships/hyperlink" Target="https://www.kingdomunitededu.com/" TargetMode="External"/><Relationship Id="rId184" Type="http://schemas.openxmlformats.org/officeDocument/2006/relationships/hyperlink" Target="https://dailyjournalonline.com/news/local/education/plans-afoot-to-open-new-school/article_c6693e85-7b46-5adf-b1e0-1a86436a4300.html" TargetMode="External"/><Relationship Id="rId189" Type="http://schemas.openxmlformats.org/officeDocument/2006/relationships/hyperlink" Target="https://www.inforum.com/news/fargo/new-private-school-set-to-open-in-fargo-this-fall" TargetMode="External"/><Relationship Id="rId188" Type="http://schemas.openxmlformats.org/officeDocument/2006/relationships/hyperlink" Target="https://ndky.org/dreamcenteracademychristianschool/" TargetMode="External"/><Relationship Id="rId183" Type="http://schemas.openxmlformats.org/officeDocument/2006/relationships/hyperlink" Target="https://righteouswarrioracademy.com/pre-register%2Ftuition" TargetMode="External"/><Relationship Id="rId182" Type="http://schemas.openxmlformats.org/officeDocument/2006/relationships/hyperlink" Target="https://righteouswarrioracademy.com/" TargetMode="External"/><Relationship Id="rId181" Type="http://schemas.openxmlformats.org/officeDocument/2006/relationships/hyperlink" Target="https://www.polkio.com/news/dallas-couple-takes-leap-of-faith-opening-new-christian-private-school/article_b94351d0-6e7f-11ec-82a6-b750e0924f8f.html" TargetMode="External"/><Relationship Id="rId180" Type="http://schemas.openxmlformats.org/officeDocument/2006/relationships/hyperlink" Target="https://www.theaegisinstitute.com/" TargetMode="External"/><Relationship Id="rId176" Type="http://schemas.openxmlformats.org/officeDocument/2006/relationships/hyperlink" Target="https://www.cristoreymiami.org/about/fast-facts" TargetMode="External"/><Relationship Id="rId297" Type="http://schemas.openxmlformats.org/officeDocument/2006/relationships/hyperlink" Target="https://highlandslatin.org/owensboro/" TargetMode="External"/><Relationship Id="rId175" Type="http://schemas.openxmlformats.org/officeDocument/2006/relationships/hyperlink" Target="https://www.cristoreymiami.org/about/fast-facts" TargetMode="External"/><Relationship Id="rId296" Type="http://schemas.openxmlformats.org/officeDocument/2006/relationships/hyperlink" Target="https://www.chestertonri.org/admissions" TargetMode="External"/><Relationship Id="rId174" Type="http://schemas.openxmlformats.org/officeDocument/2006/relationships/hyperlink" Target="https://communitynewspapers.com/biscayne-bay/cristo-rey-miami-high-school-to-open-its-doors-july-2022/" TargetMode="External"/><Relationship Id="rId295" Type="http://schemas.openxmlformats.org/officeDocument/2006/relationships/hyperlink" Target="https://pbn.com/chesterton-academy-to-open-new-catholic-high-school-in-r-i-next-fall/" TargetMode="External"/><Relationship Id="rId173" Type="http://schemas.openxmlformats.org/officeDocument/2006/relationships/hyperlink" Target="https://caofstpatrick.org/" TargetMode="External"/><Relationship Id="rId294" Type="http://schemas.openxmlformats.org/officeDocument/2006/relationships/hyperlink" Target="https://www.chestertonri.org/" TargetMode="External"/><Relationship Id="rId179" Type="http://schemas.openxmlformats.org/officeDocument/2006/relationships/hyperlink" Target="https://www.gainesville.com/story/news/education/2021/12/29/married-couple-seeks-start-new-private-school-modernize-curriculum/9037024002/" TargetMode="External"/><Relationship Id="rId178" Type="http://schemas.openxmlformats.org/officeDocument/2006/relationships/hyperlink" Target="https://www.brightstartva.com/" TargetMode="External"/><Relationship Id="rId299" Type="http://schemas.openxmlformats.org/officeDocument/2006/relationships/hyperlink" Target="https://www.ourladyofthecross.org/" TargetMode="External"/><Relationship Id="rId177" Type="http://schemas.openxmlformats.org/officeDocument/2006/relationships/hyperlink" Target="https://www.alxnow.com/2021/12/09/new-incredibly-small-private-school-coming-to-cameron-station/" TargetMode="External"/><Relationship Id="rId298" Type="http://schemas.openxmlformats.org/officeDocument/2006/relationships/hyperlink" Target="https://www.messenger-inquirer.com/news/new-private-school-planned-for-2023/article_4bd11710-a9d4-538f-8d7c-b9f62b993947.html" TargetMode="External"/><Relationship Id="rId198" Type="http://schemas.openxmlformats.org/officeDocument/2006/relationships/hyperlink" Target="https://www.santafenewmexican.com/news/local_news/residents-concerned-about-traffic-from-planned-private-school-on-old-pecos-trail/article_fe228638-8859-11ec-84d5-831bb7ee0b73.html" TargetMode="External"/><Relationship Id="rId197" Type="http://schemas.openxmlformats.org/officeDocument/2006/relationships/hyperlink" Target="https://www.santafenewmexican.com/news/local_news/residents-concerned-about-traffic-from-planned-private-school-on-old-pecos-trail/article_fe228638-8859-11ec-84d5-831bb7ee0b73.html" TargetMode="External"/><Relationship Id="rId196" Type="http://schemas.openxmlformats.org/officeDocument/2006/relationships/hyperlink" Target="https://www.veritasacademydc.com/crystal-city" TargetMode="External"/><Relationship Id="rId195" Type="http://schemas.openxmlformats.org/officeDocument/2006/relationships/hyperlink" Target="https://www.arlnow.com/2022/02/09/new-private-school-set-to-open-this-fall-in-aurora-highlands-church/" TargetMode="External"/><Relationship Id="rId199" Type="http://schemas.openxmlformats.org/officeDocument/2006/relationships/hyperlink" Target="https://santafechristian.org/" TargetMode="External"/><Relationship Id="rId150" Type="http://schemas.openxmlformats.org/officeDocument/2006/relationships/hyperlink" Target="https://bellevue.basisindependent.com/admissions/tuition-fees/" TargetMode="External"/><Relationship Id="rId271" Type="http://schemas.openxmlformats.org/officeDocument/2006/relationships/hyperlink" Target="https://www.glajaguars.com/_files/ugd/fe819b_f7918898e2154410983d08233b84ce9b.pdf" TargetMode="External"/><Relationship Id="rId392" Type="http://schemas.openxmlformats.org/officeDocument/2006/relationships/hyperlink" Target="https://www.newenglandacademy.net/" TargetMode="External"/><Relationship Id="rId270" Type="http://schemas.openxmlformats.org/officeDocument/2006/relationships/hyperlink" Target="https://abc11.com/genesis-christian-school-black-owned-private-fayetteville/12143393/" TargetMode="External"/><Relationship Id="rId391" Type="http://schemas.openxmlformats.org/officeDocument/2006/relationships/hyperlink" Target="https://www.newmancatholicschools.com/admissions/tuition-and-fees" TargetMode="External"/><Relationship Id="rId390" Type="http://schemas.openxmlformats.org/officeDocument/2006/relationships/hyperlink" Target="https://www.waow.com/news/top-stories/former-holy-name-school-set-to-re-open-as-classical-style-school-for-the-2024/article_01938fd4-3799-11ee-a3ea-1b7844f68ed6.html" TargetMode="External"/><Relationship Id="rId1" Type="http://schemas.openxmlformats.org/officeDocument/2006/relationships/hyperlink" Target="https://www2.census.gov/geo/pdfs/maps-data/maps/reference/us_regdiv.pdf" TargetMode="External"/><Relationship Id="rId2" Type="http://schemas.openxmlformats.org/officeDocument/2006/relationships/hyperlink" Target="https://geomap.ffiec.gov/FFIECGeocMap/GeocodeMap1.aspx" TargetMode="External"/><Relationship Id="rId3" Type="http://schemas.openxmlformats.org/officeDocument/2006/relationships/hyperlink" Target="https://www.asumag.com/facilities-management/business-finance/article/21238677/private-school-based-in-new-york-city-buys-property-in-san-jose-calif-plans-prek12-campus" TargetMode="External"/><Relationship Id="rId149" Type="http://schemas.openxmlformats.org/officeDocument/2006/relationships/hyperlink" Target="https://bellevue.basisindependent.com/" TargetMode="External"/><Relationship Id="rId4" Type="http://schemas.openxmlformats.org/officeDocument/2006/relationships/hyperlink" Target="https://www.sanjoseinside.com/news/exclusive-private-school-to-open-silicon-valley-campus/" TargetMode="External"/><Relationship Id="rId148" Type="http://schemas.openxmlformats.org/officeDocument/2006/relationships/hyperlink" Target="https://www.bellevuereporter.com/news/bellevue-to-have-new-private-school-by-2022-school-year/" TargetMode="External"/><Relationship Id="rId269" Type="http://schemas.openxmlformats.org/officeDocument/2006/relationships/hyperlink" Target="https://abc11.com/genesis-christian-school-black-owned-private-fayetteville/12143393/" TargetMode="External"/><Relationship Id="rId9" Type="http://schemas.openxmlformats.org/officeDocument/2006/relationships/hyperlink" Target="https://patch.com/connecticut/naugatuck/new-catholic-school-open-new-haven" TargetMode="External"/><Relationship Id="rId143" Type="http://schemas.openxmlformats.org/officeDocument/2006/relationships/hyperlink" Target="https://www.bwpcskids.org/" TargetMode="External"/><Relationship Id="rId264" Type="http://schemas.openxmlformats.org/officeDocument/2006/relationships/hyperlink" Target="https://gcpa.k12.com/resources/tuition.html" TargetMode="External"/><Relationship Id="rId385" Type="http://schemas.openxmlformats.org/officeDocument/2006/relationships/hyperlink" Target="http://lionofjudahmaryville.com/" TargetMode="External"/><Relationship Id="rId142" Type="http://schemas.openxmlformats.org/officeDocument/2006/relationships/hyperlink" Target="https://www.dailyadvance.com/news/local/christian-private-school-set-to-open-in-moyock/article_8a5176ce-c708-578e-bd8a-e39fcca2252f.html" TargetMode="External"/><Relationship Id="rId263" Type="http://schemas.openxmlformats.org/officeDocument/2006/relationships/hyperlink" Target="https://www.businesswire.com/news/home/20220802005806/en/Learn-Your-Way-to-Excellence-Enroll-in-New-Grand-Canyon-Private-Academy" TargetMode="External"/><Relationship Id="rId384" Type="http://schemas.openxmlformats.org/officeDocument/2006/relationships/hyperlink" Target="https://www.recorder.com/Greenfield-School-Committee-OKs-opening-of-private-Christian-school-51823191" TargetMode="External"/><Relationship Id="rId141" Type="http://schemas.openxmlformats.org/officeDocument/2006/relationships/hyperlink" Target="https://www.stratfordschools.com/schools/northern-california/east-bay/pleasanton-middle-school/admissions/tuition/" TargetMode="External"/><Relationship Id="rId262" Type="http://schemas.openxmlformats.org/officeDocument/2006/relationships/hyperlink" Target="https://gatewayprivateschool.com/admissions" TargetMode="External"/><Relationship Id="rId383" Type="http://schemas.openxmlformats.org/officeDocument/2006/relationships/hyperlink" Target="https://www.recorder.com/Greenfield-church-looks-to-open-private-Christian-school-this-fall-51662324" TargetMode="External"/><Relationship Id="rId140" Type="http://schemas.openxmlformats.org/officeDocument/2006/relationships/hyperlink" Target="https://www.stratfordschools.com/schools/northern-california/east-bay/pleasanton-middle-school/" TargetMode="External"/><Relationship Id="rId261" Type="http://schemas.openxmlformats.org/officeDocument/2006/relationships/hyperlink" Target="https://wset.com/news/back-to-school/pulaski-county-virginia-celebrates-repurposing-old-elementary-school-into-new-private-school-dublin-gateway-private-school" TargetMode="External"/><Relationship Id="rId382" Type="http://schemas.openxmlformats.org/officeDocument/2006/relationships/hyperlink" Target="https://www.myprovidencechristianacademy.org/" TargetMode="External"/><Relationship Id="rId5" Type="http://schemas.openxmlformats.org/officeDocument/2006/relationships/hyperlink" Target="https://www.avenues.org/sv/tuition-financial-aid" TargetMode="External"/><Relationship Id="rId147" Type="http://schemas.openxmlformats.org/officeDocument/2006/relationships/hyperlink" Target="https://www.carlsbadprepacademy.com/" TargetMode="External"/><Relationship Id="rId268" Type="http://schemas.openxmlformats.org/officeDocument/2006/relationships/hyperlink" Target="https://www.stellamaris.academy/tuition" TargetMode="External"/><Relationship Id="rId389" Type="http://schemas.openxmlformats.org/officeDocument/2006/relationships/hyperlink" Target="https://holynamecatholicschool.com/" TargetMode="External"/><Relationship Id="rId6" Type="http://schemas.openxmlformats.org/officeDocument/2006/relationships/hyperlink" Target="https://dioceseofraleigh.org/news/cristo-rey-rtp-announces-jesuit-affiliation-planned-high-school" TargetMode="External"/><Relationship Id="rId146" Type="http://schemas.openxmlformats.org/officeDocument/2006/relationships/hyperlink" Target="https://www.carlsbadprepacademy.com/" TargetMode="External"/><Relationship Id="rId267" Type="http://schemas.openxmlformats.org/officeDocument/2006/relationships/hyperlink" Target="https://www.stellamaris.academy/news/2021/10/28/sma-secures-facilities-for-new-high-school" TargetMode="External"/><Relationship Id="rId388" Type="http://schemas.openxmlformats.org/officeDocument/2006/relationships/hyperlink" Target="https://www.14news.com/2023/08/04/new-school-opening-owensboro/" TargetMode="External"/><Relationship Id="rId7" Type="http://schemas.openxmlformats.org/officeDocument/2006/relationships/hyperlink" Target="https://www.cristoreyrt.org/" TargetMode="External"/><Relationship Id="rId145" Type="http://schemas.openxmlformats.org/officeDocument/2006/relationships/hyperlink" Target="https://www.currentargus.com/story/news/education/2021/09/08/faith-based-private-school-opening-carlsbad/5695769001/" TargetMode="External"/><Relationship Id="rId266" Type="http://schemas.openxmlformats.org/officeDocument/2006/relationships/hyperlink" Target="http://heritagechristianacademymontevideo.com/" TargetMode="External"/><Relationship Id="rId387" Type="http://schemas.openxmlformats.org/officeDocument/2006/relationships/hyperlink" Target="https://highlandslatin.org/owensboro/" TargetMode="External"/><Relationship Id="rId8" Type="http://schemas.openxmlformats.org/officeDocument/2006/relationships/hyperlink" Target="https://www.cristoreyrt.org/apps/pages/index.jsp?uREC_ID=2126760&amp;type=d&amp;pREC_ID=2156787" TargetMode="External"/><Relationship Id="rId144" Type="http://schemas.openxmlformats.org/officeDocument/2006/relationships/hyperlink" Target="https://www.bwpcskids.org/admissions" TargetMode="External"/><Relationship Id="rId265" Type="http://schemas.openxmlformats.org/officeDocument/2006/relationships/hyperlink" Target="https://www.montenews.com/2022/08/04/new-private-school-opening-in-montevideo/" TargetMode="External"/><Relationship Id="rId386" Type="http://schemas.openxmlformats.org/officeDocument/2006/relationships/hyperlink" Target="http://www.maryvilleforum.com/news/maryville-woman-starts-christian-based-microschool/article_9cad90d8-33dd-11ee-b6cc-e361c9d8a701.html" TargetMode="External"/><Relationship Id="rId260" Type="http://schemas.openxmlformats.org/officeDocument/2006/relationships/hyperlink" Target="https://www.southside.academy/admissions" TargetMode="External"/><Relationship Id="rId381" Type="http://schemas.openxmlformats.org/officeDocument/2006/relationships/hyperlink" Target="https://www.therepublic.com/2023/08/01/new-private-school-pushes-back-its-opening-date-location-remains-up-in-the-air/" TargetMode="External"/><Relationship Id="rId380" Type="http://schemas.openxmlformats.org/officeDocument/2006/relationships/hyperlink" Target="https://www.libertyacademycolumbus.com/" TargetMode="External"/><Relationship Id="rId139" Type="http://schemas.openxmlformats.org/officeDocument/2006/relationships/hyperlink" Target="https://www.wfmz.com/news/pr_newswire/pr_newswire_business/spring-education-group-celebrates-new-school-openings-in-2021/article_7f3caae8-66c5-5d7b-b9a7-555f6e308f58.html" TargetMode="External"/><Relationship Id="rId138" Type="http://schemas.openxmlformats.org/officeDocument/2006/relationships/hyperlink" Target="https://www.stratfordschools.com/our-programs/online-academy/" TargetMode="External"/><Relationship Id="rId259" Type="http://schemas.openxmlformats.org/officeDocument/2006/relationships/hyperlink" Target="https://www.rockymounttelegram.com/features/school_news/new-private-school-welcomes-students/article_20e2a9c7-01d5-5b2b-b238-a199275af21e.html" TargetMode="External"/><Relationship Id="rId137" Type="http://schemas.openxmlformats.org/officeDocument/2006/relationships/hyperlink" Target="https://www.stratfordschools.com/stratford-blog/announcing-the-second-year-of-stratford-schools-online-academy/" TargetMode="External"/><Relationship Id="rId258" Type="http://schemas.openxmlformats.org/officeDocument/2006/relationships/hyperlink" Target="https://www.bizjournals.com/sacramento/news/2022/07/31/fusion-academy-campus-folsom-palladio.html" TargetMode="External"/><Relationship Id="rId379" Type="http://schemas.openxmlformats.org/officeDocument/2006/relationships/hyperlink" Target="https://www.azfamily.com/2023/07/26/new-phoenix-middle-school-offers-safe-space-lgbtq-youth/" TargetMode="External"/><Relationship Id="rId132" Type="http://schemas.openxmlformats.org/officeDocument/2006/relationships/hyperlink" Target="https://www.stratfordschools.com/schools/northern-california/south-bay/san-jose-almaden/admissions/tuition/" TargetMode="External"/><Relationship Id="rId253" Type="http://schemas.openxmlformats.org/officeDocument/2006/relationships/hyperlink" Target="https://seton.academy/admissions" TargetMode="External"/><Relationship Id="rId374" Type="http://schemas.openxmlformats.org/officeDocument/2006/relationships/hyperlink" Target="https://www.losaltosonline.com/schools/macro-dreams-for-new-microschool-in-mtn-view/article_1737f97a-2b4a-11ee-9b8a-9fdfe1c62fef.html" TargetMode="External"/><Relationship Id="rId495" Type="http://schemas.openxmlformats.org/officeDocument/2006/relationships/hyperlink" Target="https://www.wilcosun.com/news-georgetown/new-private-school-offers-two-hour-learning-model" TargetMode="External"/><Relationship Id="rId131" Type="http://schemas.openxmlformats.org/officeDocument/2006/relationships/hyperlink" Target="https://www.stratfordschools.com/schools/northern-california/south-bay/san-jose-almaden/" TargetMode="External"/><Relationship Id="rId252" Type="http://schemas.openxmlformats.org/officeDocument/2006/relationships/hyperlink" Target="https://www.fosters.com/story/news/education/2022/07/14/seton-academy-rochester-nh/10028995002/" TargetMode="External"/><Relationship Id="rId373" Type="http://schemas.openxmlformats.org/officeDocument/2006/relationships/hyperlink" Target="https://www.uncommonlyawesomelearning.org/" TargetMode="External"/><Relationship Id="rId494" Type="http://schemas.openxmlformats.org/officeDocument/2006/relationships/hyperlink" Target="https://gt.school/" TargetMode="External"/><Relationship Id="rId130" Type="http://schemas.openxmlformats.org/officeDocument/2006/relationships/hyperlink" Target="https://www.wfmz.com/news/pr_newswire/pr_newswire_business/spring-education-group-celebrates-new-school-openings-in-2021/article_7f3caae8-66c5-5d7b-b9a7-555f6e308f58.html" TargetMode="External"/><Relationship Id="rId251" Type="http://schemas.openxmlformats.org/officeDocument/2006/relationships/hyperlink" Target="https://www.fosters.com/story/news/education/2022/07/14/seton-academy-rochester-nh/10028995002/" TargetMode="External"/><Relationship Id="rId372" Type="http://schemas.openxmlformats.org/officeDocument/2006/relationships/hyperlink" Target="https://www.thetrinityschool.net/_files/ugd/2ce745_bb794f6fbf124d4aa372198e8ccba0af.pdf" TargetMode="External"/><Relationship Id="rId493" Type="http://schemas.openxmlformats.org/officeDocument/2006/relationships/hyperlink" Target="https://www.xavierja.org/admissions" TargetMode="External"/><Relationship Id="rId250" Type="http://schemas.openxmlformats.org/officeDocument/2006/relationships/hyperlink" Target="https://www.chestertonacademywf.org/" TargetMode="External"/><Relationship Id="rId371" Type="http://schemas.openxmlformats.org/officeDocument/2006/relationships/hyperlink" Target="https://www.hcnews.com/news/god-led-me-to-it-local-educator-to-open-christian-private-school-in-fall/article_c59f578e-2180-11ee-92ce-a74f5e21c65c.html" TargetMode="External"/><Relationship Id="rId492" Type="http://schemas.openxmlformats.org/officeDocument/2006/relationships/hyperlink" Target="https://www.cincinnati.com/story/news/education/2024/07/31/new-catholic-school-to-open-in-bond-hill-this-august/74351158007/" TargetMode="External"/><Relationship Id="rId136" Type="http://schemas.openxmlformats.org/officeDocument/2006/relationships/hyperlink" Target="https://www.wfmz.com/news/pr_newswire/pr_newswire_business/spring-education-group-celebrates-new-school-openings-in-2021/article_7f3caae8-66c5-5d7b-b9a7-555f6e308f58.html" TargetMode="External"/><Relationship Id="rId257" Type="http://schemas.openxmlformats.org/officeDocument/2006/relationships/hyperlink" Target="https://alpha.school/brownsville/" TargetMode="External"/><Relationship Id="rId378" Type="http://schemas.openxmlformats.org/officeDocument/2006/relationships/hyperlink" Target="https://plantcitychristian.com/" TargetMode="External"/><Relationship Id="rId499" Type="http://schemas.openxmlformats.org/officeDocument/2006/relationships/hyperlink" Target="https://fiatclassicalacademy.org/tuition-financial-aid/" TargetMode="External"/><Relationship Id="rId135" Type="http://schemas.openxmlformats.org/officeDocument/2006/relationships/hyperlink" Target="https://www.stratfordschools.com/schools/northern-california/south-bay/milpitas-corning/admissions/tuition/" TargetMode="External"/><Relationship Id="rId256" Type="http://schemas.openxmlformats.org/officeDocument/2006/relationships/hyperlink" Target="https://www.marshallnewsmessenger.com/news/new-christian-private-school-in-marshall-to-start-classes-in-august/article_4e26f7c6-e855-11ec-91b3-a787f2185cc8.html" TargetMode="External"/><Relationship Id="rId377" Type="http://schemas.openxmlformats.org/officeDocument/2006/relationships/hyperlink" Target="https://www.pathoflifelearning.com/blank-5" TargetMode="External"/><Relationship Id="rId498" Type="http://schemas.openxmlformats.org/officeDocument/2006/relationships/hyperlink" Target="https://www.eaglecountryonline.com/news/local-news/new-catholic-high-school-opens-this-august-in-dearborn-county/" TargetMode="External"/><Relationship Id="rId134" Type="http://schemas.openxmlformats.org/officeDocument/2006/relationships/hyperlink" Target="https://www.stratfordschools.com/schools/northern-california/south-bay/milpitas-corning/" TargetMode="External"/><Relationship Id="rId255" Type="http://schemas.openxmlformats.org/officeDocument/2006/relationships/hyperlink" Target="https://www.oakgroveedenton.com/blank-page" TargetMode="External"/><Relationship Id="rId376" Type="http://schemas.openxmlformats.org/officeDocument/2006/relationships/hyperlink" Target="https://www.pathoflifelearning.com/" TargetMode="External"/><Relationship Id="rId497" Type="http://schemas.openxmlformats.org/officeDocument/2006/relationships/hyperlink" Target="https://fiatclassicalacademy.org/" TargetMode="External"/><Relationship Id="rId133" Type="http://schemas.openxmlformats.org/officeDocument/2006/relationships/hyperlink" Target="https://www.wfmz.com/news/pr_newswire/pr_newswire_business/spring-education-group-celebrates-new-school-openings-in-2021/article_7f3caae8-66c5-5d7b-b9a7-555f6e308f58.html" TargetMode="External"/><Relationship Id="rId254" Type="http://schemas.openxmlformats.org/officeDocument/2006/relationships/hyperlink" Target="https://www.dailyadvance.com/chowan/features/school_news/oak-grove-christian-academy-will-open-this-fall/article_a2d5ed11-990c-5840-a80f-2404553341a1.html" TargetMode="External"/><Relationship Id="rId375" Type="http://schemas.openxmlformats.org/officeDocument/2006/relationships/hyperlink" Target="https://www.pathoflifelearning.com/" TargetMode="External"/><Relationship Id="rId496" Type="http://schemas.openxmlformats.org/officeDocument/2006/relationships/hyperlink" Target="https://www.wilcosun.com/news-georgetown/new-private-school-offers-two-hour-learning-model" TargetMode="External"/><Relationship Id="rId172" Type="http://schemas.openxmlformats.org/officeDocument/2006/relationships/hyperlink" Target="https://www.kvmr.org/kvmr-event/chesterton-academy-information-night/" TargetMode="External"/><Relationship Id="rId293" Type="http://schemas.openxmlformats.org/officeDocument/2006/relationships/hyperlink" Target="https://www.nurturedgrowthlearningcenter.com/admissions" TargetMode="External"/><Relationship Id="rId171" Type="http://schemas.openxmlformats.org/officeDocument/2006/relationships/hyperlink" Target="http://ascendacademy.org/free-private-school/" TargetMode="External"/><Relationship Id="rId292" Type="http://schemas.openxmlformats.org/officeDocument/2006/relationships/hyperlink" Target="https://dailyinterlake.com/news/2022/dec/13/Mom-starts-school-neurodivergent-children/" TargetMode="External"/><Relationship Id="rId170" Type="http://schemas.openxmlformats.org/officeDocument/2006/relationships/hyperlink" Target="http://ascendacademy.org/" TargetMode="External"/><Relationship Id="rId291" Type="http://schemas.openxmlformats.org/officeDocument/2006/relationships/hyperlink" Target="https://www.nurturedgrowthlearningcenter.com/" TargetMode="External"/><Relationship Id="rId290" Type="http://schemas.openxmlformats.org/officeDocument/2006/relationships/hyperlink" Target="https://www.wfla.com/news/hillsborough-county/local-educator-opens-free-k-12-private-school-in-east-tampa/" TargetMode="External"/><Relationship Id="rId165" Type="http://schemas.openxmlformats.org/officeDocument/2006/relationships/hyperlink" Target="https://www.trilogystemacademy.org/affordability" TargetMode="External"/><Relationship Id="rId286" Type="http://schemas.openxmlformats.org/officeDocument/2006/relationships/hyperlink" Target="https://wgrt.com/are-you-interested-in-a-new-private-school-with-a-hillsdale-college-curriculum/" TargetMode="External"/><Relationship Id="rId164" Type="http://schemas.openxmlformats.org/officeDocument/2006/relationships/hyperlink" Target="https://www.trilogystemacademy.org/" TargetMode="External"/><Relationship Id="rId285" Type="http://schemas.openxmlformats.org/officeDocument/2006/relationships/hyperlink" Target="https://www.wc.school/resources" TargetMode="External"/><Relationship Id="rId163" Type="http://schemas.openxmlformats.org/officeDocument/2006/relationships/hyperlink" Target="https://www.hometownsource.com/press_and_news/news/local/trilogy-stem-academy-roger-s-first-private-high-school/article_0a5436b6-3762-11ec-9b10-5738d2db8a1d.html" TargetMode="External"/><Relationship Id="rId284" Type="http://schemas.openxmlformats.org/officeDocument/2006/relationships/hyperlink" Target="https://www.christianpost.com/news/school-opening-in-ohio-church-to-be-a-model-of-affordability.html" TargetMode="External"/><Relationship Id="rId162" Type="http://schemas.openxmlformats.org/officeDocument/2006/relationships/hyperlink" Target="https://www.jpthegreatdenver.org/soon" TargetMode="External"/><Relationship Id="rId283" Type="http://schemas.openxmlformats.org/officeDocument/2006/relationships/hyperlink" Target="https://www.christianpost.com/news/school-opening-in-ohio-church-to-be-a-model-of-affordability.html" TargetMode="External"/><Relationship Id="rId169" Type="http://schemas.openxmlformats.org/officeDocument/2006/relationships/hyperlink" Target="https://www.spokanepublicradio.org/post/new-school-serve-autistic-students-spokane" TargetMode="External"/><Relationship Id="rId168" Type="http://schemas.openxmlformats.org/officeDocument/2006/relationships/hyperlink" Target="https://www.castgeorge.com/admissions/" TargetMode="External"/><Relationship Id="rId289" Type="http://schemas.openxmlformats.org/officeDocument/2006/relationships/hyperlink" Target="https://khadijahbintkhuwalidislamicstemacademygirls.org/" TargetMode="External"/><Relationship Id="rId167" Type="http://schemas.openxmlformats.org/officeDocument/2006/relationships/hyperlink" Target="https://www.castgeorge.com/" TargetMode="External"/><Relationship Id="rId288" Type="http://schemas.openxmlformats.org/officeDocument/2006/relationships/hyperlink" Target="https://ktvz.com/cnn-regional/2022/09/05/new-all-girl-muslim-stem-school-opens-in-germantown/" TargetMode="External"/><Relationship Id="rId166" Type="http://schemas.openxmlformats.org/officeDocument/2006/relationships/hyperlink" Target="https://www.mlive.com/news/jackson/2021/11/new-private-high-school-in-jackson-finds-home-in-wing-of-adult-care-facility.html" TargetMode="External"/><Relationship Id="rId287" Type="http://schemas.openxmlformats.org/officeDocument/2006/relationships/hyperlink" Target="https://www.huronclassical.com/" TargetMode="External"/><Relationship Id="rId161" Type="http://schemas.openxmlformats.org/officeDocument/2006/relationships/hyperlink" Target="https://www.jpthegreatdenver.org/" TargetMode="External"/><Relationship Id="rId282" Type="http://schemas.openxmlformats.org/officeDocument/2006/relationships/hyperlink" Target="https://columbusclassical.org/admissions.html" TargetMode="External"/><Relationship Id="rId160" Type="http://schemas.openxmlformats.org/officeDocument/2006/relationships/hyperlink" Target="https://denvercatholic.org/st-john-paul-the-great-introducing-denvers-newest-catholic-classical-high-school-open-house-oct-30/" TargetMode="External"/><Relationship Id="rId281" Type="http://schemas.openxmlformats.org/officeDocument/2006/relationships/hyperlink" Target="https://www.prnewswire.com/news-releases/local-parents-community-members-announce-plans-to-open-classical-k-12-private-school-in-columbus-ohio-301606977.html" TargetMode="External"/><Relationship Id="rId280" Type="http://schemas.openxmlformats.org/officeDocument/2006/relationships/hyperlink" Target="https://www.prnewswire.com/news-releases/local-parents-community-members-announce-plans-to-open-classical-k-12-private-school-in-columbus-ohio-301606977.html" TargetMode="External"/><Relationship Id="rId159" Type="http://schemas.openxmlformats.org/officeDocument/2006/relationships/hyperlink" Target="https://www.kaleidoscopeheights.org/tuition-and-fees" TargetMode="External"/><Relationship Id="rId154" Type="http://schemas.openxmlformats.org/officeDocument/2006/relationships/hyperlink" Target="https://www.simivalleyacorn.com/articles/kanye-west-reportedly-looking-to-open-school-between-simi-moorpark/" TargetMode="External"/><Relationship Id="rId275" Type="http://schemas.openxmlformats.org/officeDocument/2006/relationships/hyperlink" Target="https://www.wonderschoolmarfa.org/" TargetMode="External"/><Relationship Id="rId396" Type="http://schemas.openxmlformats.org/officeDocument/2006/relationships/hyperlink" Target="https://www.valorsandpoint.com/" TargetMode="External"/><Relationship Id="rId153" Type="http://schemas.openxmlformats.org/officeDocument/2006/relationships/hyperlink" Target="https://brooklyn.basisindependent.com/admissions/tuition-fees/" TargetMode="External"/><Relationship Id="rId274" Type="http://schemas.openxmlformats.org/officeDocument/2006/relationships/hyperlink" Target="https://www.hopeacademyok.org/apply-now" TargetMode="External"/><Relationship Id="rId395" Type="http://schemas.openxmlformats.org/officeDocument/2006/relationships/hyperlink" Target="https://www.sfchronicle.com/bayarea/article/private-freedom-school-opening-east-oakland-18273156.php" TargetMode="External"/><Relationship Id="rId152" Type="http://schemas.openxmlformats.org/officeDocument/2006/relationships/hyperlink" Target="https://blog.basisindependent.com/bklyn/lowerschoolcampusdesign" TargetMode="External"/><Relationship Id="rId273" Type="http://schemas.openxmlformats.org/officeDocument/2006/relationships/hyperlink" Target="https://www.duncanbanner.com/community/new-school-new-year-hope-academy-launches-aug-22/article_afb9c460-20a3-11ed-9521-3379edce571d.html" TargetMode="External"/><Relationship Id="rId394" Type="http://schemas.openxmlformats.org/officeDocument/2006/relationships/hyperlink" Target="https://homieshighschool.org/" TargetMode="External"/><Relationship Id="rId151" Type="http://schemas.openxmlformats.org/officeDocument/2006/relationships/hyperlink" Target="https://patch.com/new-york/brooklyn/classifieds/announcements/258982/basis-independent-schools-to-open-brooklyn-lower-school-campus" TargetMode="External"/><Relationship Id="rId272" Type="http://schemas.openxmlformats.org/officeDocument/2006/relationships/hyperlink" Target="https://www.duncanbanner.com/community/new-school-new-year-hope-academy-launches-aug-22/article_afb9c460-20a3-11ed-9521-3379edce571d.html" TargetMode="External"/><Relationship Id="rId393" Type="http://schemas.openxmlformats.org/officeDocument/2006/relationships/hyperlink" Target="https://www.patriotledger.com/story/news/2022/10/20/new-england-academy-expands-special-education-marshfield/10467699002/" TargetMode="External"/><Relationship Id="rId158" Type="http://schemas.openxmlformats.org/officeDocument/2006/relationships/hyperlink" Target="https://www.kaleidoscopeheights.org/" TargetMode="External"/><Relationship Id="rId279" Type="http://schemas.openxmlformats.org/officeDocument/2006/relationships/hyperlink" Target="https://img1.wsimg.com/blobby/go/181fe007-4c6f-41cd-8601-1f0192e81fe2/downloads/Brighter%20Days%20Academy%20Inc.%20Tuition%20Chart.pdf?ver=1661327547163" TargetMode="External"/><Relationship Id="rId157" Type="http://schemas.openxmlformats.org/officeDocument/2006/relationships/hyperlink" Target="https://www.wlbt.com/2021/10/01/kaleidoscope-heights-opens-fill-void-special-needs-students/" TargetMode="External"/><Relationship Id="rId278" Type="http://schemas.openxmlformats.org/officeDocument/2006/relationships/hyperlink" Target="https://www.rrdailyherald.com/news/local/brighter-days-academy-opens-in-scotland-neck/article_3ed65839-e268-554d-80a7-2d0a4ba44113.html" TargetMode="External"/><Relationship Id="rId399" Type="http://schemas.openxmlformats.org/officeDocument/2006/relationships/hyperlink" Target="https://www.peoplenewspapers.com/2023/10/16/new-dallas-private-school-celebrates-inauguration/" TargetMode="External"/><Relationship Id="rId156" Type="http://schemas.openxmlformats.org/officeDocument/2006/relationships/hyperlink" Target="https://www.prnewswire.com/news-releases/top-private-school-basis-independent-silicon-valley-to-open-new-lower-campus-fall-2022-301386394.html" TargetMode="External"/><Relationship Id="rId277" Type="http://schemas.openxmlformats.org/officeDocument/2006/relationships/hyperlink" Target="https://www.rrdailyherald.com/news/local/brighter-days-academy-opens-in-scotland-neck/article_3ed65839-e268-554d-80a7-2d0a4ba44113.html" TargetMode="External"/><Relationship Id="rId398" Type="http://schemas.openxmlformats.org/officeDocument/2006/relationships/hyperlink" Target="https://www.compassschooltx.org/" TargetMode="External"/><Relationship Id="rId155" Type="http://schemas.openxmlformats.org/officeDocument/2006/relationships/hyperlink" Target="https://donda.world/" TargetMode="External"/><Relationship Id="rId276" Type="http://schemas.openxmlformats.org/officeDocument/2006/relationships/hyperlink" Target="https://bigbendsentinel.com/2023/06/07/marfas-wonder-school-looks-back-on-inaugural-school-year/" TargetMode="External"/><Relationship Id="rId397" Type="http://schemas.openxmlformats.org/officeDocument/2006/relationships/hyperlink" Target="https://bonnercountydailybee.com/news/2023/oct/06/valor-christian-high-school-celebrates-grand-openi/" TargetMode="External"/><Relationship Id="rId40" Type="http://schemas.openxmlformats.org/officeDocument/2006/relationships/hyperlink" Target="https://communityimpact.com/dallas-fort-worth/mckinney/impacts/2021/01/26/new-mckinney-private-school-wont-require-algebra-or-calculus/" TargetMode="External"/><Relationship Id="rId42" Type="http://schemas.openxmlformats.org/officeDocument/2006/relationships/hyperlink" Target="https://beartownacademy.com/" TargetMode="External"/><Relationship Id="rId41" Type="http://schemas.openxmlformats.org/officeDocument/2006/relationships/hyperlink" Target="https://www.witn.com/2021/03/10/new-elementary-school-to-open-in-new-bern/" TargetMode="External"/><Relationship Id="rId44" Type="http://schemas.openxmlformats.org/officeDocument/2006/relationships/hyperlink" Target="https://www.chestertonstmarys.org/" TargetMode="External"/><Relationship Id="rId43" Type="http://schemas.openxmlformats.org/officeDocument/2006/relationships/hyperlink" Target="https://www.thebaynet.com/articles/0321/a-new-catholic-high-school-coming-to-st-marys-county.html" TargetMode="External"/><Relationship Id="rId46" Type="http://schemas.openxmlformats.org/officeDocument/2006/relationships/hyperlink" Target="https://www.pleasantonweekly.com/news/2021/03/29/new-middle-school-to-open-in-pleasanton-this-fall" TargetMode="External"/><Relationship Id="rId45" Type="http://schemas.openxmlformats.org/officeDocument/2006/relationships/hyperlink" Target="https://www.chestertonstmarys.org/" TargetMode="External"/><Relationship Id="rId509" Type="http://schemas.openxmlformats.org/officeDocument/2006/relationships/hyperlink" Target="http://www.pathfinderinstitutewv.com/" TargetMode="External"/><Relationship Id="rId508" Type="http://schemas.openxmlformats.org/officeDocument/2006/relationships/hyperlink" Target="https://www.catholicnewsagency.com/news/258799/a-catholic-k-4-school-for-low-income-students-opens-in-miami" TargetMode="External"/><Relationship Id="rId629" Type="http://schemas.openxmlformats.org/officeDocument/2006/relationships/hyperlink" Target="https://saintdominicrhs.org/faqs/" TargetMode="External"/><Relationship Id="rId503" Type="http://schemas.openxmlformats.org/officeDocument/2006/relationships/hyperlink" Target="https://www.adastraschool.org/admissions" TargetMode="External"/><Relationship Id="rId624" Type="http://schemas.openxmlformats.org/officeDocument/2006/relationships/hyperlink" Target="https://www.localprofile.com/sponsored-content/winter-spark-academy-a-premier-stem-school-opening-in-frisco-for-grades-pk-12-11363914" TargetMode="External"/><Relationship Id="rId745" Type="http://schemas.openxmlformats.org/officeDocument/2006/relationships/hyperlink" Target="https://www.wpbf.com/article/edna-w-runner-jupiter-florida-40-years-new-school/71899037" TargetMode="External"/><Relationship Id="rId502" Type="http://schemas.openxmlformats.org/officeDocument/2006/relationships/hyperlink" Target="https://observer.com/2024/08/elon-musk-opening-stem-private-school-texas/" TargetMode="External"/><Relationship Id="rId623" Type="http://schemas.openxmlformats.org/officeDocument/2006/relationships/hyperlink" Target="https://www.wintersparkacademy.com/" TargetMode="External"/><Relationship Id="rId744" Type="http://schemas.openxmlformats.org/officeDocument/2006/relationships/hyperlink" Target="https://www.wpbf.com/article/edna-w-runner-jupiter-florida-40-years-new-school/71899037" TargetMode="External"/><Relationship Id="rId501" Type="http://schemas.openxmlformats.org/officeDocument/2006/relationships/hyperlink" Target="https://www.adastraschool.org/" TargetMode="External"/><Relationship Id="rId622" Type="http://schemas.openxmlformats.org/officeDocument/2006/relationships/hyperlink" Target="https://www.nbcconnecticut.com/news/local/a-generational-contribution-archdiocese-plans-new-catholic-school-in-hartford/3649365/" TargetMode="External"/><Relationship Id="rId743" Type="http://schemas.openxmlformats.org/officeDocument/2006/relationships/hyperlink" Target="https://ewrunnerctr.org/school/" TargetMode="External"/><Relationship Id="rId500" Type="http://schemas.openxmlformats.org/officeDocument/2006/relationships/hyperlink" Target="https://www.bethanyclipper.com/headlines/christian-school-to-open-in-fall-at-kirkley-chapel/" TargetMode="External"/><Relationship Id="rId621" Type="http://schemas.openxmlformats.org/officeDocument/2006/relationships/hyperlink" Target="https://www.catholicacademyofhartford.org/" TargetMode="External"/><Relationship Id="rId742" Type="http://schemas.openxmlformats.org/officeDocument/2006/relationships/hyperlink" Target="https://www.wvnews.com/spencernews/faith-christian-academy-expands-to-walton-with-new-campus-opening-in-september/article_465cd004-173f-4bd1-a679-97198bc07223.html" TargetMode="External"/><Relationship Id="rId507" Type="http://schemas.openxmlformats.org/officeDocument/2006/relationships/hyperlink" Target="https://www.hernandosun.com/2024/08/09/parents-new-traditional-catholic-school-for-grades-k-12-is-opening-this-fall/" TargetMode="External"/><Relationship Id="rId628" Type="http://schemas.openxmlformats.org/officeDocument/2006/relationships/hyperlink" Target="https://saintdominicrhs.org/saint-dominic-regional-high-school-announces-new-downtown-lewiston-location-at-iconic-peck-building/" TargetMode="External"/><Relationship Id="rId506" Type="http://schemas.openxmlformats.org/officeDocument/2006/relationships/hyperlink" Target="https://www.shrineoffatima.com/olfacademy" TargetMode="External"/><Relationship Id="rId627" Type="http://schemas.openxmlformats.org/officeDocument/2006/relationships/hyperlink" Target="https://saintdominicrhs.org/" TargetMode="External"/><Relationship Id="rId505" Type="http://schemas.openxmlformats.org/officeDocument/2006/relationships/hyperlink" Target="https://www.waaytv.com/news/the-rock-church-to-open-new-k-12-private-school-on-former-butler-campus/article_ddf48bb4-5899-11ef-a0fd-4726863067cb.html" TargetMode="External"/><Relationship Id="rId626" Type="http://schemas.openxmlformats.org/officeDocument/2006/relationships/hyperlink" Target="https://www.post-gazette.com/news/education/2025/11/10/pittsburgh-catholic-schools-saint-cyril-north-side-academy/stories/202511100078" TargetMode="External"/><Relationship Id="rId504" Type="http://schemas.openxmlformats.org/officeDocument/2006/relationships/hyperlink" Target="https://khroyals.com/" TargetMode="External"/><Relationship Id="rId625" Type="http://schemas.openxmlformats.org/officeDocument/2006/relationships/hyperlink" Target="https://www.wintersparkacademy.com/blank-6" TargetMode="External"/><Relationship Id="rId746" Type="http://schemas.openxmlformats.org/officeDocument/2006/relationships/drawing" Target="../drawings/drawing4.xml"/><Relationship Id="rId48" Type="http://schemas.openxmlformats.org/officeDocument/2006/relationships/hyperlink" Target="https://www.actonacademysiouxfalls.org/" TargetMode="External"/><Relationship Id="rId47" Type="http://schemas.openxmlformats.org/officeDocument/2006/relationships/hyperlink" Target="https://www.keloland.com/news/education/new-acton-academy-private-school-opening-up-in-sioux-falls/" TargetMode="External"/><Relationship Id="rId49" Type="http://schemas.openxmlformats.org/officeDocument/2006/relationships/hyperlink" Target="https://www.actonacademysiouxfalls.org/faq" TargetMode="External"/><Relationship Id="rId620" Type="http://schemas.openxmlformats.org/officeDocument/2006/relationships/hyperlink" Target="https://www.jsonline.com/story/communities/north/2025/09/26/northshore-classical-academy-looks-to-open-in-ozaukee-county-in-2026/86206914007/" TargetMode="External"/><Relationship Id="rId741" Type="http://schemas.openxmlformats.org/officeDocument/2006/relationships/hyperlink" Target="https://www.swnews4u.com/local/new-christian-academy-planned-to-open-in-tennyson/" TargetMode="External"/><Relationship Id="rId740" Type="http://schemas.openxmlformats.org/officeDocument/2006/relationships/hyperlink" Target="https://www.metrowestdailynews.com/story/news/education/2026/03/13/masters-academy-international-open-house-stow-ma-prospective-student-athletes/89116502007/" TargetMode="External"/><Relationship Id="rId31" Type="http://schemas.openxmlformats.org/officeDocument/2006/relationships/hyperlink" Target="https://www.nj.com/news/2020/09/shuttered-nj-catholic-school-revived-as-private-academy-by-alumni-supporters.html" TargetMode="External"/><Relationship Id="rId30" Type="http://schemas.openxmlformats.org/officeDocument/2006/relationships/hyperlink" Target="https://www.stjosephacademy.com/" TargetMode="External"/><Relationship Id="rId33" Type="http://schemas.openxmlformats.org/officeDocument/2006/relationships/hyperlink" Target="https://www.actonacademylincoln.com/" TargetMode="External"/><Relationship Id="rId32" Type="http://schemas.openxmlformats.org/officeDocument/2006/relationships/hyperlink" Target="https://www.1011now.com/2020/09/22/new-school-opening-in-lincoln/" TargetMode="External"/><Relationship Id="rId35" Type="http://schemas.openxmlformats.org/officeDocument/2006/relationships/hyperlink" Target="https://fredericksburg.com/news/local/fredericksburg-approves-new-private-school-at-braehead-manor/article_b01bac14-f92a-500e-82c9-3a6fb35861dc.html" TargetMode="External"/><Relationship Id="rId34" Type="http://schemas.openxmlformats.org/officeDocument/2006/relationships/hyperlink" Target="https://www.actonacademylincoln.com/faq.html" TargetMode="External"/><Relationship Id="rId619" Type="http://schemas.openxmlformats.org/officeDocument/2006/relationships/hyperlink" Target="https://ncawi.org/" TargetMode="External"/><Relationship Id="rId618" Type="http://schemas.openxmlformats.org/officeDocument/2006/relationships/hyperlink" Target="https://jcitytimes.com/french-american-academy-opens-bilingual-high-school-in-jersey-city/" TargetMode="External"/><Relationship Id="rId739" Type="http://schemas.openxmlformats.org/officeDocument/2006/relationships/hyperlink" Target="https://www.bizjournals.com/boston/news/2026/07/09/private-school-former-bose-hq-incorporate-ai.html" TargetMode="External"/><Relationship Id="rId613" Type="http://schemas.openxmlformats.org/officeDocument/2006/relationships/hyperlink" Target="https://www.chestertonimmaculata.org/" TargetMode="External"/><Relationship Id="rId734" Type="http://schemas.openxmlformats.org/officeDocument/2006/relationships/hyperlink" Target="https://catholictimescolumbus.org/local/parish-exceeds-fundraising-goal-prepares-to-open-ave-maria-academy/" TargetMode="External"/><Relationship Id="rId612" Type="http://schemas.openxmlformats.org/officeDocument/2006/relationships/hyperlink" Target="https://www.palmbeachnow.com/wingrove-academy-announcement-palm-beach-county" TargetMode="External"/><Relationship Id="rId733" Type="http://schemas.openxmlformats.org/officeDocument/2006/relationships/hyperlink" Target="https://avemariaspsjoa.org/" TargetMode="External"/><Relationship Id="rId611" Type="http://schemas.openxmlformats.org/officeDocument/2006/relationships/hyperlink" Target="https://www.wingroveacademy.org/" TargetMode="External"/><Relationship Id="rId732" Type="http://schemas.openxmlformats.org/officeDocument/2006/relationships/hyperlink" Target="https://www.score-academy.com/admission/tuition" TargetMode="External"/><Relationship Id="rId610" Type="http://schemas.openxmlformats.org/officeDocument/2006/relationships/hyperlink" Target="https://www.forbes.academy/admissions/tuition" TargetMode="External"/><Relationship Id="rId731" Type="http://schemas.openxmlformats.org/officeDocument/2006/relationships/hyperlink" Target="https://finance.yahoo.com/small-business/articles/score-academy-opens-permanent-campus-140600235.html" TargetMode="External"/><Relationship Id="rId617" Type="http://schemas.openxmlformats.org/officeDocument/2006/relationships/hyperlink" Target="https://faacademy.org/campus/jersey-city-the-heights/" TargetMode="External"/><Relationship Id="rId738" Type="http://schemas.openxmlformats.org/officeDocument/2006/relationships/hyperlink" Target="https://www.mastersacademyinternational.com/" TargetMode="External"/><Relationship Id="rId616" Type="http://schemas.openxmlformats.org/officeDocument/2006/relationships/hyperlink" Target="https://www.thesheridanpress.com/news/local/new-private-school-opens-in-sheridan/article_a2629232-dc93-4b29-be30-bde8772c7493.html" TargetMode="External"/><Relationship Id="rId737" Type="http://schemas.openxmlformats.org/officeDocument/2006/relationships/hyperlink" Target="https://iobserve.org/2026/07/01/chesterton-academy-of-divine-mercy-plans-a-2027-launch/" TargetMode="External"/><Relationship Id="rId615" Type="http://schemas.openxmlformats.org/officeDocument/2006/relationships/hyperlink" Target="https://grovelearningcollective.org/" TargetMode="External"/><Relationship Id="rId736" Type="http://schemas.openxmlformats.org/officeDocument/2006/relationships/hyperlink" Target="https://iobserve.org/2026/07/01/chesterton-academy-of-divine-mercy-plans-a-2027-launch/" TargetMode="External"/><Relationship Id="rId614" Type="http://schemas.openxmlformats.org/officeDocument/2006/relationships/hyperlink" Target="https://www.yahoo.com/news/articles/co-ed-catholic-high-school-084538045.html" TargetMode="External"/><Relationship Id="rId735" Type="http://schemas.openxmlformats.org/officeDocument/2006/relationships/hyperlink" Target="https://www.chestertondivinemercy.org/" TargetMode="External"/><Relationship Id="rId37" Type="http://schemas.openxmlformats.org/officeDocument/2006/relationships/hyperlink" Target="https://bromptoncommunityschool.org/admissions-tuition/" TargetMode="External"/><Relationship Id="rId36" Type="http://schemas.openxmlformats.org/officeDocument/2006/relationships/hyperlink" Target="https://bromptoncommunityschool.org/" TargetMode="External"/><Relationship Id="rId39" Type="http://schemas.openxmlformats.org/officeDocument/2006/relationships/hyperlink" Target="https://therschool.org/" TargetMode="External"/><Relationship Id="rId38" Type="http://schemas.openxmlformats.org/officeDocument/2006/relationships/hyperlink" Target="https://communityimpact.com/dallas-fort-worth/mckinney/impacts/2021/01/26/new-mckinney-private-school-wont-require-algebra-or-calculus/" TargetMode="External"/><Relationship Id="rId730" Type="http://schemas.openxmlformats.org/officeDocument/2006/relationships/hyperlink" Target="https://www.score-academy.com/campuses/miami-dade" TargetMode="External"/><Relationship Id="rId20" Type="http://schemas.openxmlformats.org/officeDocument/2006/relationships/hyperlink" Target="https://gloriadeoacademy.org/tuition-fees/" TargetMode="External"/><Relationship Id="rId22" Type="http://schemas.openxmlformats.org/officeDocument/2006/relationships/hyperlink" Target="https://www.avenues.org/ht/" TargetMode="External"/><Relationship Id="rId21" Type="http://schemas.openxmlformats.org/officeDocument/2006/relationships/hyperlink" Target="https://www.businessinsider.com/nyc-private-school-opening-hamptons-avenues-2020-5" TargetMode="External"/><Relationship Id="rId24" Type="http://schemas.openxmlformats.org/officeDocument/2006/relationships/hyperlink" Target="https://www.wickedlocal.com/story/hingham-journal/2020/06/17/new-private-school-opens-in-hingham/42940191/" TargetMode="External"/><Relationship Id="rId23" Type="http://schemas.openxmlformats.org/officeDocument/2006/relationships/hyperlink" Target="https://www.businessinsider.com/nyc-private-school-opening-hamptons-avenues-2020-5" TargetMode="External"/><Relationship Id="rId409" Type="http://schemas.openxmlformats.org/officeDocument/2006/relationships/hyperlink" Target="https://www.tapinto.net/towns/coconut-creek/sections/education/articles/private-school-seeking-approval-for-location-on-coconut-creek-parkway" TargetMode="External"/><Relationship Id="rId404" Type="http://schemas.openxmlformats.org/officeDocument/2006/relationships/hyperlink" Target="https://thesouthernscoopnews.com/latest-news/new-jackson-county-private-school-to-begin-taking-applications-november-1" TargetMode="External"/><Relationship Id="rId525" Type="http://schemas.openxmlformats.org/officeDocument/2006/relationships/hyperlink" Target="https://saltandlightbaptist.org/school/" TargetMode="External"/><Relationship Id="rId646" Type="http://schemas.openxmlformats.org/officeDocument/2006/relationships/hyperlink" Target="https://www.elon.edu/u/roberts-academy/admissions/" TargetMode="External"/><Relationship Id="rId403" Type="http://schemas.openxmlformats.org/officeDocument/2006/relationships/hyperlink" Target="https://www.orangeobserver.com/news/2023/oct/18/new-christian-school-coming-to-west-orange-county/" TargetMode="External"/><Relationship Id="rId524" Type="http://schemas.openxmlformats.org/officeDocument/2006/relationships/hyperlink" Target="https://www.expressnews.com/hill-country/article/st-peter-boerne-catholic-church-school-19446930.php" TargetMode="External"/><Relationship Id="rId645" Type="http://schemas.openxmlformats.org/officeDocument/2006/relationships/hyperlink" Target="https://www.ednc.org/01-28-2026-elon-university-to-open-new-academy-for-students-with-dyslexia/" TargetMode="External"/><Relationship Id="rId402" Type="http://schemas.openxmlformats.org/officeDocument/2006/relationships/hyperlink" Target="https://www.wgcacademy.org/" TargetMode="External"/><Relationship Id="rId523" Type="http://schemas.openxmlformats.org/officeDocument/2006/relationships/hyperlink" Target="https://stpetersboerne.com/school-updates" TargetMode="External"/><Relationship Id="rId644" Type="http://schemas.openxmlformats.org/officeDocument/2006/relationships/hyperlink" Target="https://www.elon.edu/u/roberts-academy/" TargetMode="External"/><Relationship Id="rId401" Type="http://schemas.openxmlformats.org/officeDocument/2006/relationships/hyperlink" Target="https://www.newswire.com/news/nyc-s-acclaimed-green-ivy-international-schools-is-expanding-to-22152360" TargetMode="External"/><Relationship Id="rId522" Type="http://schemas.openxmlformats.org/officeDocument/2006/relationships/hyperlink" Target="https://www.kgun9.com/news/community-inspired-journalism/westside-news/san-xavier-mission-school-reopens-after-two-years-of-being-closed" TargetMode="External"/><Relationship Id="rId643" Type="http://schemas.openxmlformats.org/officeDocument/2006/relationships/hyperlink" Target="https://avemariaspsjoa.org/admissions/tuition-pricing/" TargetMode="External"/><Relationship Id="rId408" Type="http://schemas.openxmlformats.org/officeDocument/2006/relationships/hyperlink" Target="https://lunachristianacademy.com/" TargetMode="External"/><Relationship Id="rId529" Type="http://schemas.openxmlformats.org/officeDocument/2006/relationships/hyperlink" Target="https://www.bizjournals.com/birmingham/news/2024/10/16/new-school-to-open-in-birmingham-in-2025.html" TargetMode="External"/><Relationship Id="rId407" Type="http://schemas.openxmlformats.org/officeDocument/2006/relationships/hyperlink" Target="https://www.brightmontacademy.com/campuses/boca-raton-fl" TargetMode="External"/><Relationship Id="rId528" Type="http://schemas.openxmlformats.org/officeDocument/2006/relationships/hyperlink" Target="https://cowboystatedaily.com/2024/09/14/gillette-mothers-create-their-own-little-schoolhouse-on-the-wyoming-prairie/" TargetMode="External"/><Relationship Id="rId649" Type="http://schemas.openxmlformats.org/officeDocument/2006/relationships/hyperlink" Target="https://alpha.school/palo-alto/" TargetMode="External"/><Relationship Id="rId406" Type="http://schemas.openxmlformats.org/officeDocument/2006/relationships/hyperlink" Target="https://www.sun-sentinel.com/2023/10/23/a-new-k-12-private-school-is-opening-in-west-boca-its-first-in-florida-heres-when-and-where/" TargetMode="External"/><Relationship Id="rId527" Type="http://schemas.openxmlformats.org/officeDocument/2006/relationships/hyperlink" Target="https://www.homesteadlearning.org/" TargetMode="External"/><Relationship Id="rId648" Type="http://schemas.openxmlformats.org/officeDocument/2006/relationships/hyperlink" Target="https://sjcitizen.com/growing-congregation-unmet-demand-fuel-plan-for-new-st-johns-county-private-school/" TargetMode="External"/><Relationship Id="rId405" Type="http://schemas.openxmlformats.org/officeDocument/2006/relationships/hyperlink" Target="https://www.brightmontacademy.com/campuses/boca-raton-fl" TargetMode="External"/><Relationship Id="rId526" Type="http://schemas.openxmlformats.org/officeDocument/2006/relationships/hyperlink" Target="https://www2.cbn.com/news/us/church-launches-tuition-free-school-after-public-library-pushes-lgbt-books-pastors-daughter" TargetMode="External"/><Relationship Id="rId647" Type="http://schemas.openxmlformats.org/officeDocument/2006/relationships/hyperlink" Target="https://www.episcopalpv.com/" TargetMode="External"/><Relationship Id="rId26" Type="http://schemas.openxmlformats.org/officeDocument/2006/relationships/hyperlink" Target="https://www.fusionacademy.com/campuses/hingham/tuition/" TargetMode="External"/><Relationship Id="rId25" Type="http://schemas.openxmlformats.org/officeDocument/2006/relationships/hyperlink" Target="https://www.fusionacademy.com/campuses/hingham/" TargetMode="External"/><Relationship Id="rId28" Type="http://schemas.openxmlformats.org/officeDocument/2006/relationships/hyperlink" Target="https://sjncslancaster.org/" TargetMode="External"/><Relationship Id="rId27" Type="http://schemas.openxmlformats.org/officeDocument/2006/relationships/hyperlink" Target="https://www.fox43.com/article/news/local/lancaster-county/saint-john-neumann-catholic-school-will-open-in-lancaster-this-fall-replacing-saint-anne-catholic/521-49beec85-2f6b-408c-9787-e5d7d11f7c3d" TargetMode="External"/><Relationship Id="rId400" Type="http://schemas.openxmlformats.org/officeDocument/2006/relationships/hyperlink" Target="https://greenivy.com/our-schools/silicon-valley/" TargetMode="External"/><Relationship Id="rId521" Type="http://schemas.openxmlformats.org/officeDocument/2006/relationships/hyperlink" Target="https://news.diocesetucson.org/news/san-xavier-mission-school-is-open" TargetMode="External"/><Relationship Id="rId642" Type="http://schemas.openxmlformats.org/officeDocument/2006/relationships/hyperlink" Target="https://catholictimescolumbus.org/local/new-catholic-school-set-to-open-this-fall/" TargetMode="External"/><Relationship Id="rId29" Type="http://schemas.openxmlformats.org/officeDocument/2006/relationships/hyperlink" Target="https://sjncslancaster.org/admissions" TargetMode="External"/><Relationship Id="rId520" Type="http://schemas.openxmlformats.org/officeDocument/2006/relationships/hyperlink" Target="https://sanxaviermission.org/school" TargetMode="External"/><Relationship Id="rId641" Type="http://schemas.openxmlformats.org/officeDocument/2006/relationships/hyperlink" Target="https://avemariaspsjoa.org/" TargetMode="External"/><Relationship Id="rId640" Type="http://schemas.openxmlformats.org/officeDocument/2006/relationships/hyperlink" Target="https://grayroadchristian.org/index.html" TargetMode="External"/><Relationship Id="rId11" Type="http://schemas.openxmlformats.org/officeDocument/2006/relationships/hyperlink" Target="https://allsaintsnewhaven.org/admissions/tuition" TargetMode="External"/><Relationship Id="rId10" Type="http://schemas.openxmlformats.org/officeDocument/2006/relationships/hyperlink" Target="https://allsaintsnewhaven.org/" TargetMode="External"/><Relationship Id="rId13" Type="http://schemas.openxmlformats.org/officeDocument/2006/relationships/hyperlink" Target="https://chestertonacademyofnotredame.org/" TargetMode="External"/><Relationship Id="rId12" Type="http://schemas.openxmlformats.org/officeDocument/2006/relationships/hyperlink" Target="https://www.spokesman.com/stories/2020/may/12/new-catholic-high-school-to-open-in-downtown-spoka/" TargetMode="External"/><Relationship Id="rId519" Type="http://schemas.openxmlformats.org/officeDocument/2006/relationships/hyperlink" Target="https://emetclassicalacademy.org/tuition/" TargetMode="External"/><Relationship Id="rId514" Type="http://schemas.openxmlformats.org/officeDocument/2006/relationships/hyperlink" Target="https://www.chestertonsje.org/" TargetMode="External"/><Relationship Id="rId635" Type="http://schemas.openxmlformats.org/officeDocument/2006/relationships/hyperlink" Target="https://heritageacademyaz.com/elite-sports-academy/" TargetMode="External"/><Relationship Id="rId513" Type="http://schemas.openxmlformats.org/officeDocument/2006/relationships/hyperlink" Target="https://www.dakotanewsnow.com/2024/08/14/new-microschool-sioux-falls-looks-enroll-students-upcoming-school-year/" TargetMode="External"/><Relationship Id="rId634" Type="http://schemas.openxmlformats.org/officeDocument/2006/relationships/hyperlink" Target="https://elitesportsacademyaz.com/" TargetMode="External"/><Relationship Id="rId512" Type="http://schemas.openxmlformats.org/officeDocument/2006/relationships/hyperlink" Target="https://www.genesisacademy-sd.org/" TargetMode="External"/><Relationship Id="rId633" Type="http://schemas.openxmlformats.org/officeDocument/2006/relationships/hyperlink" Target="https://elitesportsacademyaz.com/" TargetMode="External"/><Relationship Id="rId511" Type="http://schemas.openxmlformats.org/officeDocument/2006/relationships/hyperlink" Target="https://www.wvnews.com/jacksonnews/schooling-options-expand-in-jackson-county/article_2e467c94-5a8e-11ef-a0fc-fb4551102946.html" TargetMode="External"/><Relationship Id="rId632" Type="http://schemas.openxmlformats.org/officeDocument/2006/relationships/hyperlink" Target="https://sssacademies.org/" TargetMode="External"/><Relationship Id="rId518" Type="http://schemas.openxmlformats.org/officeDocument/2006/relationships/hyperlink" Target="https://www.jpost.com/diaspora/article-816849" TargetMode="External"/><Relationship Id="rId639" Type="http://schemas.openxmlformats.org/officeDocument/2006/relationships/hyperlink" Target="https://grayroadchristian.org/" TargetMode="External"/><Relationship Id="rId517" Type="http://schemas.openxmlformats.org/officeDocument/2006/relationships/hyperlink" Target="https://emetclassicalacademy.org/" TargetMode="External"/><Relationship Id="rId638" Type="http://schemas.openxmlformats.org/officeDocument/2006/relationships/hyperlink" Target="https://chestertonschoolsnetwork.org/find-a-school" TargetMode="External"/><Relationship Id="rId516" Type="http://schemas.openxmlformats.org/officeDocument/2006/relationships/hyperlink" Target="https://www.chestertonsje.org/admissions/" TargetMode="External"/><Relationship Id="rId637" Type="http://schemas.openxmlformats.org/officeDocument/2006/relationships/hyperlink" Target="https://theorindanews.com/2026/01/27/new-private-catholic-high-school-could-open-at-santa-maria-this-fall/" TargetMode="External"/><Relationship Id="rId515" Type="http://schemas.openxmlformats.org/officeDocument/2006/relationships/hyperlink" Target="https://dailyprogress.com/news/local/education/catholic-focused-high-school-to-open-in-charlottesville/article_13a5d566-542a-11ef-889c-1fb13a720937.html" TargetMode="External"/><Relationship Id="rId636" Type="http://schemas.openxmlformats.org/officeDocument/2006/relationships/hyperlink" Target="https://www.castserra.com/" TargetMode="External"/><Relationship Id="rId15" Type="http://schemas.openxmlformats.org/officeDocument/2006/relationships/hyperlink" Target="https://www.prnewswire.com/news-releases/fairmont-schools-to-open-new-san-juan-capistrano-campus-301059547.html" TargetMode="External"/><Relationship Id="rId14" Type="http://schemas.openxmlformats.org/officeDocument/2006/relationships/hyperlink" Target="https://chestertonacademyofnotredame.org/admissions" TargetMode="External"/><Relationship Id="rId17" Type="http://schemas.openxmlformats.org/officeDocument/2006/relationships/hyperlink" Target="https://cdn.brandfolder.io/4N7CPF37/as/q05m7c-g0aw48-4bthtw/P12_Tuition__Fee_Information.pdf" TargetMode="External"/><Relationship Id="rId16" Type="http://schemas.openxmlformats.org/officeDocument/2006/relationships/hyperlink" Target="https://www.fairmontschools.com/campuses/san-juan-capistrano-campus/" TargetMode="External"/><Relationship Id="rId19" Type="http://schemas.openxmlformats.org/officeDocument/2006/relationships/hyperlink" Target="https://gloriadeoacademy.org/" TargetMode="External"/><Relationship Id="rId510" Type="http://schemas.openxmlformats.org/officeDocument/2006/relationships/hyperlink" Target="https://www.wvnews.com/jacksonnews/new-microschool-celebrates-with-ribbon-cutting/image_2baa812c-5db5-11ef-90ab-278fc4e82a52.html" TargetMode="External"/><Relationship Id="rId631" Type="http://schemas.openxmlformats.org/officeDocument/2006/relationships/hyperlink" Target="https://ktar.com/arizona-real-estate/financing-sports-academy-phx/5782280/" TargetMode="External"/><Relationship Id="rId18" Type="http://schemas.openxmlformats.org/officeDocument/2006/relationships/hyperlink" Target="https://www.koamnewsnow.com/new-school-opening-in-joplin-provides-unique-combination-of-private-and-homeschool-education/" TargetMode="External"/><Relationship Id="rId630" Type="http://schemas.openxmlformats.org/officeDocument/2006/relationships/hyperlink" Target="https://sssacademies.org/" TargetMode="External"/><Relationship Id="rId84" Type="http://schemas.openxmlformats.org/officeDocument/2006/relationships/hyperlink" Target="https://loudounnow.com/2021/06/10/evergreen-christian-high-school-eyes-fall-opening/" TargetMode="External"/><Relationship Id="rId83" Type="http://schemas.openxmlformats.org/officeDocument/2006/relationships/hyperlink" Target="https://teamyellow.org/yellowhab" TargetMode="External"/><Relationship Id="rId86" Type="http://schemas.openxmlformats.org/officeDocument/2006/relationships/hyperlink" Target="https://www.thecedarschool.org/" TargetMode="External"/><Relationship Id="rId85" Type="http://schemas.openxmlformats.org/officeDocument/2006/relationships/hyperlink" Target="https://www.greenwichtime.com/local/article/Cedar-School-to-join-educational-landscape-in-16241434.php" TargetMode="External"/><Relationship Id="rId88" Type="http://schemas.openxmlformats.org/officeDocument/2006/relationships/hyperlink" Target="https://shawneemissionpost.com/2021/06/28/shawnee-nazarene-academy-126016/" TargetMode="External"/><Relationship Id="rId87" Type="http://schemas.openxmlformats.org/officeDocument/2006/relationships/hyperlink" Target="https://www.thecedarschool.org/admissions/tuition-and-fees.cfm" TargetMode="External"/><Relationship Id="rId89" Type="http://schemas.openxmlformats.org/officeDocument/2006/relationships/hyperlink" Target="https://shawneenaz.org/shawnee-naz-academy" TargetMode="External"/><Relationship Id="rId709" Type="http://schemas.openxmlformats.org/officeDocument/2006/relationships/hyperlink" Target="https://www.popville.com/2026/06/new-private-school-opening-in-chinatown/" TargetMode="External"/><Relationship Id="rId708" Type="http://schemas.openxmlformats.org/officeDocument/2006/relationships/hyperlink" Target="https://dc.templetonacademy.org/?gad_source=1&amp;gad_campaignid=23822867013&amp;gbraid=0AAAABDlb6syNhc8KRbZFdKsX_Ji9LDIWO&amp;gclid=Cj0KCQjwof_QBhCgARIsADaMzOeDghdNVuKztPUSiAwOluLAoYidM36NamdLfag5t_uanNSatM1YYDEaAgbhEALw_wcB" TargetMode="External"/><Relationship Id="rId707" Type="http://schemas.openxmlformats.org/officeDocument/2006/relationships/hyperlink" Target="https://www.fusionacademy.com/campuses/warrington/tuition/" TargetMode="External"/><Relationship Id="rId706" Type="http://schemas.openxmlformats.org/officeDocument/2006/relationships/hyperlink" Target="https://www.buckscountyherald.com/community/education/new-alternative-school-opens-in-warrington/article_3b8f645a-7d4a-4387-a296-f964e5c3b303.html" TargetMode="External"/><Relationship Id="rId80" Type="http://schemas.openxmlformats.org/officeDocument/2006/relationships/hyperlink" Target="https://ktvo.com/news/local/new-christian-high-school-in-kirksville-hopes-for-big-changes-in-its-future" TargetMode="External"/><Relationship Id="rId82" Type="http://schemas.openxmlformats.org/officeDocument/2006/relationships/hyperlink" Target="https://www.pilotonline.com/news/education/vp-nw-pharrell-williams-yellowhab-school-20210607-hhyzrj6cmjg7pae4s77tqdl3ye-story.html" TargetMode="External"/><Relationship Id="rId81" Type="http://schemas.openxmlformats.org/officeDocument/2006/relationships/hyperlink" Target="https://www.northeastchs.com/admissions-standards/tuition-fees" TargetMode="External"/><Relationship Id="rId701" Type="http://schemas.openxmlformats.org/officeDocument/2006/relationships/hyperlink" Target="https://www.gwinnettdailypost.com/pressrelease/former-educator-and-mother-launches-l-e-middle-prep-academy-a-new-private-middle-school/article_888590c4-4aee-4404-9038-b3dd100415ba.html" TargetMode="External"/><Relationship Id="rId700" Type="http://schemas.openxmlformats.org/officeDocument/2006/relationships/hyperlink" Target="https://www.lemiddleprepacademy.com/" TargetMode="External"/><Relationship Id="rId705" Type="http://schemas.openxmlformats.org/officeDocument/2006/relationships/hyperlink" Target="https://www.fusionacademy.com/campuses/warrington/" TargetMode="External"/><Relationship Id="rId704" Type="http://schemas.openxmlformats.org/officeDocument/2006/relationships/hyperlink" Target="https://www.abridged.org/news/catholic-school-families-create/" TargetMode="External"/><Relationship Id="rId703" Type="http://schemas.openxmlformats.org/officeDocument/2006/relationships/hyperlink" Target="https://www.abridged.org/news/catholic-school-families-create/" TargetMode="External"/><Relationship Id="rId702" Type="http://schemas.openxmlformats.org/officeDocument/2006/relationships/hyperlink" Target="https://alphonsegallegosacademy.org/" TargetMode="External"/><Relationship Id="rId73" Type="http://schemas.openxmlformats.org/officeDocument/2006/relationships/hyperlink" Target="https://in.chalkbeat.org/2021/6/1/22463572/vouchers-virtual-private-schools-indiana" TargetMode="External"/><Relationship Id="rId72" Type="http://schemas.openxmlformats.org/officeDocument/2006/relationships/hyperlink" Target="https://in.chalkbeat.org/2021/6/1/22463572/vouchers-virtual-private-schools-indiana" TargetMode="External"/><Relationship Id="rId75" Type="http://schemas.openxmlformats.org/officeDocument/2006/relationships/hyperlink" Target="https://www.patriotledger.com/story/news/2021/06/01/first-all-new-catholic-secondary-school-half-century-open/5287812001/" TargetMode="External"/><Relationship Id="rId74" Type="http://schemas.openxmlformats.org/officeDocument/2006/relationships/hyperlink" Target="https://www.in.gov/sboe/files/geo-focus-academy-seeking-accreditation-summary.docx.pdf" TargetMode="External"/><Relationship Id="rId77" Type="http://schemas.openxmlformats.org/officeDocument/2006/relationships/hyperlink" Target="https://lynnjournal.com/2021/06/02/jean-charles-academy-an-accessible-dual-language-private-school-to-open-in-lynn/" TargetMode="External"/><Relationship Id="rId76" Type="http://schemas.openxmlformats.org/officeDocument/2006/relationships/hyperlink" Target="https://lumenverumacademy.org/" TargetMode="External"/><Relationship Id="rId79" Type="http://schemas.openxmlformats.org/officeDocument/2006/relationships/hyperlink" Target="https://www.jeancharlesacademy.org/faqs" TargetMode="External"/><Relationship Id="rId78" Type="http://schemas.openxmlformats.org/officeDocument/2006/relationships/hyperlink" Target="https://www.jeancharlesacademy.org/faqs" TargetMode="External"/><Relationship Id="rId71" Type="http://schemas.openxmlformats.org/officeDocument/2006/relationships/hyperlink" Target="https://in.chalkbeat.org/2021/6/1/22463572/vouchers-virtual-private-schools-indiana" TargetMode="External"/><Relationship Id="rId70" Type="http://schemas.openxmlformats.org/officeDocument/2006/relationships/hyperlink" Target="https://in.chalkbeat.org/2021/6/1/22463572/vouchers-virtual-private-schools-indiana" TargetMode="External"/><Relationship Id="rId62" Type="http://schemas.openxmlformats.org/officeDocument/2006/relationships/hyperlink" Target="https://www.tapinto.net/towns/soma/sections/education/articles/parents-to-launch-south-orange-maplewood-s-first-independent-elementary-school" TargetMode="External"/><Relationship Id="rId61" Type="http://schemas.openxmlformats.org/officeDocument/2006/relationships/hyperlink" Target="https://www.thalesacademy.org/" TargetMode="External"/><Relationship Id="rId64" Type="http://schemas.openxmlformats.org/officeDocument/2006/relationships/hyperlink" Target="https://villageschoolsouthorange.org/admission" TargetMode="External"/><Relationship Id="rId63" Type="http://schemas.openxmlformats.org/officeDocument/2006/relationships/hyperlink" Target="https://villageschoolsouthorange.org/" TargetMode="External"/><Relationship Id="rId66" Type="http://schemas.openxmlformats.org/officeDocument/2006/relationships/hyperlink" Target="https://diopitt.org/news/new-names-announced-for-newly-merged-catholic-schools" TargetMode="External"/><Relationship Id="rId65" Type="http://schemas.openxmlformats.org/officeDocument/2006/relationships/hyperlink" Target="https://motherofmercyacademy.org/" TargetMode="External"/><Relationship Id="rId68" Type="http://schemas.openxmlformats.org/officeDocument/2006/relationships/hyperlink" Target="https://www.littlehelementary.com/" TargetMode="External"/><Relationship Id="rId67" Type="http://schemas.openxmlformats.org/officeDocument/2006/relationships/hyperlink" Target="https://www.hmbreview.com/news/lazy-h-ranch-opens-new-private-school/article_02feb0ec-be38-11eb-9aa0-c32a40f6cf51.html" TargetMode="External"/><Relationship Id="rId609" Type="http://schemas.openxmlformats.org/officeDocument/2006/relationships/hyperlink" Target="https://communityimpact.com/austin/georgetown/education/2025/08/20/forbes-academy-coming-soon-to-georgetown/" TargetMode="External"/><Relationship Id="rId608" Type="http://schemas.openxmlformats.org/officeDocument/2006/relationships/hyperlink" Target="https://www.forbes.academy/" TargetMode="External"/><Relationship Id="rId729" Type="http://schemas.openxmlformats.org/officeDocument/2006/relationships/hyperlink" Target="https://thecitizen.com/2026/06/25/better-green-academy-to-celebrate-grand-opening-in-fayetteville/" TargetMode="External"/><Relationship Id="rId607" Type="http://schemas.openxmlformats.org/officeDocument/2006/relationships/hyperlink" Target="https://hc-academy.org/tuition-breakdown/" TargetMode="External"/><Relationship Id="rId728" Type="http://schemas.openxmlformats.org/officeDocument/2006/relationships/hyperlink" Target="https://www.bettergreenacademyinc.com/" TargetMode="External"/><Relationship Id="rId60" Type="http://schemas.openxmlformats.org/officeDocument/2006/relationships/hyperlink" Target="https://www.thalesacademy.org/" TargetMode="External"/><Relationship Id="rId602" Type="http://schemas.openxmlformats.org/officeDocument/2006/relationships/hyperlink" Target="https://www.hundredhillsschool.org/admissions" TargetMode="External"/><Relationship Id="rId723" Type="http://schemas.openxmlformats.org/officeDocument/2006/relationships/hyperlink" Target="https://ormenachemnj.com/" TargetMode="External"/><Relationship Id="rId601" Type="http://schemas.openxmlformats.org/officeDocument/2006/relationships/hyperlink" Target="https://santaynezvalleystar.com/new-waldorf-school-opening-this-fall-in-buellton/" TargetMode="External"/><Relationship Id="rId722" Type="http://schemas.openxmlformats.org/officeDocument/2006/relationships/hyperlink" Target="https://www.idahoednews.org/news/new-rigby-private-school-makes-farm-chores-part-of-the-school-day/" TargetMode="External"/><Relationship Id="rId600" Type="http://schemas.openxmlformats.org/officeDocument/2006/relationships/hyperlink" Target="https://www.hundredhillsschool.org/" TargetMode="External"/><Relationship Id="rId721" Type="http://schemas.openxmlformats.org/officeDocument/2006/relationships/hyperlink" Target="https://www.idahoednews.org/news/new-rigby-private-school-makes-farm-chores-part-of-the-school-day/" TargetMode="External"/><Relationship Id="rId720" Type="http://schemas.openxmlformats.org/officeDocument/2006/relationships/hyperlink" Target="https://rootedmeadowsschool.org/" TargetMode="External"/><Relationship Id="rId606" Type="http://schemas.openxmlformats.org/officeDocument/2006/relationships/hyperlink" Target="https://www.wkyt.com/2025/08/20/new-ukrainian-private-christian-school-opens-lexington-area/" TargetMode="External"/><Relationship Id="rId727" Type="http://schemas.openxmlformats.org/officeDocument/2006/relationships/hyperlink" Target="https://spearswms.com/education/the-new-york-private-school-where-students-graduate-as-millionaires-or-get-their-money-back/" TargetMode="External"/><Relationship Id="rId605" Type="http://schemas.openxmlformats.org/officeDocument/2006/relationships/hyperlink" Target="https://hc-academy.org/" TargetMode="External"/><Relationship Id="rId726" Type="http://schemas.openxmlformats.org/officeDocument/2006/relationships/hyperlink" Target="https://spearswms.com/education/the-new-york-private-school-where-students-graduate-as-millionaires-or-get-their-money-back/" TargetMode="External"/><Relationship Id="rId604" Type="http://schemas.openxmlformats.org/officeDocument/2006/relationships/hyperlink" Target="https://www.3newsnow.com/northwest-omaha/omaha-christian-high-school-on-track-for-september-opening" TargetMode="External"/><Relationship Id="rId725" Type="http://schemas.openxmlformats.org/officeDocument/2006/relationships/hyperlink" Target="https://founders.school/" TargetMode="External"/><Relationship Id="rId603" Type="http://schemas.openxmlformats.org/officeDocument/2006/relationships/hyperlink" Target="https://omahachristianhighschool.org/" TargetMode="External"/><Relationship Id="rId724" Type="http://schemas.openxmlformats.org/officeDocument/2006/relationships/hyperlink" Target="https://collive.com/new-chabad-school-to-open-in-hillside-nj/" TargetMode="External"/><Relationship Id="rId69" Type="http://schemas.openxmlformats.org/officeDocument/2006/relationships/hyperlink" Target="https://www.littlehelementary.com/schedule-and-tuition" TargetMode="External"/><Relationship Id="rId51" Type="http://schemas.openxmlformats.org/officeDocument/2006/relationships/hyperlink" Target="https://www.cbs17.com/news/local-news/thales-academy-to-open-1-new-campus-a-year-earlier-than-expected-heres-where/" TargetMode="External"/><Relationship Id="rId50" Type="http://schemas.openxmlformats.org/officeDocument/2006/relationships/hyperlink" Target="https://www.facebook.com/FlowersPlantationNC/posts/its-official-thales-academy-is-coming-to-flowers-plantation-slated-to-open-july-/4191352904216730/" TargetMode="External"/><Relationship Id="rId53" Type="http://schemas.openxmlformats.org/officeDocument/2006/relationships/hyperlink" Target="https://alexandrialivingmagazine.com/private-school-the-linder-academy-to-open-in-old-town/" TargetMode="External"/><Relationship Id="rId52" Type="http://schemas.openxmlformats.org/officeDocument/2006/relationships/hyperlink" Target="https://www.thalesacademy.org/admissions/tuition-information" TargetMode="External"/><Relationship Id="rId55" Type="http://schemas.openxmlformats.org/officeDocument/2006/relationships/hyperlink" Target="https://www.thelinderacademy.com/faqs" TargetMode="External"/><Relationship Id="rId54" Type="http://schemas.openxmlformats.org/officeDocument/2006/relationships/hyperlink" Target="https://www.thelinderacademy.com/" TargetMode="External"/><Relationship Id="rId57" Type="http://schemas.openxmlformats.org/officeDocument/2006/relationships/hyperlink" Target="https://www.capstonechristian.com/" TargetMode="External"/><Relationship Id="rId56" Type="http://schemas.openxmlformats.org/officeDocument/2006/relationships/hyperlink" Target="https://www.reviewjournal.com/local/education/christian-school-plans-ivy-league-flavor-campus-in-southeast-valley-2326430/" TargetMode="External"/><Relationship Id="rId719" Type="http://schemas.openxmlformats.org/officeDocument/2006/relationships/hyperlink" Target="https://www.news4jax.com/news/local/2026/06/09/outreach-education-breaks-ground-on-kingsminster-k-8-school-in-ponte-vedra-scheduled-to-open-august-2027/" TargetMode="External"/><Relationship Id="rId718" Type="http://schemas.openxmlformats.org/officeDocument/2006/relationships/hyperlink" Target="https://www.news4jax.com/news/local/2026/06/09/outreach-education-breaks-ground-on-kingsminster-k-8-school-in-ponte-vedra-scheduled-to-open-august-2027/" TargetMode="External"/><Relationship Id="rId717" Type="http://schemas.openxmlformats.org/officeDocument/2006/relationships/hyperlink" Target="https://kingsminsterpv.com/" TargetMode="External"/><Relationship Id="rId712" Type="http://schemas.openxmlformats.org/officeDocument/2006/relationships/hyperlink" Target="https://www.aol.com/articles/stephen-ross-donation-brings-exclusive-224423000.html" TargetMode="External"/><Relationship Id="rId711" Type="http://schemas.openxmlformats.org/officeDocument/2006/relationships/hyperlink" Target="https://www.pinecrest.edu/" TargetMode="External"/><Relationship Id="rId710" Type="http://schemas.openxmlformats.org/officeDocument/2006/relationships/hyperlink" Target="https://dc.templetonacademy.org/admissions/tuition-financial-aid/" TargetMode="External"/><Relationship Id="rId716" Type="http://schemas.openxmlformats.org/officeDocument/2006/relationships/hyperlink" Target="https://azluminaria.org/2026/06/05/tucson-school-for-the-blind-opens-in-august-aims-to-fill-gap-after-asdb-closure/" TargetMode="External"/><Relationship Id="rId715" Type="http://schemas.openxmlformats.org/officeDocument/2006/relationships/hyperlink" Target="https://www.tmj4.com/news/local-news/in-your-community/racine-county/volunteers-help-prepare-a-historic-racine-school-for-its-second-life-as-a-new-sonnenberg-schools-location" TargetMode="External"/><Relationship Id="rId714" Type="http://schemas.openxmlformats.org/officeDocument/2006/relationships/hyperlink" Target="https://www.sonnenbergschools.org/" TargetMode="External"/><Relationship Id="rId713" Type="http://schemas.openxmlformats.org/officeDocument/2006/relationships/hyperlink" Target="https://www.pinecrest.edu/admissions/tuition-fees-and-aid/tuition-and-fees" TargetMode="External"/><Relationship Id="rId59" Type="http://schemas.openxmlformats.org/officeDocument/2006/relationships/hyperlink" Target="https://greenvillejournal.com/education/thales-academy-to-open-greenville-location-in-hartness-community/" TargetMode="External"/><Relationship Id="rId58" Type="http://schemas.openxmlformats.org/officeDocument/2006/relationships/hyperlink" Target="https://www.capstonechristian.com/requesttuition" TargetMode="External"/><Relationship Id="rId590" Type="http://schemas.openxmlformats.org/officeDocument/2006/relationships/hyperlink" Target="https://www.thewilsonspot.org/s-projects-side-by-side" TargetMode="External"/><Relationship Id="rId107" Type="http://schemas.openxmlformats.org/officeDocument/2006/relationships/hyperlink" Target="https://www.themontessorischool.net/" TargetMode="External"/><Relationship Id="rId228" Type="http://schemas.openxmlformats.org/officeDocument/2006/relationships/hyperlink" Target="https://basilicaschoolkeywest.com/2022/03/the-basilica-school-to-expand-to-high-school/" TargetMode="External"/><Relationship Id="rId349" Type="http://schemas.openxmlformats.org/officeDocument/2006/relationships/hyperlink" Target="https://www.cityonahillwv.org/" TargetMode="External"/><Relationship Id="rId106" Type="http://schemas.openxmlformats.org/officeDocument/2006/relationships/hyperlink" Target="https://www.timesfreepress.com/news/local/story/2021/jul/25/two-new-montessori-schools-open-chattanoogare/550975/" TargetMode="External"/><Relationship Id="rId227" Type="http://schemas.openxmlformats.org/officeDocument/2006/relationships/hyperlink" Target="https://basilicaschoolkeywest.com/2022/03/the-basilica-school-to-expand-to-high-school/" TargetMode="External"/><Relationship Id="rId348" Type="http://schemas.openxmlformats.org/officeDocument/2006/relationships/hyperlink" Target="https://www.restonnow.com/2023/06/14/new-private-elementary-school-for-muslim-youth-opening-in-reston/" TargetMode="External"/><Relationship Id="rId469" Type="http://schemas.openxmlformats.org/officeDocument/2006/relationships/hyperlink" Target="https://www.houstonchronicle.com/neighborhood/woodlands/article/woodlands-forest-school-campus-19482097.php" TargetMode="External"/><Relationship Id="rId105" Type="http://schemas.openxmlformats.org/officeDocument/2006/relationships/hyperlink" Target="https://prairiesongacademy.com/enrollment/tuition/" TargetMode="External"/><Relationship Id="rId226" Type="http://schemas.openxmlformats.org/officeDocument/2006/relationships/hyperlink" Target="https://chrysostomacademy.org/admission/tuition-fee-schedule/" TargetMode="External"/><Relationship Id="rId347" Type="http://schemas.openxmlformats.org/officeDocument/2006/relationships/hyperlink" Target="https://noblegardenacademy.org/" TargetMode="External"/><Relationship Id="rId468" Type="http://schemas.openxmlformats.org/officeDocument/2006/relationships/hyperlink" Target="https://woodlandsforest.school/" TargetMode="External"/><Relationship Id="rId589" Type="http://schemas.openxmlformats.org/officeDocument/2006/relationships/hyperlink" Target="https://www.eleanorroseeducation.org/tuition-and-fees" TargetMode="External"/><Relationship Id="rId104" Type="http://schemas.openxmlformats.org/officeDocument/2006/relationships/hyperlink" Target="https://prairiesongacademy.com/" TargetMode="External"/><Relationship Id="rId225" Type="http://schemas.openxmlformats.org/officeDocument/2006/relationships/hyperlink" Target="https://www.wfmz.com/news/area/lehighvalley/st-john-chrysostom-orthodox-school-to-open-this-fall-at-monocacy-manor-in-bethlehem/article_1d9254d8-aac6-11ec-a176-d3b54451e79d.html" TargetMode="External"/><Relationship Id="rId346" Type="http://schemas.openxmlformats.org/officeDocument/2006/relationships/hyperlink" Target="https://southshorestars.org/new-school/" TargetMode="External"/><Relationship Id="rId467" Type="http://schemas.openxmlformats.org/officeDocument/2006/relationships/hyperlink" Target="https://www.sfchronicle.com/sf/article/new-catholic-high-school-19472565.php" TargetMode="External"/><Relationship Id="rId588" Type="http://schemas.openxmlformats.org/officeDocument/2006/relationships/hyperlink" Target="https://www.eleanorroseeducation.org/" TargetMode="External"/><Relationship Id="rId109" Type="http://schemas.openxmlformats.org/officeDocument/2006/relationships/hyperlink" Target="https://www.stardem.com/news/tuition-free-private-school-opening-in-easton/article_c7d28f7f-b185-53e1-a416-fa3b051519b8.html" TargetMode="External"/><Relationship Id="rId108" Type="http://schemas.openxmlformats.org/officeDocument/2006/relationships/hyperlink" Target="https://www.themontessorischool.net/tuition-terms/" TargetMode="External"/><Relationship Id="rId229" Type="http://schemas.openxmlformats.org/officeDocument/2006/relationships/hyperlink" Target="https://www.localmemphis.com/article/news/education/memphis-tennessee-academy-health-sciences-i3-charter-school/522-2dd90604-b503-4b77-ba6b-eacbadb6514a" TargetMode="External"/><Relationship Id="rId220" Type="http://schemas.openxmlformats.org/officeDocument/2006/relationships/hyperlink" Target="https://swvatoday.com/community/article_25d7c574-a48b-11ec-ac56-c3358c5cd3c9.html" TargetMode="External"/><Relationship Id="rId341" Type="http://schemas.openxmlformats.org/officeDocument/2006/relationships/hyperlink" Target="http://www.abilene-rc.com/news/christian-school-opening-for-2023-2024-school-year/article_5c2a2750-f590-11ed-8c99-ab0185238129.html" TargetMode="External"/><Relationship Id="rId462" Type="http://schemas.openxmlformats.org/officeDocument/2006/relationships/hyperlink" Target="https://www.schoolhouseacademy.net/admissions" TargetMode="External"/><Relationship Id="rId583" Type="http://schemas.openxmlformats.org/officeDocument/2006/relationships/hyperlink" Target="https://americanvirtualacademy.com/" TargetMode="External"/><Relationship Id="rId340" Type="http://schemas.openxmlformats.org/officeDocument/2006/relationships/hyperlink" Target="https://www.montessori.earth/about-tuition" TargetMode="External"/><Relationship Id="rId461" Type="http://schemas.openxmlformats.org/officeDocument/2006/relationships/hyperlink" Target="https://www.wiltonbulletin.com/news/article/wilton-school-our-lady-fatima-schoolhouse-academy-18109873.php" TargetMode="External"/><Relationship Id="rId582" Type="http://schemas.openxmlformats.org/officeDocument/2006/relationships/hyperlink" Target="https://www.wccbcharlotte.com/2025/07/16/ai-powered-private-school-opening-in-charlotte/" TargetMode="External"/><Relationship Id="rId460" Type="http://schemas.openxmlformats.org/officeDocument/2006/relationships/hyperlink" Target="https://www.schoolhouseacademy.net/" TargetMode="External"/><Relationship Id="rId581" Type="http://schemas.openxmlformats.org/officeDocument/2006/relationships/hyperlink" Target="https://alpha.school/charlotte/" TargetMode="External"/><Relationship Id="rId580" Type="http://schemas.openxmlformats.org/officeDocument/2006/relationships/hyperlink" Target="https://www.unionprogress.com/2025/07/15/completing-a-dream-west-mifflin-private-school-to-open-this-fall/" TargetMode="External"/><Relationship Id="rId103" Type="http://schemas.openxmlformats.org/officeDocument/2006/relationships/hyperlink" Target="https://www.kirksvilledailyexpress.com/story/news/2021/07/07/prairie-song-academy-montessori-based-school-opening-kirksville-year/7842192002/" TargetMode="External"/><Relationship Id="rId224" Type="http://schemas.openxmlformats.org/officeDocument/2006/relationships/hyperlink" Target="https://muprep.k12.com/resources/general-faqs.html" TargetMode="External"/><Relationship Id="rId345" Type="http://schemas.openxmlformats.org/officeDocument/2006/relationships/hyperlink" Target="https://southshorestars.org/south-shore-stars-to-launch-school-for-students-with-dyslexia-and-other-language-based-learning-differences/" TargetMode="External"/><Relationship Id="rId466" Type="http://schemas.openxmlformats.org/officeDocument/2006/relationships/hyperlink" Target="https://www.nativityhs.org/" TargetMode="External"/><Relationship Id="rId587" Type="http://schemas.openxmlformats.org/officeDocument/2006/relationships/hyperlink" Target="https://www.eleanorroseeducation.org/tuition-and-fees" TargetMode="External"/><Relationship Id="rId102" Type="http://schemas.openxmlformats.org/officeDocument/2006/relationships/hyperlink" Target="https://www.sienaacademy.org/faqs" TargetMode="External"/><Relationship Id="rId223" Type="http://schemas.openxmlformats.org/officeDocument/2006/relationships/hyperlink" Target="https://muprep.k12.com/" TargetMode="External"/><Relationship Id="rId344" Type="http://schemas.openxmlformats.org/officeDocument/2006/relationships/hyperlink" Target="https://www.patriotledger.com/story/news/2023/05/22/weymouth-ma-south-shore-stars-dyslexia-new-school/70223228007/" TargetMode="External"/><Relationship Id="rId465" Type="http://schemas.openxmlformats.org/officeDocument/2006/relationships/hyperlink" Target="https://sbcacademy.org/tuition-and-fees/" TargetMode="External"/><Relationship Id="rId586" Type="http://schemas.openxmlformats.org/officeDocument/2006/relationships/hyperlink" Target="https://www.eleanorroseeducation.org/" TargetMode="External"/><Relationship Id="rId101" Type="http://schemas.openxmlformats.org/officeDocument/2006/relationships/hyperlink" Target="https://www.sienaacademy.org/" TargetMode="External"/><Relationship Id="rId222" Type="http://schemas.openxmlformats.org/officeDocument/2006/relationships/hyperlink" Target="https://www.businesswire.com/news/home/20220322005224/en/Marian-University-Launches-New-K-12-Private-School-Offers-Flexible-Faith-Based-Learning-Across-Indiana" TargetMode="External"/><Relationship Id="rId343" Type="http://schemas.openxmlformats.org/officeDocument/2006/relationships/hyperlink" Target="https://bonnercountydailybee.com/news/2023/may/18/valor-high-school-set-open/" TargetMode="External"/><Relationship Id="rId464" Type="http://schemas.openxmlformats.org/officeDocument/2006/relationships/hyperlink" Target="https://www.journal-news.net/journal-news/south-berkeley-baptist-church-announces-new-school-for-2024-2025-school-year-and-open-house/article_7755a42e-b671-5c9c-b4a1-a93dbfffa9b2.html" TargetMode="External"/><Relationship Id="rId585" Type="http://schemas.openxmlformats.org/officeDocument/2006/relationships/hyperlink" Target="https://americanvirtualacademy.com/enrollment/tuition-fees/" TargetMode="External"/><Relationship Id="rId100" Type="http://schemas.openxmlformats.org/officeDocument/2006/relationships/hyperlink" Target="https://www.wwnytv.com/2021/06/23/canton-sees-return-catholic-elementary-education/" TargetMode="External"/><Relationship Id="rId221" Type="http://schemas.openxmlformats.org/officeDocument/2006/relationships/hyperlink" Target="https://swvatoday.com/community/article_25d7c574-a48b-11ec-ac56-c3358c5cd3c9.html" TargetMode="External"/><Relationship Id="rId342" Type="http://schemas.openxmlformats.org/officeDocument/2006/relationships/hyperlink" Target="http://valorsandpoint.com/" TargetMode="External"/><Relationship Id="rId463" Type="http://schemas.openxmlformats.org/officeDocument/2006/relationships/hyperlink" Target="https://sbcacademy.org/" TargetMode="External"/><Relationship Id="rId584" Type="http://schemas.openxmlformats.org/officeDocument/2006/relationships/hyperlink" Target="https://www.foxnews.com/media/k-12-private-school-focuses-promoting-american-principles-eliminating-woke-ideology" TargetMode="External"/><Relationship Id="rId217" Type="http://schemas.openxmlformats.org/officeDocument/2006/relationships/hyperlink" Target="https://www.prnewswire.com/news-releases/fusion-academy-opening-four-new-schools-this-spring-301502154.html" TargetMode="External"/><Relationship Id="rId338" Type="http://schemas.openxmlformats.org/officeDocument/2006/relationships/hyperlink" Target="https://www.montessori.earth/" TargetMode="External"/><Relationship Id="rId459" Type="http://schemas.openxmlformats.org/officeDocument/2006/relationships/hyperlink" Target="https://www.centraloregondaily.com/news/local/bend-catholic-school-chesterton-academy-mater-dei/article_eaefbaaa-0c31-11ef-ad71-c322fa71e7fe.html" TargetMode="External"/><Relationship Id="rId216" Type="http://schemas.openxmlformats.org/officeDocument/2006/relationships/hyperlink" Target="https://www.fusionacademy.com/campuses/franklin/tuition/" TargetMode="External"/><Relationship Id="rId337" Type="http://schemas.openxmlformats.org/officeDocument/2006/relationships/hyperlink" Target="https://www.wane.com/news/local-news/emmanuel-christian-school-set-to-open-for-2023-2024-school-year/" TargetMode="External"/><Relationship Id="rId458" Type="http://schemas.openxmlformats.org/officeDocument/2006/relationships/hyperlink" Target="https://www.bendbulletin.com/localstate/catholic-high-school-to-open-in-central-oregon-in-fall-2025/article_dc6447fa-114d-11ef-96ab-23f45236bcfa.html" TargetMode="External"/><Relationship Id="rId579" Type="http://schemas.openxmlformats.org/officeDocument/2006/relationships/hyperlink" Target="https://mytjba.org/" TargetMode="External"/><Relationship Id="rId215" Type="http://schemas.openxmlformats.org/officeDocument/2006/relationships/hyperlink" Target="https://www.fusionacademy.com/campuses/franklin/" TargetMode="External"/><Relationship Id="rId336" Type="http://schemas.openxmlformats.org/officeDocument/2006/relationships/hyperlink" Target="https://www.sanclementetimes.com/longtime-teacher-looks-to-open-new-private-school-in-south-oc/" TargetMode="External"/><Relationship Id="rId457" Type="http://schemas.openxmlformats.org/officeDocument/2006/relationships/hyperlink" Target="https://chestertonmaterdei.org/" TargetMode="External"/><Relationship Id="rId578" Type="http://schemas.openxmlformats.org/officeDocument/2006/relationships/hyperlink" Target="https://www.prnewswire.com/news-releases/alpha-school-opens-in-manhattan-revolutionizing-education-with-accelerated-learning-and-essential-life-skills-to-prepare-students-for-real-world-success-302477703.html" TargetMode="External"/><Relationship Id="rId699" Type="http://schemas.openxmlformats.org/officeDocument/2006/relationships/hyperlink" Target="https://communityimpact.com/dallas-fort-worth/mckinney/business/2026/05/25/the-nature-school-of-mckinney-to-debut-private-educational-facility-this-fall/" TargetMode="External"/><Relationship Id="rId214" Type="http://schemas.openxmlformats.org/officeDocument/2006/relationships/hyperlink" Target="https://www.prnewswire.com/news-releases/fusion-academy-opening-four-new-schools-this-spring-301502154.html" TargetMode="External"/><Relationship Id="rId335" Type="http://schemas.openxmlformats.org/officeDocument/2006/relationships/hyperlink" Target="https://www.usasb.org/" TargetMode="External"/><Relationship Id="rId456" Type="http://schemas.openxmlformats.org/officeDocument/2006/relationships/hyperlink" Target="https://foundationca.org/wp-content/uploads/2024/05/Foundation-Christian-Academy-Tuition-2024-2025-School-Year.pdf" TargetMode="External"/><Relationship Id="rId577" Type="http://schemas.openxmlformats.org/officeDocument/2006/relationships/hyperlink" Target="https://alpha.school/new-york-city/" TargetMode="External"/><Relationship Id="rId698" Type="http://schemas.openxmlformats.org/officeDocument/2006/relationships/hyperlink" Target="https://natureschoolmckinney.com/" TargetMode="External"/><Relationship Id="rId219" Type="http://schemas.openxmlformats.org/officeDocument/2006/relationships/hyperlink" Target="https://www.fusionacademy.com/campuses/boulder-county/tuition/" TargetMode="External"/><Relationship Id="rId218" Type="http://schemas.openxmlformats.org/officeDocument/2006/relationships/hyperlink" Target="https://www.fusionacademy.com/campuses/boulder-county/" TargetMode="External"/><Relationship Id="rId339" Type="http://schemas.openxmlformats.org/officeDocument/2006/relationships/hyperlink" Target="https://www.dispatch.com/story/news/education/2023/04/25/montessori-earth-plans-to-be-first-high-school-of-its-kind-in-columbus/70125622007/" TargetMode="External"/><Relationship Id="rId330" Type="http://schemas.openxmlformats.org/officeDocument/2006/relationships/hyperlink" Target="https://ncawi.org/" TargetMode="External"/><Relationship Id="rId451" Type="http://schemas.openxmlformats.org/officeDocument/2006/relationships/hyperlink" Target="https://ktla.com/business/press-releases/ein-presswire/708114265/massachusetts-mayflower-academy-now-accepting-applications-for-2024-2025-school-year/" TargetMode="External"/><Relationship Id="rId572" Type="http://schemas.openxmlformats.org/officeDocument/2006/relationships/hyperlink" Target="https://alpha.school/charlotte/" TargetMode="External"/><Relationship Id="rId693" Type="http://schemas.openxmlformats.org/officeDocument/2006/relationships/hyperlink" Target="https://www.theshirleyaniniasschool.com/about" TargetMode="External"/><Relationship Id="rId450" Type="http://schemas.openxmlformats.org/officeDocument/2006/relationships/hyperlink" Target="https://www.massachusettsmayfloweracademy.org/" TargetMode="External"/><Relationship Id="rId571" Type="http://schemas.openxmlformats.org/officeDocument/2006/relationships/hyperlink" Target="https://www.wccbcharlotte.com/2025/07/16/ai-powered-private-school-opening-in-charlotte/" TargetMode="External"/><Relationship Id="rId692" Type="http://schemas.openxmlformats.org/officeDocument/2006/relationships/hyperlink" Target="https://wcyb.com/news/local/new-private-christian-school-aims-to-expand-education-choices-for-lee-county-families" TargetMode="External"/><Relationship Id="rId570" Type="http://schemas.openxmlformats.org/officeDocument/2006/relationships/hyperlink" Target="https://alpha.school/charlotte/" TargetMode="External"/><Relationship Id="rId691" Type="http://schemas.openxmlformats.org/officeDocument/2006/relationships/hyperlink" Target="https://pathwaychristianacademy.net/" TargetMode="External"/><Relationship Id="rId690" Type="http://schemas.openxmlformats.org/officeDocument/2006/relationships/hyperlink" Target="https://www.niche.com/k12/grace-christian-academy-of-maryland-waldorf-md/" TargetMode="External"/><Relationship Id="rId213" Type="http://schemas.openxmlformats.org/officeDocument/2006/relationships/hyperlink" Target="https://www.fusionacademy.com/campuses/santa-barbara/tuition/" TargetMode="External"/><Relationship Id="rId334" Type="http://schemas.openxmlformats.org/officeDocument/2006/relationships/hyperlink" Target="https://www.wdrb.com/news/russell-neighborhood-church-starting-private-christian-school-for-kids-in-west-louisville/article_7fef1af0-df16-11ed-a0d4-7b2bafc0a767.html" TargetMode="External"/><Relationship Id="rId455" Type="http://schemas.openxmlformats.org/officeDocument/2006/relationships/hyperlink" Target="https://www.wglt.org/local-news/2024-05-16/new-christian-school-in-bloomington-starts-enrolling-students-as-construction-fundraising-continue" TargetMode="External"/><Relationship Id="rId576" Type="http://schemas.openxmlformats.org/officeDocument/2006/relationships/hyperlink" Target="https://www.axios.com/local/richmond/2025/08/28/alpha-school-ai-private-school-northern-virginia" TargetMode="External"/><Relationship Id="rId697" Type="http://schemas.openxmlformats.org/officeDocument/2006/relationships/hyperlink" Target="https://www.wtvy.com/2026/05/21/new-private-school-coming-dothan-with-500-annual-tuition/" TargetMode="External"/><Relationship Id="rId212" Type="http://schemas.openxmlformats.org/officeDocument/2006/relationships/hyperlink" Target="https://www.fusionacademy.com/campuses/santa-barbara/" TargetMode="External"/><Relationship Id="rId333" Type="http://schemas.openxmlformats.org/officeDocument/2006/relationships/hyperlink" Target="https://www.lucaky.org/" TargetMode="External"/><Relationship Id="rId454" Type="http://schemas.openxmlformats.org/officeDocument/2006/relationships/hyperlink" Target="https://foundationca.org/" TargetMode="External"/><Relationship Id="rId575" Type="http://schemas.openxmlformats.org/officeDocument/2006/relationships/hyperlink" Target="https://alpha.school/chantilly/" TargetMode="External"/><Relationship Id="rId696" Type="http://schemas.openxmlformats.org/officeDocument/2006/relationships/hyperlink" Target="https://www.wtvy.com/2026/05/21/new-private-school-coming-dothan-with-500-annual-tuition/" TargetMode="External"/><Relationship Id="rId211" Type="http://schemas.openxmlformats.org/officeDocument/2006/relationships/hyperlink" Target="https://www.prnewswire.com/news-releases/fusion-academy-opening-four-new-schools-this-spring-301502154.html" TargetMode="External"/><Relationship Id="rId332" Type="http://schemas.openxmlformats.org/officeDocument/2006/relationships/hyperlink" Target="https://ncawi.org/" TargetMode="External"/><Relationship Id="rId453" Type="http://schemas.openxmlformats.org/officeDocument/2006/relationships/hyperlink" Target="https://www.greenfieldreporter.com/2024/05/06/pathway-christian-private-academy-has-received-dozens-of-applications-for-fall-enrollment/" TargetMode="External"/><Relationship Id="rId574" Type="http://schemas.openxmlformats.org/officeDocument/2006/relationships/hyperlink" Target="https://alpha.school/locations/" TargetMode="External"/><Relationship Id="rId695" Type="http://schemas.openxmlformats.org/officeDocument/2006/relationships/hyperlink" Target="https://primer.com/schools/dothan-al" TargetMode="External"/><Relationship Id="rId210" Type="http://schemas.openxmlformats.org/officeDocument/2006/relationships/hyperlink" Target="https://www.fusionacademy.com/campuses/palm-beach-gardens/tuition/" TargetMode="External"/><Relationship Id="rId331" Type="http://schemas.openxmlformats.org/officeDocument/2006/relationships/hyperlink" Target="https://www.jsonline.com/story/news/education/2023/04/19/northshore-classical-academy-rejected-as-charter-seeks-private-funds/70122233007/" TargetMode="External"/><Relationship Id="rId452" Type="http://schemas.openxmlformats.org/officeDocument/2006/relationships/hyperlink" Target="https://www.pathwayca.org/" TargetMode="External"/><Relationship Id="rId573" Type="http://schemas.openxmlformats.org/officeDocument/2006/relationships/hyperlink" Target="https://www.wccbcharlotte.com/2025/07/16/ai-powered-private-school-opening-in-charlotte/" TargetMode="External"/><Relationship Id="rId694" Type="http://schemas.openxmlformats.org/officeDocument/2006/relationships/hyperlink" Target="https://www.bizjournals.com/newyork/news/2026/05/20/school-signs-lease-at-30-wall-street.html" TargetMode="External"/><Relationship Id="rId370" Type="http://schemas.openxmlformats.org/officeDocument/2006/relationships/hyperlink" Target="https://www.thetrinityschool.net/" TargetMode="External"/><Relationship Id="rId491" Type="http://schemas.openxmlformats.org/officeDocument/2006/relationships/hyperlink" Target="https://www.xavierja.org/" TargetMode="External"/><Relationship Id="rId490" Type="http://schemas.openxmlformats.org/officeDocument/2006/relationships/hyperlink" Target="https://www.kairoschristian.org/_files/ugd/56bf97_a8843d2bfd4a4b0bb1b44659c34dd310.pdf" TargetMode="External"/><Relationship Id="rId129" Type="http://schemas.openxmlformats.org/officeDocument/2006/relationships/hyperlink" Target="https://manhattan.basisindependent.com/admissions/tuition-fees/" TargetMode="External"/><Relationship Id="rId128" Type="http://schemas.openxmlformats.org/officeDocument/2006/relationships/hyperlink" Target="https://manhattan.basisindependent.com/" TargetMode="External"/><Relationship Id="rId249" Type="http://schemas.openxmlformats.org/officeDocument/2006/relationships/hyperlink" Target="https://www.timesrecordnews.com/story/news/2022/06/10/new-catholic-high-school-slated-open-2023-wichita-falls-chesterton-academy/7490147001/" TargetMode="External"/><Relationship Id="rId127" Type="http://schemas.openxmlformats.org/officeDocument/2006/relationships/hyperlink" Target="https://www.wfmz.com/news/pr_newswire/pr_newswire_business/spring-education-group-celebrates-new-school-openings-in-2021/article_7f3caae8-66c5-5d7b-b9a7-555f6e308f58.html" TargetMode="External"/><Relationship Id="rId248" Type="http://schemas.openxmlformats.org/officeDocument/2006/relationships/hyperlink" Target="http://www.hemisphereschool.org/cost" TargetMode="External"/><Relationship Id="rId369" Type="http://schemas.openxmlformats.org/officeDocument/2006/relationships/hyperlink" Target="https://www.ocregister.com/2023/07/12/new-catholic-schools-plan-to-open-in-orange-county-over-next-few-years/" TargetMode="External"/><Relationship Id="rId126" Type="http://schemas.openxmlformats.org/officeDocument/2006/relationships/hyperlink" Target="https://www.actonmidwest.org/about-acton-midwest/faq" TargetMode="External"/><Relationship Id="rId247" Type="http://schemas.openxmlformats.org/officeDocument/2006/relationships/hyperlink" Target="https://www.hmbreview.com/news/2-new-schools-opening-on-coastside/article_895ee5fe-d632-11ec-bb50-77ee85942359.html" TargetMode="External"/><Relationship Id="rId368" Type="http://schemas.openxmlformats.org/officeDocument/2006/relationships/hyperlink" Target="https://www.thecaminoschools.org/" TargetMode="External"/><Relationship Id="rId489" Type="http://schemas.openxmlformats.org/officeDocument/2006/relationships/hyperlink" Target="https://www.gastongazette.com/story/news/local/2024/07/30/church-to-open-private-classical-christian-school/74585664007/" TargetMode="External"/><Relationship Id="rId121" Type="http://schemas.openxmlformats.org/officeDocument/2006/relationships/hyperlink" Target="https://olwclassical.org/" TargetMode="External"/><Relationship Id="rId242" Type="http://schemas.openxmlformats.org/officeDocument/2006/relationships/hyperlink" Target="https://freedomprep.wixsite.com/website/admissions" TargetMode="External"/><Relationship Id="rId363" Type="http://schemas.openxmlformats.org/officeDocument/2006/relationships/hyperlink" Target="https://www.ccsnowflakeacademy.com/" TargetMode="External"/><Relationship Id="rId484" Type="http://schemas.openxmlformats.org/officeDocument/2006/relationships/hyperlink" Target="https://www.facebook.com/summitfalconswv" TargetMode="External"/><Relationship Id="rId120" Type="http://schemas.openxmlformats.org/officeDocument/2006/relationships/hyperlink" Target="https://staracademyboston.com/general-info" TargetMode="External"/><Relationship Id="rId241" Type="http://schemas.openxmlformats.org/officeDocument/2006/relationships/hyperlink" Target="https://www.ksn.com/news/local/independent-christian-school-opening-in-august/" TargetMode="External"/><Relationship Id="rId362" Type="http://schemas.openxmlformats.org/officeDocument/2006/relationships/hyperlink" Target="https://alphahigh.school/" TargetMode="External"/><Relationship Id="rId483" Type="http://schemas.openxmlformats.org/officeDocument/2006/relationships/hyperlink" Target="https://www.bdtonline.com/news/summit-christian-academy-opening-in-august/article_3136f564-4382-11ef-8ef1-5746496bd023.html" TargetMode="External"/><Relationship Id="rId240" Type="http://schemas.openxmlformats.org/officeDocument/2006/relationships/hyperlink" Target="https://www.ksn.com/news/local/independent-christian-school-opening-in-august/" TargetMode="External"/><Relationship Id="rId361" Type="http://schemas.openxmlformats.org/officeDocument/2006/relationships/hyperlink" Target="https://alpha.school/locations/" TargetMode="External"/><Relationship Id="rId482" Type="http://schemas.openxmlformats.org/officeDocument/2006/relationships/hyperlink" Target="https://www.summitchristianwv.com/" TargetMode="External"/><Relationship Id="rId360" Type="http://schemas.openxmlformats.org/officeDocument/2006/relationships/hyperlink" Target="https://alpha.school/fort-worth/" TargetMode="External"/><Relationship Id="rId481" Type="http://schemas.openxmlformats.org/officeDocument/2006/relationships/hyperlink" Target="https://www.fca-eagles.com/tuition" TargetMode="External"/><Relationship Id="rId125" Type="http://schemas.openxmlformats.org/officeDocument/2006/relationships/hyperlink" Target="https://www.actonmidwest.org/home" TargetMode="External"/><Relationship Id="rId246" Type="http://schemas.openxmlformats.org/officeDocument/2006/relationships/hyperlink" Target="https://coastsideleadershipacademy.com/join-us" TargetMode="External"/><Relationship Id="rId367" Type="http://schemas.openxmlformats.org/officeDocument/2006/relationships/hyperlink" Target="https://www.ocregister.com/2023/07/12/new-catholic-schools-plan-to-open-in-orange-county-over-next-few-years/" TargetMode="External"/><Relationship Id="rId488" Type="http://schemas.openxmlformats.org/officeDocument/2006/relationships/hyperlink" Target="https://www.kairoschristian.org/" TargetMode="External"/><Relationship Id="rId124" Type="http://schemas.openxmlformats.org/officeDocument/2006/relationships/hyperlink" Target="https://www.news8000.com/ribbon-cutting-ceremony-marks-opening-of-acton-academy/" TargetMode="External"/><Relationship Id="rId245" Type="http://schemas.openxmlformats.org/officeDocument/2006/relationships/hyperlink" Target="https://www.hmbreview.com/news/2-new-schools-opening-on-coastside/article_895ee5fe-d632-11ec-bb50-77ee85942359.html" TargetMode="External"/><Relationship Id="rId366" Type="http://schemas.openxmlformats.org/officeDocument/2006/relationships/hyperlink" Target="https://www.thecaminoschools.org/" TargetMode="External"/><Relationship Id="rId487" Type="http://schemas.openxmlformats.org/officeDocument/2006/relationships/hyperlink" Target="https://www.solidrockacademyevanston.org/tuition" TargetMode="External"/><Relationship Id="rId123" Type="http://schemas.openxmlformats.org/officeDocument/2006/relationships/hyperlink" Target="https://olwclassical.org/admissions/" TargetMode="External"/><Relationship Id="rId244" Type="http://schemas.openxmlformats.org/officeDocument/2006/relationships/hyperlink" Target="https://www.lucaky.org/about" TargetMode="External"/><Relationship Id="rId365" Type="http://schemas.openxmlformats.org/officeDocument/2006/relationships/hyperlink" Target="https://dailyinterlake.com/news/2023/jul/05/new-private-school-works-thompson-falls/" TargetMode="External"/><Relationship Id="rId486" Type="http://schemas.openxmlformats.org/officeDocument/2006/relationships/hyperlink" Target="https://www.uintacountyherald.com/stories/new-private-school-opening-in-evanston,37735" TargetMode="External"/><Relationship Id="rId122" Type="http://schemas.openxmlformats.org/officeDocument/2006/relationships/hyperlink" Target="https://olwclassical.org/" TargetMode="External"/><Relationship Id="rId243" Type="http://schemas.openxmlformats.org/officeDocument/2006/relationships/hyperlink" Target="https://www.whas11.com/video/news/local/new-private-school-opens-in-west-louisville/417-818f1727-9eee-4576-9188-8d81f76db71b" TargetMode="External"/><Relationship Id="rId364" Type="http://schemas.openxmlformats.org/officeDocument/2006/relationships/hyperlink" Target="https://readlion.com/small-town-christian-microschool-to-grow-out-of-arizona-church-showcasing-promise-of-school-choice-for-rural-america/" TargetMode="External"/><Relationship Id="rId485" Type="http://schemas.openxmlformats.org/officeDocument/2006/relationships/hyperlink" Target="https://www.solidrockacademyevanston.org/" TargetMode="External"/><Relationship Id="rId95" Type="http://schemas.openxmlformats.org/officeDocument/2006/relationships/hyperlink" Target="https://www.challengeprepacademy.org/" TargetMode="External"/><Relationship Id="rId94" Type="http://schemas.openxmlformats.org/officeDocument/2006/relationships/hyperlink" Target="https://www.wjbf.com/cyber/cyber-education-prep-school-opening-in-harrisburg-this-fall/" TargetMode="External"/><Relationship Id="rId97" Type="http://schemas.openxmlformats.org/officeDocument/2006/relationships/hyperlink" Target="https://www.hudsonvalley360.com/news/greenecounty/private-elementary-school-to-open-in-fall/article_8a0c7d79-6eec-500f-a668-fd3a543abe76.html" TargetMode="External"/><Relationship Id="rId96" Type="http://schemas.openxmlformats.org/officeDocument/2006/relationships/hyperlink" Target="https://www.challengeprepacademy.org/tuition" TargetMode="External"/><Relationship Id="rId99" Type="http://schemas.openxmlformats.org/officeDocument/2006/relationships/hyperlink" Target="http://www.catskillwheelhouse.org/forest-school" TargetMode="External"/><Relationship Id="rId480" Type="http://schemas.openxmlformats.org/officeDocument/2006/relationships/hyperlink" Target="https://www.fca-eagles.com/" TargetMode="External"/><Relationship Id="rId98" Type="http://schemas.openxmlformats.org/officeDocument/2006/relationships/hyperlink" Target="http://www.catskillwheelhouse.org/" TargetMode="External"/><Relationship Id="rId91" Type="http://schemas.openxmlformats.org/officeDocument/2006/relationships/hyperlink" Target="https://communityimpact.com/austin/georgetown/education/2021/06/15/project-based-private-school-in-georgetown-now-enrolling-for-august-opening/" TargetMode="External"/><Relationship Id="rId90" Type="http://schemas.openxmlformats.org/officeDocument/2006/relationships/hyperlink" Target="https://umuhh8.nucleus.church/download/a18e823af076e1dd6516f4e26b3c3896298e3a48.pdf" TargetMode="External"/><Relationship Id="rId93" Type="http://schemas.openxmlformats.org/officeDocument/2006/relationships/hyperlink" Target="https://www.arboracademy.org/enroll" TargetMode="External"/><Relationship Id="rId92" Type="http://schemas.openxmlformats.org/officeDocument/2006/relationships/hyperlink" Target="https://www.arboracademy.org/" TargetMode="External"/><Relationship Id="rId118" Type="http://schemas.openxmlformats.org/officeDocument/2006/relationships/hyperlink" Target="https://theswellesleyreport.com/2021/08/wellesley-business-buzz-star-academy-eyes-fall-opening-dont-let-the-scaffolding-scare-ya-beer-wine-delivered/" TargetMode="External"/><Relationship Id="rId239" Type="http://schemas.openxmlformats.org/officeDocument/2006/relationships/hyperlink" Target="https://www.facebook.com/lcalufkintexas/photos/a.106878485141515/156001843562512/" TargetMode="External"/><Relationship Id="rId117" Type="http://schemas.openxmlformats.org/officeDocument/2006/relationships/hyperlink" Target="https://www.nmtrinityprep.school/index.php/nmtp-enroll-now" TargetMode="External"/><Relationship Id="rId238" Type="http://schemas.openxmlformats.org/officeDocument/2006/relationships/hyperlink" Target="https://www.kltv.com/2022/05/04/lufkin-christian-academy-set-open-fall-2022/" TargetMode="External"/><Relationship Id="rId359" Type="http://schemas.openxmlformats.org/officeDocument/2006/relationships/hyperlink" Target="https://alpha.school/plano/" TargetMode="External"/><Relationship Id="rId116" Type="http://schemas.openxmlformats.org/officeDocument/2006/relationships/hyperlink" Target="https://www.nmtrinityprep.school/index.php" TargetMode="External"/><Relationship Id="rId237" Type="http://schemas.openxmlformats.org/officeDocument/2006/relationships/hyperlink" Target="https://kfox95.com/new-christian-private-school-coming-this-fall-in-lufkin-texas/" TargetMode="External"/><Relationship Id="rId358" Type="http://schemas.openxmlformats.org/officeDocument/2006/relationships/hyperlink" Target="https://www.irontontribune.com/2023/06/24/new-private-christian-school-to-open-in-south-point/" TargetMode="External"/><Relationship Id="rId479" Type="http://schemas.openxmlformats.org/officeDocument/2006/relationships/hyperlink" Target="https://communitynewspapers.com/aventura-news/alpha-school-miami-the-future-of-education-in-our-community/" TargetMode="External"/><Relationship Id="rId115" Type="http://schemas.openxmlformats.org/officeDocument/2006/relationships/hyperlink" Target="https://www.santafenewmexican.com/news/education/new-private-online-high-school-to-be-offered-in-new-mexico/article_31593ba2-f09b-11eb-8778-f700e9e28bd4.html" TargetMode="External"/><Relationship Id="rId236" Type="http://schemas.openxmlformats.org/officeDocument/2006/relationships/hyperlink" Target="https://mlmpipa.org/montgomerypa/" TargetMode="External"/><Relationship Id="rId357" Type="http://schemas.openxmlformats.org/officeDocument/2006/relationships/hyperlink" Target="https://riverview-christian.com/" TargetMode="External"/><Relationship Id="rId478" Type="http://schemas.openxmlformats.org/officeDocument/2006/relationships/hyperlink" Target="https://alpha.school/miami/" TargetMode="External"/><Relationship Id="rId599" Type="http://schemas.openxmlformats.org/officeDocument/2006/relationships/hyperlink" Target="https://www.angelinecountryday.org/admissions" TargetMode="External"/><Relationship Id="rId119" Type="http://schemas.openxmlformats.org/officeDocument/2006/relationships/hyperlink" Target="https://staracademyboston.com/" TargetMode="External"/><Relationship Id="rId110" Type="http://schemas.openxmlformats.org/officeDocument/2006/relationships/hyperlink" Target="https://polarisvillageacademy.org/" TargetMode="External"/><Relationship Id="rId231" Type="http://schemas.openxmlformats.org/officeDocument/2006/relationships/hyperlink" Target="https://www.i3memphis.com/enrollment" TargetMode="External"/><Relationship Id="rId352" Type="http://schemas.openxmlformats.org/officeDocument/2006/relationships/hyperlink" Target="https://www.sageacademygranbury.com/" TargetMode="External"/><Relationship Id="rId473" Type="http://schemas.openxmlformats.org/officeDocument/2006/relationships/hyperlink" Target="https://alpha.school/san-francisco/" TargetMode="External"/><Relationship Id="rId594" Type="http://schemas.openxmlformats.org/officeDocument/2006/relationships/hyperlink" Target="https://www.summitchristian.school/" TargetMode="External"/><Relationship Id="rId230" Type="http://schemas.openxmlformats.org/officeDocument/2006/relationships/hyperlink" Target="https://www.localmemphis.com/article/news/education/memphis-tennessee-academy-health-sciences-i3-charter-school/522-2dd90604-b503-4b77-ba6b-eacbadb6514a" TargetMode="External"/><Relationship Id="rId351" Type="http://schemas.openxmlformats.org/officeDocument/2006/relationships/hyperlink" Target="https://www.cityonahillwv.org/tuition" TargetMode="External"/><Relationship Id="rId472" Type="http://schemas.openxmlformats.org/officeDocument/2006/relationships/hyperlink" Target="https://paragoned.org/faqs/" TargetMode="External"/><Relationship Id="rId593" Type="http://schemas.openxmlformats.org/officeDocument/2006/relationships/hyperlink" Target="https://www.yahoo.com/news/articles/private-school-nontraditional-calendar-opens-203205911.html" TargetMode="External"/><Relationship Id="rId350" Type="http://schemas.openxmlformats.org/officeDocument/2006/relationships/hyperlink" Target="https://readlion.com/west-virginia-microschool-serves-dozens-of-students-with-christ-centered-learning-in-first-year/" TargetMode="External"/><Relationship Id="rId471" Type="http://schemas.openxmlformats.org/officeDocument/2006/relationships/hyperlink" Target="https://communityimpact.com/dallas-fort-worth/frisco/education/2024/04/22/paragoned-to-offer-private-school-classes-in-frisco/" TargetMode="External"/><Relationship Id="rId592" Type="http://schemas.openxmlformats.org/officeDocument/2006/relationships/hyperlink" Target="https://paragoned.org/" TargetMode="External"/><Relationship Id="rId470" Type="http://schemas.openxmlformats.org/officeDocument/2006/relationships/hyperlink" Target="https://paragoned.org/" TargetMode="External"/><Relationship Id="rId591" Type="http://schemas.openxmlformats.org/officeDocument/2006/relationships/hyperlink" Target="https://www.wilsontimes.com/news/the-spot-to-open-k-2-private-school-this-fall-02d9c053" TargetMode="External"/><Relationship Id="rId114" Type="http://schemas.openxmlformats.org/officeDocument/2006/relationships/hyperlink" Target="https://mmlcs.org/admissions/tuition" TargetMode="External"/><Relationship Id="rId235" Type="http://schemas.openxmlformats.org/officeDocument/2006/relationships/hyperlink" Target="https://www.montgomery-herald.com/news/august-opening-eyed-for-montgomery-preparatory-academy/article_9ebd043e-be78-11ec-ace9-0f89269a0e36.html" TargetMode="External"/><Relationship Id="rId356" Type="http://schemas.openxmlformats.org/officeDocument/2006/relationships/hyperlink" Target="https://starlocalmedia.com/celinarecord/celina-business-briefs-movement-christian-academy-opening-fall-2023-and-more-updates/article_945e4000-0ec9-11ee-8d75-33828b22288c.html" TargetMode="External"/><Relationship Id="rId477" Type="http://schemas.openxmlformats.org/officeDocument/2006/relationships/hyperlink" Target="https://www.axios.com/local/tampa-bay/2025/09/02/alpha-school-ai-private-school-tampa?utm_source=chatgpt.com" TargetMode="External"/><Relationship Id="rId598" Type="http://schemas.openxmlformats.org/officeDocument/2006/relationships/hyperlink" Target="https://www.tampabeacon.com/pasco_county/new-private-school-set-to-open-this-fall/article_97975256-832a-4e8d-8455-72d71a9eb5e8.html" TargetMode="External"/><Relationship Id="rId113" Type="http://schemas.openxmlformats.org/officeDocument/2006/relationships/hyperlink" Target="https://mmlcs.org/" TargetMode="External"/><Relationship Id="rId234" Type="http://schemas.openxmlformats.org/officeDocument/2006/relationships/hyperlink" Target="https://www.montgomery-herald.com/news/august-opening-eyed-for-montgomery-preparatory-academy/article_9ebd043e-be78-11ec-ace9-0f89269a0e36.html" TargetMode="External"/><Relationship Id="rId355" Type="http://schemas.openxmlformats.org/officeDocument/2006/relationships/hyperlink" Target="https://www.movementchristian.org/" TargetMode="External"/><Relationship Id="rId476" Type="http://schemas.openxmlformats.org/officeDocument/2006/relationships/hyperlink" Target="https://alpha.school/palm-beach/" TargetMode="External"/><Relationship Id="rId597" Type="http://schemas.openxmlformats.org/officeDocument/2006/relationships/hyperlink" Target="https://www.angelinecountryday.org/" TargetMode="External"/><Relationship Id="rId112" Type="http://schemas.openxmlformats.org/officeDocument/2006/relationships/hyperlink" Target="https://www.ncregister.com/cna/new-catholic-school-in-baltimore-holds-blessing-ceremony" TargetMode="External"/><Relationship Id="rId233" Type="http://schemas.openxmlformats.org/officeDocument/2006/relationships/hyperlink" Target="https://www.naturalconnectionsacademy.net/" TargetMode="External"/><Relationship Id="rId354" Type="http://schemas.openxmlformats.org/officeDocument/2006/relationships/hyperlink" Target="https://www.sageacademygranbury.com/tuition" TargetMode="External"/><Relationship Id="rId475" Type="http://schemas.openxmlformats.org/officeDocument/2006/relationships/hyperlink" Target="https://alpha.school/orange-county/" TargetMode="External"/><Relationship Id="rId596" Type="http://schemas.openxmlformats.org/officeDocument/2006/relationships/hyperlink" Target="https://www.thestarpress.com/story/news/education/2025/07/31/summit-christian-school-set-to-open-on-north-side-of-muncie-august-6-glad-tidings-church/85440630007/" TargetMode="External"/><Relationship Id="rId111" Type="http://schemas.openxmlformats.org/officeDocument/2006/relationships/hyperlink" Target="https://polarisvillageacademy.org/" TargetMode="External"/><Relationship Id="rId232" Type="http://schemas.openxmlformats.org/officeDocument/2006/relationships/hyperlink" Target="https://cdapress.com/news/2022/apr/15/new-private-school-opens-enrollment/" TargetMode="External"/><Relationship Id="rId353" Type="http://schemas.openxmlformats.org/officeDocument/2006/relationships/hyperlink" Target="https://www.hcnews.com/news/where-learners-become-leaders-new-private-school-to-open-in-acton-this-fall/article_2f378fe0-0bb5-11ee-8187-7b92de491128.html" TargetMode="External"/><Relationship Id="rId474" Type="http://schemas.openxmlformats.org/officeDocument/2006/relationships/hyperlink" Target="https://alpha.school/santa-barbara/" TargetMode="External"/><Relationship Id="rId595" Type="http://schemas.openxmlformats.org/officeDocument/2006/relationships/hyperlink" Target="https://www.thestarpress.com/story/news/education/2025/07/31/summit-christian-school-set-to-open-on-north-side-of-muncie-august-6-glad-tidings-church/85440630007/" TargetMode="External"/><Relationship Id="rId305" Type="http://schemas.openxmlformats.org/officeDocument/2006/relationships/hyperlink" Target="https://www.vaildaily.com/news/a-new-k-5-school-is-coming-to-edwards-this-fall/" TargetMode="External"/><Relationship Id="rId426" Type="http://schemas.openxmlformats.org/officeDocument/2006/relationships/hyperlink" Target="https://www.gowensvillechristianschool.com/" TargetMode="External"/><Relationship Id="rId547" Type="http://schemas.openxmlformats.org/officeDocument/2006/relationships/hyperlink" Target="https://alpha.school/tampa/" TargetMode="External"/><Relationship Id="rId668" Type="http://schemas.openxmlformats.org/officeDocument/2006/relationships/hyperlink" Target="https://www.visaliatimesdelta.com/story/news/education/2026/02/26/new-visalia-catholic-high-school-chesterton-academy-of-the-holy-hearts/88528785007/?gnt-cfr=1&amp;gca-cat=p&amp;gca-uir=true&amp;gca-epti=z116301p000850c000850v116301d--30--b--30--&amp;gca-ft=182&amp;gca-ds=sophi" TargetMode="External"/><Relationship Id="rId304" Type="http://schemas.openxmlformats.org/officeDocument/2006/relationships/hyperlink" Target="https://vailvalleyunbound.org/" TargetMode="External"/><Relationship Id="rId425" Type="http://schemas.openxmlformats.org/officeDocument/2006/relationships/hyperlink" Target="https://greercitizen.com/news/private-christian-school-launch-august" TargetMode="External"/><Relationship Id="rId546" Type="http://schemas.openxmlformats.org/officeDocument/2006/relationships/hyperlink" Target="https://patch.com/california/sancarlos/san-carlos-montessori-school-celebrates-grand-opening" TargetMode="External"/><Relationship Id="rId667" Type="http://schemas.openxmlformats.org/officeDocument/2006/relationships/hyperlink" Target="https://caholyhearts.org/" TargetMode="External"/><Relationship Id="rId303" Type="http://schemas.openxmlformats.org/officeDocument/2006/relationships/hyperlink" Target="https://www.proudacademyct.org/faqs" TargetMode="External"/><Relationship Id="rId424" Type="http://schemas.openxmlformats.org/officeDocument/2006/relationships/hyperlink" Target="https://www.facebook.com/TutwilerCEC/posts/pfbid02LnfaVkoDt4N2HHXoESXEcq6ykRsDsdLeqNTirj7o2a45DFZHuX7chMQyJyUfC8b7l" TargetMode="External"/><Relationship Id="rId545" Type="http://schemas.openxmlformats.org/officeDocument/2006/relationships/hyperlink" Target="https://www.learnandplaymontessori.com/san-carlos/" TargetMode="External"/><Relationship Id="rId666" Type="http://schemas.openxmlformats.org/officeDocument/2006/relationships/hyperlink" Target="https://www.taylorpress.net/article/11370,taylor-microschool-debuts-in-august" TargetMode="External"/><Relationship Id="rId302" Type="http://schemas.openxmlformats.org/officeDocument/2006/relationships/hyperlink" Target="https://www.courant.com/news/connecticut/hc-news-connecticut-lgbtq-private-school-20230129-plwoht6si5a7jpd6ehoofqcoqm-story.html" TargetMode="External"/><Relationship Id="rId423" Type="http://schemas.openxmlformats.org/officeDocument/2006/relationships/hyperlink" Target="https://www.prnewswire.com/news-releases/launch-of-the-tutwiler-microschool-network-a-new-chapter-in-education-for-the-mississippi-delta-302053332.html" TargetMode="External"/><Relationship Id="rId544" Type="http://schemas.openxmlformats.org/officeDocument/2006/relationships/hyperlink" Target="https://stpetecatalyst.com/local-couple-to-launch-private-school-in-st-pete/" TargetMode="External"/><Relationship Id="rId665" Type="http://schemas.openxmlformats.org/officeDocument/2006/relationships/hyperlink" Target="https://microschools.prenda.com/ms/masterpiece-academy" TargetMode="External"/><Relationship Id="rId309" Type="http://schemas.openxmlformats.org/officeDocument/2006/relationships/hyperlink" Target="https://www.news-journalonline.com/story/news/education/2023/02/08/ormond-beach-home-to-florida-east-coast-christian-school-opening-in-fall/69858606007/" TargetMode="External"/><Relationship Id="rId308" Type="http://schemas.openxmlformats.org/officeDocument/2006/relationships/hyperlink" Target="https://www.news-journalonline.com/story/news/education/2023/02/08/ormond-beach-home-to-florida-east-coast-christian-school-opening-in-fall/69858606007/" TargetMode="External"/><Relationship Id="rId429" Type="http://schemas.openxmlformats.org/officeDocument/2006/relationships/hyperlink" Target="https://ncnewsline.com/briefs/state-board-of-education-appeals-panel-recommends-closing-all-boys-charter-school/" TargetMode="External"/><Relationship Id="rId307" Type="http://schemas.openxmlformats.org/officeDocument/2006/relationships/hyperlink" Target="https://fecchristian.org/" TargetMode="External"/><Relationship Id="rId428" Type="http://schemas.openxmlformats.org/officeDocument/2006/relationships/hyperlink" Target="https://www.sabacademy.org/about-us" TargetMode="External"/><Relationship Id="rId549" Type="http://schemas.openxmlformats.org/officeDocument/2006/relationships/hyperlink" Target="https://www.wral.com/news/education/new-catholic-high-school-cary-2028-cardinal-gibbons-may-2025/" TargetMode="External"/><Relationship Id="rId306" Type="http://schemas.openxmlformats.org/officeDocument/2006/relationships/hyperlink" Target="https://vailvalleyunbound.org/about/faq/" TargetMode="External"/><Relationship Id="rId427" Type="http://schemas.openxmlformats.org/officeDocument/2006/relationships/hyperlink" Target="https://www.bizjournals.com/seattle/news/2024/01/30/cristo-rey-expands-seattle.html" TargetMode="External"/><Relationship Id="rId548" Type="http://schemas.openxmlformats.org/officeDocument/2006/relationships/hyperlink" Target="https://www.fox13news.com/news/new-school-coming-tampa-will-be-driven-artificial-intelligence" TargetMode="External"/><Relationship Id="rId669" Type="http://schemas.openxmlformats.org/officeDocument/2006/relationships/hyperlink" Target="https://www.mainlinemedianews.com/2026/03/03/perlman-jewish-day-school-and-barrack-hebrew-academy-announce-plans-to-open-a-unified-prek-12-jewish-community-day-school/" TargetMode="External"/><Relationship Id="rId660" Type="http://schemas.openxmlformats.org/officeDocument/2006/relationships/hyperlink" Target="https://www.news-gazette.com/news/local/education/new-middle-school-for-boys-created-by-local-educators-set-to-open-this-august/article_80a118c1-902a-4cbe-b148-30315eb6a7b3.html" TargetMode="External"/><Relationship Id="rId301" Type="http://schemas.openxmlformats.org/officeDocument/2006/relationships/hyperlink" Target="https://www.proudacademyct.org/" TargetMode="External"/><Relationship Id="rId422" Type="http://schemas.openxmlformats.org/officeDocument/2006/relationships/hyperlink" Target="https://clarionherald.org/news/second-campus-of-good-shepherd-on-horizon" TargetMode="External"/><Relationship Id="rId543" Type="http://schemas.openxmlformats.org/officeDocument/2006/relationships/hyperlink" Target="https://apogeestpete.com/" TargetMode="External"/><Relationship Id="rId664" Type="http://schemas.openxmlformats.org/officeDocument/2006/relationships/hyperlink" Target="https://www.denverpost.com/2026/02/19/centennial-excalibur-classical-academy/" TargetMode="External"/><Relationship Id="rId300" Type="http://schemas.openxmlformats.org/officeDocument/2006/relationships/hyperlink" Target="https://lancasteronline.com/news/regional/our-lady-of-the-cross-marks-its-first-day-as-lebanon-countys-new-catholic-school/article_e70f312e-14cf-11ec-9b77-0f086b212fbb.html" TargetMode="External"/><Relationship Id="rId421" Type="http://schemas.openxmlformats.org/officeDocument/2006/relationships/hyperlink" Target="https://www.pelicanschoolsf.com/" TargetMode="External"/><Relationship Id="rId542" Type="http://schemas.openxmlformats.org/officeDocument/2006/relationships/hyperlink" Target="https://ludden-grimes.org/" TargetMode="External"/><Relationship Id="rId663" Type="http://schemas.openxmlformats.org/officeDocument/2006/relationships/hyperlink" Target="https://excaliburclassicalacademy.org/" TargetMode="External"/><Relationship Id="rId420" Type="http://schemas.openxmlformats.org/officeDocument/2006/relationships/hyperlink" Target="https://www.sfsimplified.com/meet-the-woman-bringing-a-microschool-to-sioux-falls/" TargetMode="External"/><Relationship Id="rId541" Type="http://schemas.openxmlformats.org/officeDocument/2006/relationships/hyperlink" Target="https://www.shelbycountyreporter.com/2025/02/26/st-thomas-the-apostle-catholic-church-opening-new-elementary-school/" TargetMode="External"/><Relationship Id="rId662" Type="http://schemas.openxmlformats.org/officeDocument/2006/relationships/hyperlink" Target="https://lawrencekstimes.com/2026/02/07/sun-prairie-opening-august/" TargetMode="External"/><Relationship Id="rId540" Type="http://schemas.openxmlformats.org/officeDocument/2006/relationships/hyperlink" Target="https://www.stthomascatholic.com/school" TargetMode="External"/><Relationship Id="rId661" Type="http://schemas.openxmlformats.org/officeDocument/2006/relationships/hyperlink" Target="https://sunprairiehighschool.org/" TargetMode="External"/><Relationship Id="rId415" Type="http://schemas.openxmlformats.org/officeDocument/2006/relationships/hyperlink" Target="https://www.northtamatelegraph.com/news/education/2024/02/01/tama-toledo-christian-school-signs-lease-agreement-begins-renovations/" TargetMode="External"/><Relationship Id="rId536" Type="http://schemas.openxmlformats.org/officeDocument/2006/relationships/hyperlink" Target="https://www.waverlychristian.com/" TargetMode="External"/><Relationship Id="rId657" Type="http://schemas.openxmlformats.org/officeDocument/2006/relationships/hyperlink" Target="https://alpha.school/dorado/" TargetMode="External"/><Relationship Id="rId414" Type="http://schemas.openxmlformats.org/officeDocument/2006/relationships/hyperlink" Target="https://norfolkdailynews.com/news/merger-on-horizon-for-holy-family-st-francis/article_138624d4-b45b-11ed-99a1-d7f80659042b.html" TargetMode="External"/><Relationship Id="rId535" Type="http://schemas.openxmlformats.org/officeDocument/2006/relationships/hyperlink" Target="https://www.witn.com/2024/12/06/beaufort-county-celebrates-first-of-its-kind-micro-school-enc/" TargetMode="External"/><Relationship Id="rId656" Type="http://schemas.openxmlformats.org/officeDocument/2006/relationships/hyperlink" Target="https://chicagomomsgroup.com/alpha-school-chicago-k8-private-school-in-chicago-illinois/?utm_source=chatgpt.com" TargetMode="External"/><Relationship Id="rId413" Type="http://schemas.openxmlformats.org/officeDocument/2006/relationships/hyperlink" Target="https://thegoodnewsroom.org/cardinal-timothy-dolan-visits-reopened-st-marys-school-in-wappingers-falls/" TargetMode="External"/><Relationship Id="rId534" Type="http://schemas.openxmlformats.org/officeDocument/2006/relationships/hyperlink" Target="https://www.beaufortmicroschool.org/" TargetMode="External"/><Relationship Id="rId655" Type="http://schemas.openxmlformats.org/officeDocument/2006/relationships/hyperlink" Target="https://alpha.school/chicago/" TargetMode="External"/><Relationship Id="rId412" Type="http://schemas.openxmlformats.org/officeDocument/2006/relationships/hyperlink" Target="https://stmaryswappingers.org/" TargetMode="External"/><Relationship Id="rId533" Type="http://schemas.openxmlformats.org/officeDocument/2006/relationships/hyperlink" Target="https://www.wbur.org/radioboston/2024/12/10/lgbtqia-private-high-school-massachusetts" TargetMode="External"/><Relationship Id="rId654" Type="http://schemas.openxmlformats.org/officeDocument/2006/relationships/hyperlink" Target="https://alpha.school/tampa/" TargetMode="External"/><Relationship Id="rId419" Type="http://schemas.openxmlformats.org/officeDocument/2006/relationships/hyperlink" Target="https://corbanacademy.org/tuition" TargetMode="External"/><Relationship Id="rId418" Type="http://schemas.openxmlformats.org/officeDocument/2006/relationships/hyperlink" Target="https://www.westhawaiitoday.com/2024/01/22/hawaii-news/new-private-school-hosts-land-dedication-ceremony-in-captain-cook/" TargetMode="External"/><Relationship Id="rId539" Type="http://schemas.openxmlformats.org/officeDocument/2006/relationships/hyperlink" Target="https://www.jta.org/2025/02/25/ny/the-first-jewish-day-school-for-students-with-mental-health-challenges-is-set-to-open-in-nyc" TargetMode="External"/><Relationship Id="rId417" Type="http://schemas.openxmlformats.org/officeDocument/2006/relationships/hyperlink" Target="https://pigeon605.com/hybrid-catholic-classical-school-opening-on-campus-of-st-joseph-cathedral/" TargetMode="External"/><Relationship Id="rId538" Type="http://schemas.openxmlformats.org/officeDocument/2006/relationships/hyperlink" Target="https://sinaischools.org/adir-academy/" TargetMode="External"/><Relationship Id="rId659" Type="http://schemas.openxmlformats.org/officeDocument/2006/relationships/hyperlink" Target="https://www.redtailschool.org/" TargetMode="External"/><Relationship Id="rId416" Type="http://schemas.openxmlformats.org/officeDocument/2006/relationships/hyperlink" Target="https://www.timesrepublican.com/news/todays-news/2024/01/private-k-8-tama-toledo-christian-school-could-start-classes-as-soon-as-2025/" TargetMode="External"/><Relationship Id="rId537" Type="http://schemas.openxmlformats.org/officeDocument/2006/relationships/hyperlink" Target="https://www.newspressnow.com/news/regional_news/iowa/new-private-school-waverly-christian-opening-next-school-year-accepting-applications/article_b51d83b5-5cd3-5b32-abee-741794cd5e71.html" TargetMode="External"/><Relationship Id="rId658" Type="http://schemas.openxmlformats.org/officeDocument/2006/relationships/hyperlink" Target="https://www.facebook.com/Daliancaraballo/videos/super-excited-to-finally-shared-the-news-%EF%B8%8F-puerto-rico-this-is-big-alpha-school-/1555336035814977/" TargetMode="External"/><Relationship Id="rId411" Type="http://schemas.openxmlformats.org/officeDocument/2006/relationships/hyperlink" Target="https://www.wqow.com/news/families-get-a-look-at-new-private-christian-school-coming-to-chippewa-valley/article_b96b0164-81d1-11ee-9c2a-03995a2d6898.html" TargetMode="External"/><Relationship Id="rId532" Type="http://schemas.openxmlformats.org/officeDocument/2006/relationships/hyperlink" Target="https://www.jsbryantschool.org/" TargetMode="External"/><Relationship Id="rId653" Type="http://schemas.openxmlformats.org/officeDocument/2006/relationships/hyperlink" Target="https://hellowoodlands.com/alpha-school-to-open-new-k-8-campus-in-the-woodlands-with-innovative-ai-powered-education" TargetMode="External"/><Relationship Id="rId410" Type="http://schemas.openxmlformats.org/officeDocument/2006/relationships/hyperlink" Target="https://www.venture-academy.org/" TargetMode="External"/><Relationship Id="rId531" Type="http://schemas.openxmlformats.org/officeDocument/2006/relationships/hyperlink" Target="https://www.firstalert7.com/2024/12/13/nerd-academy-combining-education-with-oil-gas-odessa/" TargetMode="External"/><Relationship Id="rId652" Type="http://schemas.openxmlformats.org/officeDocument/2006/relationships/hyperlink" Target="https://alpha.school/the-woodlands/" TargetMode="External"/><Relationship Id="rId530" Type="http://schemas.openxmlformats.org/officeDocument/2006/relationships/hyperlink" Target="https://thenerdacademy.com/" TargetMode="External"/><Relationship Id="rId651" Type="http://schemas.openxmlformats.org/officeDocument/2006/relationships/hyperlink" Target="https://alpha.school/santa-monica/" TargetMode="External"/><Relationship Id="rId650" Type="http://schemas.openxmlformats.org/officeDocument/2006/relationships/hyperlink" Target="https://alpha.school/east-bay/" TargetMode="External"/><Relationship Id="rId206" Type="http://schemas.openxmlformats.org/officeDocument/2006/relationships/hyperlink" Target="https://lawrencekstimes.com/2022/03/03/limestone-school-reimagining-edu/" TargetMode="External"/><Relationship Id="rId327" Type="http://schemas.openxmlformats.org/officeDocument/2006/relationships/hyperlink" Target="https://www.sfchronicle.com/bayarea/article/hsu-private-school-17890952.php" TargetMode="External"/><Relationship Id="rId448" Type="http://schemas.openxmlformats.org/officeDocument/2006/relationships/hyperlink" Target="https://www.whitehorseclassical.org/" TargetMode="External"/><Relationship Id="rId569" Type="http://schemas.openxmlformats.org/officeDocument/2006/relationships/hyperlink" Target="https://www.forestcityacademy.org/tuitionandfees" TargetMode="External"/><Relationship Id="rId205" Type="http://schemas.openxmlformats.org/officeDocument/2006/relationships/hyperlink" Target="https://communityimpact.com/dallas-fort-worth/keller-roanoke-northeast-fort-worth/education/2022/02/22/k-12-gifted-talented-and-high-ability-private-school-planning-to-open-in-roanoke/" TargetMode="External"/><Relationship Id="rId326" Type="http://schemas.openxmlformats.org/officeDocument/2006/relationships/hyperlink" Target="https://www.berthsuacademy.org/" TargetMode="External"/><Relationship Id="rId447" Type="http://schemas.openxmlformats.org/officeDocument/2006/relationships/hyperlink" Target="https://www.wrex.com/news/rockford-diocese-cancel-high-school-classes-at-aquin-catholic-school-for-2024/article_130984d2-0811-11ef-b312-1b471e31553c.html" TargetMode="External"/><Relationship Id="rId568" Type="http://schemas.openxmlformats.org/officeDocument/2006/relationships/hyperlink" Target="https://www.news5cleveland.com/news/local-news/new-private-secular-school-designed-to-be-more-accessible-opening-in-cleveland-heights" TargetMode="External"/><Relationship Id="rId689" Type="http://schemas.openxmlformats.org/officeDocument/2006/relationships/hyperlink" Target="https://thebaynet.com/six-years-after-covid-closures-waldorfs-grace-christian-academy-will-enroll-high-school-students-for-26-27/" TargetMode="External"/><Relationship Id="rId204" Type="http://schemas.openxmlformats.org/officeDocument/2006/relationships/hyperlink" Target="https://www.trinitywa.org/classical-school.html" TargetMode="External"/><Relationship Id="rId325" Type="http://schemas.openxmlformats.org/officeDocument/2006/relationships/hyperlink" Target="https://journalstar.com/news/local/education/concordia-opening-lutheran-microschool-in-seward-for-high-school-students/article_cfdb2a9c-c1aa-11ed-a071-435163b28d3f.html" TargetMode="External"/><Relationship Id="rId446" Type="http://schemas.openxmlformats.org/officeDocument/2006/relationships/hyperlink" Target="https://communityimpact.com/dallas-fort-worth/frisco/education/2024/04/22/paragoned-to-offer-private-school-classes-in-frisco/" TargetMode="External"/><Relationship Id="rId567" Type="http://schemas.openxmlformats.org/officeDocument/2006/relationships/hyperlink" Target="https://www.forestcityacademy.org/" TargetMode="External"/><Relationship Id="rId688" Type="http://schemas.openxmlformats.org/officeDocument/2006/relationships/hyperlink" Target="https://www.graceknights.org/" TargetMode="External"/><Relationship Id="rId203" Type="http://schemas.openxmlformats.org/officeDocument/2006/relationships/hyperlink" Target="https://www.jsonline.com/story/communities/southwest/news/west-allis/2022/02/22/trinity-lutheran-church-west-allis-plans-open-new-high-school/6879919001/" TargetMode="External"/><Relationship Id="rId324" Type="http://schemas.openxmlformats.org/officeDocument/2006/relationships/hyperlink" Target="https://www.trinityacademycune.org/" TargetMode="External"/><Relationship Id="rId445" Type="http://schemas.openxmlformats.org/officeDocument/2006/relationships/hyperlink" Target="https://paragoned.org/" TargetMode="External"/><Relationship Id="rId566" Type="http://schemas.openxmlformats.org/officeDocument/2006/relationships/hyperlink" Target="https://stjeromeinstitute.org/admissions/" TargetMode="External"/><Relationship Id="rId687" Type="http://schemas.openxmlformats.org/officeDocument/2006/relationships/hyperlink" Target="https://dioceseofraleigh.org/news/new-catholic-high-school-set-open-wilmington-area-fall-2026" TargetMode="External"/><Relationship Id="rId209" Type="http://schemas.openxmlformats.org/officeDocument/2006/relationships/hyperlink" Target="https://www.fusionacademy.com/campuses/palm-beach-gardens/" TargetMode="External"/><Relationship Id="rId208" Type="http://schemas.openxmlformats.org/officeDocument/2006/relationships/hyperlink" Target="https://www.prnewswire.com/news-releases/fusion-academy-opening-four-new-schools-this-spring-301502154.html" TargetMode="External"/><Relationship Id="rId329" Type="http://schemas.openxmlformats.org/officeDocument/2006/relationships/hyperlink" Target="https://theaugustapress.com/avila-catholic-academy-to-open-for-2024-25-school-year/" TargetMode="External"/><Relationship Id="rId207" Type="http://schemas.openxmlformats.org/officeDocument/2006/relationships/hyperlink" Target="https://limestoneschool.com/" TargetMode="External"/><Relationship Id="rId328" Type="http://schemas.openxmlformats.org/officeDocument/2006/relationships/hyperlink" Target="https://www.st-teresa.com/news/449-exciting-school-news" TargetMode="External"/><Relationship Id="rId449" Type="http://schemas.openxmlformats.org/officeDocument/2006/relationships/hyperlink" Target="https://pantagraph.com/news/local/education/classical-christian-school-to-open-in-normal-this-fall/article_812a2520-073a-11ef-894e-0f5c365f6271.html" TargetMode="External"/><Relationship Id="rId440" Type="http://schemas.openxmlformats.org/officeDocument/2006/relationships/hyperlink" Target="https://www.micahstudios.org/home" TargetMode="External"/><Relationship Id="rId561" Type="http://schemas.openxmlformats.org/officeDocument/2006/relationships/hyperlink" Target="https://alaskawatchman.com/2025/06/12/hillsdale-college-partnered-classical-school-to-open-in-anchorage-next-fall/" TargetMode="External"/><Relationship Id="rId682" Type="http://schemas.openxmlformats.org/officeDocument/2006/relationships/hyperlink" Target="https://www.rocklanddaily.com/news/new-tosh-girls-school-to-open-in-monsey-for-upcoming-school-year" TargetMode="External"/><Relationship Id="rId560" Type="http://schemas.openxmlformats.org/officeDocument/2006/relationships/hyperlink" Target="https://thomasmoreclassical.org/" TargetMode="External"/><Relationship Id="rId681" Type="http://schemas.openxmlformats.org/officeDocument/2006/relationships/hyperlink" Target="https://www.the74million.org/article/in-americas-first-solar-powered-town-education-options-abound/" TargetMode="External"/><Relationship Id="rId680" Type="http://schemas.openxmlformats.org/officeDocument/2006/relationships/hyperlink" Target="https://primer.com/" TargetMode="External"/><Relationship Id="rId202" Type="http://schemas.openxmlformats.org/officeDocument/2006/relationships/hyperlink" Target="https://discoverylearnersacademy.org/about" TargetMode="External"/><Relationship Id="rId323" Type="http://schemas.openxmlformats.org/officeDocument/2006/relationships/hyperlink" Target="https://www.chestertonutah.com/admissions/" TargetMode="External"/><Relationship Id="rId444" Type="http://schemas.openxmlformats.org/officeDocument/2006/relationships/hyperlink" Target="https://www.wpri.com/news/local-news/se-mass/new-private-school-opening-in-north-attleboro/" TargetMode="External"/><Relationship Id="rId565" Type="http://schemas.openxmlformats.org/officeDocument/2006/relationships/hyperlink" Target="https://www.catholicworldreport.com/2025/06/19/update-classical-catholic-high-school-in-dc-announces-plans-for-second-location/" TargetMode="External"/><Relationship Id="rId686" Type="http://schemas.openxmlformats.org/officeDocument/2006/relationships/hyperlink" Target="https://dioceseofraleigh.org/news/new-catholic-high-school-set-open-wilmington-area-fall-2026" TargetMode="External"/><Relationship Id="rId201" Type="http://schemas.openxmlformats.org/officeDocument/2006/relationships/hyperlink" Target="https://discoverylearnersacademy.org/" TargetMode="External"/><Relationship Id="rId322" Type="http://schemas.openxmlformats.org/officeDocument/2006/relationships/hyperlink" Target="https://www.standard.net/news/education/2023/mar/14/northern-utah-boosters-launching-new-private-school-voucher-program-will-be-huge/" TargetMode="External"/><Relationship Id="rId443" Type="http://schemas.openxmlformats.org/officeDocument/2006/relationships/hyperlink" Target="https://www.thesunchronicle.com/news/local_news/new-private-school-coming-to-north-attleboro-in-the-fall/article_721b431d-5543-52b0-a7df-6133b50d740a.html" TargetMode="External"/><Relationship Id="rId564" Type="http://schemas.openxmlformats.org/officeDocument/2006/relationships/hyperlink" Target="https://stjeromeinstitute.org/nova/" TargetMode="External"/><Relationship Id="rId685" Type="http://schemas.openxmlformats.org/officeDocument/2006/relationships/hyperlink" Target="https://www.ftpchs.org/" TargetMode="External"/><Relationship Id="rId200" Type="http://schemas.openxmlformats.org/officeDocument/2006/relationships/hyperlink" Target="https://www.chattanoogan.com/2022/2/10/443206/Discovery-Learners-Academy-Offers.aspx" TargetMode="External"/><Relationship Id="rId321" Type="http://schemas.openxmlformats.org/officeDocument/2006/relationships/hyperlink" Target="https://www.chestertonutah.com/" TargetMode="External"/><Relationship Id="rId442" Type="http://schemas.openxmlformats.org/officeDocument/2006/relationships/hyperlink" Target="https://amped.education/academy/" TargetMode="External"/><Relationship Id="rId563" Type="http://schemas.openxmlformats.org/officeDocument/2006/relationships/hyperlink" Target="https://963kklz.com/2025/06/17/groundbreaking-new-private-school-opening-in-las-vegas/" TargetMode="External"/><Relationship Id="rId684" Type="http://schemas.openxmlformats.org/officeDocument/2006/relationships/hyperlink" Target="https://www.stevenspointjournal.com/story/news/education/2026/05/11/stevens-point-approves-central-wisconsin-lutheran-high-school-site/89995860007/" TargetMode="External"/><Relationship Id="rId320" Type="http://schemas.openxmlformats.org/officeDocument/2006/relationships/hyperlink" Target="https://www.ctpost.com/fairfield/article/fairfield-covenant-school-bridgeport-17832499.php" TargetMode="External"/><Relationship Id="rId441" Type="http://schemas.openxmlformats.org/officeDocument/2006/relationships/hyperlink" Target="https://www.theoaklandpress.com/2024/04/20/lone-microschool-in-the-state-opened-in-farmington-hills/" TargetMode="External"/><Relationship Id="rId562" Type="http://schemas.openxmlformats.org/officeDocument/2006/relationships/hyperlink" Target="https://embraceacademylv.com/" TargetMode="External"/><Relationship Id="rId683" Type="http://schemas.openxmlformats.org/officeDocument/2006/relationships/hyperlink" Target="https://cwlhs.com/" TargetMode="External"/><Relationship Id="rId316" Type="http://schemas.openxmlformats.org/officeDocument/2006/relationships/hyperlink" Target="https://www.nlcagardner.org/" TargetMode="External"/><Relationship Id="rId437" Type="http://schemas.openxmlformats.org/officeDocument/2006/relationships/hyperlink" Target="https://www.lincolnnewsnow.com/living/progress-and-pride-calvary-christian-academy-to-open-school-in-late-summer/article_e7f994a8-ede9-11ee-ad20-2faa2e97d8ff.html" TargetMode="External"/><Relationship Id="rId558" Type="http://schemas.openxmlformats.org/officeDocument/2006/relationships/hyperlink" Target="https://springfieldlutheranhs.org/" TargetMode="External"/><Relationship Id="rId679" Type="http://schemas.openxmlformats.org/officeDocument/2006/relationships/hyperlink" Target="https://www.ozaukeepress.com/content/saukville-high-school-pushes-opening-back-year" TargetMode="External"/><Relationship Id="rId315" Type="http://schemas.openxmlformats.org/officeDocument/2006/relationships/hyperlink" Target="https://www.stmalachyschool.com/scholarships-and-tuition" TargetMode="External"/><Relationship Id="rId436" Type="http://schemas.openxmlformats.org/officeDocument/2006/relationships/hyperlink" Target="https://thedialog.org/featured/new-holy-cross-high-school-in-dover-planned-for-fall-2025-opening-with-tom-fertal-on-board-as-president/" TargetMode="External"/><Relationship Id="rId557" Type="http://schemas.openxmlformats.org/officeDocument/2006/relationships/hyperlink" Target="https://starcitychristianacademy.com/" TargetMode="External"/><Relationship Id="rId678" Type="http://schemas.openxmlformats.org/officeDocument/2006/relationships/hyperlink" Target="https://ncawi.org/" TargetMode="External"/><Relationship Id="rId314" Type="http://schemas.openxmlformats.org/officeDocument/2006/relationships/hyperlink" Target="https://www.miamiarch.org/CatholicDiocese.php?op=Article_archdiocese-of-miami-st-malachy-school-reopen-fall-2023" TargetMode="External"/><Relationship Id="rId435" Type="http://schemas.openxmlformats.org/officeDocument/2006/relationships/hyperlink" Target="https://www.sfgate.com/bayarea/article/new-private-school-set-to-open-san-francisco-19261633.php" TargetMode="External"/><Relationship Id="rId556" Type="http://schemas.openxmlformats.org/officeDocument/2006/relationships/hyperlink" Target="https://katv.com/newsletter-daily/new-private-school-in-star-city-opens-doors-with-education-freedom-account-governor-sarah-huckabee-sanders-christian-bible-classes-micro-school-education-curriculum-teachers-office-administrator-academy" TargetMode="External"/><Relationship Id="rId677" Type="http://schemas.openxmlformats.org/officeDocument/2006/relationships/hyperlink" Target="https://www.gjsentinel.com/special_sections/new-high-school-opening-in-grand-junction/article_f7435ea5-43bb-49df-9242-ff88e4f3f2ef.html" TargetMode="External"/><Relationship Id="rId313" Type="http://schemas.openxmlformats.org/officeDocument/2006/relationships/hyperlink" Target="https://www.stmalachyschool.com/" TargetMode="External"/><Relationship Id="rId434" Type="http://schemas.openxmlformats.org/officeDocument/2006/relationships/hyperlink" Target="https://wellington-landing-page.it-consultis.net/en" TargetMode="External"/><Relationship Id="rId555" Type="http://schemas.openxmlformats.org/officeDocument/2006/relationships/hyperlink" Target="https://starcitychristianacademy.com/" TargetMode="External"/><Relationship Id="rId676" Type="http://schemas.openxmlformats.org/officeDocument/2006/relationships/hyperlink" Target="https://chestertonstcarlo.org/" TargetMode="External"/><Relationship Id="rId319" Type="http://schemas.openxmlformats.org/officeDocument/2006/relationships/hyperlink" Target="https://www.covenantschoolbridgeport.org/" TargetMode="External"/><Relationship Id="rId318" Type="http://schemas.openxmlformats.org/officeDocument/2006/relationships/hyperlink" Target="https://www.nlcagardner.org/faqs" TargetMode="External"/><Relationship Id="rId439" Type="http://schemas.openxmlformats.org/officeDocument/2006/relationships/hyperlink" Target="https://www.vnews.com/Newport-micro-school-provides-alternative-education-54758045" TargetMode="External"/><Relationship Id="rId317" Type="http://schemas.openxmlformats.org/officeDocument/2006/relationships/hyperlink" Target="https://www.gardnernews.com/news/2023/02/28/new-faith-based-school-opening-this-year/" TargetMode="External"/><Relationship Id="rId438" Type="http://schemas.openxmlformats.org/officeDocument/2006/relationships/hyperlink" Target="https://www.gainesville.com/story/news/education/2024/04/16/private-frazer-school-will-focus-on-academic-competition/73341066007/" TargetMode="External"/><Relationship Id="rId559" Type="http://schemas.openxmlformats.org/officeDocument/2006/relationships/hyperlink" Target="https://www.news-leader.com/story/news/education/2025/06/06/springfield-lutheran-high-school-opening-august-2025/83877153007/" TargetMode="External"/><Relationship Id="rId550" Type="http://schemas.openxmlformats.org/officeDocument/2006/relationships/hyperlink" Target="https://www.christiancrossroadsacademy.org/" TargetMode="External"/><Relationship Id="rId671" Type="http://schemas.openxmlformats.org/officeDocument/2006/relationships/hyperlink" Target="https://www.raccoonvalleyradio.com/2026/03/04/new-private-school-in-jefferson-to-host-open-house-tomorrow-night/" TargetMode="External"/><Relationship Id="rId670" Type="http://schemas.openxmlformats.org/officeDocument/2006/relationships/hyperlink" Target="https://fesjefferson.com/" TargetMode="External"/><Relationship Id="rId312" Type="http://schemas.openxmlformats.org/officeDocument/2006/relationships/hyperlink" Target="https://www.steamboatchristianacademy.com/admissions" TargetMode="External"/><Relationship Id="rId433" Type="http://schemas.openxmlformats.org/officeDocument/2006/relationships/hyperlink" Target="https://www.chestertonacademystbenedict.org/" TargetMode="External"/><Relationship Id="rId554" Type="http://schemas.openxmlformats.org/officeDocument/2006/relationships/hyperlink" Target="https://www.pipestonestar.com/articles/a-new-school-is-scheduled-to-open-this-fall-in-woodstock/" TargetMode="External"/><Relationship Id="rId675" Type="http://schemas.openxmlformats.org/officeDocument/2006/relationships/hyperlink" Target="https://www.gohammond.com/new-hammond-riverside-christian-school-to-open-in-fall-2026/" TargetMode="External"/><Relationship Id="rId311" Type="http://schemas.openxmlformats.org/officeDocument/2006/relationships/hyperlink" Target="https://www.steamboatpilot.com/news/steamboat-christian-academy-gears-up-for-its-first-year/" TargetMode="External"/><Relationship Id="rId432" Type="http://schemas.openxmlformats.org/officeDocument/2006/relationships/hyperlink" Target="https://www.beyondthespectrum.org/enrollment" TargetMode="External"/><Relationship Id="rId553" Type="http://schemas.openxmlformats.org/officeDocument/2006/relationships/hyperlink" Target="https://arkeducationacademy.org/" TargetMode="External"/><Relationship Id="rId674" Type="http://schemas.openxmlformats.org/officeDocument/2006/relationships/hyperlink" Target="https://hammondriverside.org/" TargetMode="External"/><Relationship Id="rId310" Type="http://schemas.openxmlformats.org/officeDocument/2006/relationships/hyperlink" Target="https://www.steamboatchristianacademy.com/" TargetMode="External"/><Relationship Id="rId431" Type="http://schemas.openxmlformats.org/officeDocument/2006/relationships/hyperlink" Target="https://www.aol.com/sanctuary-autistic-students-know-autism-090720234.html" TargetMode="External"/><Relationship Id="rId552" Type="http://schemas.openxmlformats.org/officeDocument/2006/relationships/hyperlink" Target="https://classicalchristian.org/job/christian-crossroads-academy-midwest-152-start-up-school-headmaster/" TargetMode="External"/><Relationship Id="rId673" Type="http://schemas.openxmlformats.org/officeDocument/2006/relationships/hyperlink" Target="https://www.smithfieldtimes.com/news/harbor-light-academy-a-new-private-school-coming-to-smithfield-b4cdce03" TargetMode="External"/><Relationship Id="rId430" Type="http://schemas.openxmlformats.org/officeDocument/2006/relationships/hyperlink" Target="https://www.sabacademy.org/tuition-information" TargetMode="External"/><Relationship Id="rId551" Type="http://schemas.openxmlformats.org/officeDocument/2006/relationships/hyperlink" Target="https://www.watfordcitynd.com/latest-news/new-classical-christian-academy-planned-for-bakken-in-fall-of-2026/" TargetMode="External"/><Relationship Id="rId672" Type="http://schemas.openxmlformats.org/officeDocument/2006/relationships/hyperlink" Target="https://harborlightacademy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sfab.org/sfabschool/admissions/tuition/" TargetMode="External"/><Relationship Id="rId194" Type="http://schemas.openxmlformats.org/officeDocument/2006/relationships/hyperlink" Target="https://www.telegram.com/news/20200605/diocese-announces-closure-of-st-stephen-school" TargetMode="External"/><Relationship Id="rId193" Type="http://schemas.openxmlformats.org/officeDocument/2006/relationships/hyperlink" Target="https://www.telegram.com/news/20200605/diocese-announces-closure-of-st-stephen-school" TargetMode="External"/><Relationship Id="rId192" Type="http://schemas.openxmlformats.org/officeDocument/2006/relationships/hyperlink" Target="https://www.telegram.com/news/20200605/diocese-announces-closure-of-st-stephen-school" TargetMode="External"/><Relationship Id="rId191" Type="http://schemas.openxmlformats.org/officeDocument/2006/relationships/hyperlink" Target="https://www.niche.com/k12/st-francis-of-assisi-school-braintree-ma/" TargetMode="External"/><Relationship Id="rId187" Type="http://schemas.openxmlformats.org/officeDocument/2006/relationships/hyperlink" Target="https://www.privateschoolreview.com/the-seashore-school-profile" TargetMode="External"/><Relationship Id="rId186" Type="http://schemas.openxmlformats.org/officeDocument/2006/relationships/hyperlink" Target="https://www.app.com/story/news/education/in-our-schools/2020/06/03/long-branchs-seashore-school-close-good-camp-remain-open/3123862001/" TargetMode="External"/><Relationship Id="rId185" Type="http://schemas.openxmlformats.org/officeDocument/2006/relationships/hyperlink" Target="https://www.privateschoolreview.com/st-john-paul-ii-stem-academy-profile" TargetMode="External"/><Relationship Id="rId184" Type="http://schemas.openxmlformats.org/officeDocument/2006/relationships/hyperlink" Target="https://lacatholics.org/archive-info/" TargetMode="External"/><Relationship Id="rId189" Type="http://schemas.openxmlformats.org/officeDocument/2006/relationships/hyperlink" Target="https://braintree.wickedlocal.com/news/20200603/archdiocese-plans-to-permanently-close-braintree-catholic-school" TargetMode="External"/><Relationship Id="rId188" Type="http://schemas.openxmlformats.org/officeDocument/2006/relationships/hyperlink" Target="https://www.niche.com/k12/seashore-school-long-branch-nj/" TargetMode="External"/><Relationship Id="rId183" Type="http://schemas.openxmlformats.org/officeDocument/2006/relationships/hyperlink" Target="https://www.niche.com/k12/good-shepherd-elementary-school-camp-hill-pa/" TargetMode="External"/><Relationship Id="rId182" Type="http://schemas.openxmlformats.org/officeDocument/2006/relationships/hyperlink" Target="https://www.gsschpa.org/tuition/" TargetMode="External"/><Relationship Id="rId181" Type="http://schemas.openxmlformats.org/officeDocument/2006/relationships/hyperlink" Target="https://www.abc27.com/news/local/carlisle-west-shore/good-shepherd-catholic-school-to-suspend-operations/" TargetMode="External"/><Relationship Id="rId180" Type="http://schemas.openxmlformats.org/officeDocument/2006/relationships/hyperlink" Target="https://www.niche.com/k12/st-jerome-elementary-school-weymouth-ma/" TargetMode="External"/><Relationship Id="rId176" Type="http://schemas.openxmlformats.org/officeDocument/2006/relationships/hyperlink" Target="https://www.privateschoolreview.com/chaim-weizmann-community-day-school-profile" TargetMode="External"/><Relationship Id="rId175" Type="http://schemas.openxmlformats.org/officeDocument/2006/relationships/hyperlink" Target="http://www.jlifesgpv.com/weizmann-day-school/" TargetMode="External"/><Relationship Id="rId174" Type="http://schemas.openxmlformats.org/officeDocument/2006/relationships/hyperlink" Target="https://www.niche.com/k12/quigley-catholic-high-school-baden-pa/" TargetMode="External"/><Relationship Id="rId173" Type="http://schemas.openxmlformats.org/officeDocument/2006/relationships/hyperlink" Target="http://www.qchs.org/Tuition.html" TargetMode="External"/><Relationship Id="rId179" Type="http://schemas.openxmlformats.org/officeDocument/2006/relationships/hyperlink" Target="https://7bfd6bca-f746-47e0-9499-7a09a71ce653.filesusr.com/ugd/e10742_439b57e4640e42a2a74d8973facd8888.pdf" TargetMode="External"/><Relationship Id="rId178" Type="http://schemas.openxmlformats.org/officeDocument/2006/relationships/hyperlink" Target="https://weymouth.wickedlocal.com/news/20200601/st-jerome-elementary-school-in-north-weymouth-to-close-permanently" TargetMode="External"/><Relationship Id="rId177" Type="http://schemas.openxmlformats.org/officeDocument/2006/relationships/hyperlink" Target="https://www.greatschools.org/california/pasadena/9620-Weizmann-Day-School/" TargetMode="External"/><Relationship Id="rId198" Type="http://schemas.openxmlformats.org/officeDocument/2006/relationships/hyperlink" Target="https://www.niche.com/k12/st-rose-school-chelsea-ma/" TargetMode="External"/><Relationship Id="rId197" Type="http://schemas.openxmlformats.org/officeDocument/2006/relationships/hyperlink" Target="http://strosechelsea.com/aboutus/tuition.html" TargetMode="External"/><Relationship Id="rId196" Type="http://schemas.openxmlformats.org/officeDocument/2006/relationships/hyperlink" Target="https://www.thebostonpilot.com/article.asp?ID=187792" TargetMode="External"/><Relationship Id="rId195" Type="http://schemas.openxmlformats.org/officeDocument/2006/relationships/hyperlink" Target="https://www.niche.com/k12/st-stephen-elementary-school-worcester-ma/" TargetMode="External"/><Relationship Id="rId199" Type="http://schemas.openxmlformats.org/officeDocument/2006/relationships/hyperlink" Target="https://patch.com/california/walnutcreek/walnut-creek-school-closes-abruptly-due-coronavirus" TargetMode="External"/><Relationship Id="rId150" Type="http://schemas.openxmlformats.org/officeDocument/2006/relationships/hyperlink" Target="https://smspompton.org/about/tuition-fees/" TargetMode="External"/><Relationship Id="rId392" Type="http://schemas.openxmlformats.org/officeDocument/2006/relationships/hyperlink" Target="https://www.niche.com/k12/st-basil-academy-jenkintown-pa/students/" TargetMode="External"/><Relationship Id="rId391" Type="http://schemas.openxmlformats.org/officeDocument/2006/relationships/hyperlink" Target="https://www.niche.com/k12/st-basil-academy-jenkintown-pa/" TargetMode="External"/><Relationship Id="rId390" Type="http://schemas.openxmlformats.org/officeDocument/2006/relationships/hyperlink" Target="https://www.niche.com/k12/st-basil-academy-jenkintown-pa/" TargetMode="External"/><Relationship Id="rId1" Type="http://schemas.openxmlformats.org/officeDocument/2006/relationships/hyperlink" Target="https://www2.census.gov/geo/pdfs/maps-data/maps/reference/us_regdiv.pdf" TargetMode="External"/><Relationship Id="rId2" Type="http://schemas.openxmlformats.org/officeDocument/2006/relationships/hyperlink" Target="https://geomap.ffiec.gov/FFIECGeocMap/GeocodeMap1.aspx" TargetMode="External"/><Relationship Id="rId3" Type="http://schemas.openxmlformats.org/officeDocument/2006/relationships/hyperlink" Target="https://www.registercitizen.com/news/article/Winsted-s-St-Anthony-School-closing-in-June-15138379.php" TargetMode="External"/><Relationship Id="rId149" Type="http://schemas.openxmlformats.org/officeDocument/2006/relationships/hyperlink" Target="https://www.northjersey.com/story/news/passaic/pompton-lakes/2020/05/18/st-marys-school-pompton-lakes-close-amid-coronavirus-crisis/5216254002/" TargetMode="External"/><Relationship Id="rId4" Type="http://schemas.openxmlformats.org/officeDocument/2006/relationships/hyperlink" Target="http://www.stanthonyschool-winsted.org/wp-content/uploads/2019/03/FullSizeRender-2019-03-28T205251.691.jpg" TargetMode="External"/><Relationship Id="rId148" Type="http://schemas.openxmlformats.org/officeDocument/2006/relationships/hyperlink" Target="https://www.niche.com/k12/the-wilkes-school-at-grace-and-st-peters-baltimore-md/" TargetMode="External"/><Relationship Id="rId1090" Type="http://schemas.openxmlformats.org/officeDocument/2006/relationships/hyperlink" Target="https://www.mainlinemedianews.com/2026/03/03/perlman-jewish-day-school-and-barrack-hebrew-academy-announce-plans-to-open-a-unified-prek-12-jewish-community-day-school/" TargetMode="External"/><Relationship Id="rId1091" Type="http://schemas.openxmlformats.org/officeDocument/2006/relationships/hyperlink" Target="https://files.ecatholic.com/35521/documents/2026/3/Ss%20Andrew%20Thomas%20Letter-1.pdf?t=1774579408000" TargetMode="External"/><Relationship Id="rId1092" Type="http://schemas.openxmlformats.org/officeDocument/2006/relationships/hyperlink" Target="https://www.ourtownny.com/news/another-manhattan-catholic-school-to-close-archdiocese-KK5682729" TargetMode="External"/><Relationship Id="rId1093" Type="http://schemas.openxmlformats.org/officeDocument/2006/relationships/hyperlink" Target="https://nypost.com/2026/03/18/us-news/manhattan-students-devastated-about-closing-catholic-schools/" TargetMode="External"/><Relationship Id="rId1094" Type="http://schemas.openxmlformats.org/officeDocument/2006/relationships/hyperlink" Target="https://www.niche.com/k12/incarnation-catholic-academy-queens-village-ny/" TargetMode="External"/><Relationship Id="rId9" Type="http://schemas.openxmlformats.org/officeDocument/2006/relationships/hyperlink" Target="https://www.niche.com/k12/st-martha-school-enfield-ct/" TargetMode="External"/><Relationship Id="rId143" Type="http://schemas.openxmlformats.org/officeDocument/2006/relationships/hyperlink" Target="https://d2y1pz2y630308.cloudfront.net/709/documents/2019/2/K-8th_Grade_Registration_Packet_fro_FD_and_STJ_Website_for_2019-2020-1.pdf" TargetMode="External"/><Relationship Id="rId385" Type="http://schemas.openxmlformats.org/officeDocument/2006/relationships/hyperlink" Target="http://www.smithfieldave.org/home/tuition" TargetMode="External"/><Relationship Id="rId1095" Type="http://schemas.openxmlformats.org/officeDocument/2006/relationships/hyperlink" Target="https://www.wlwt.com/article/st-catherine-of-siena-to-close-at-the-end-of-the-school-year/70873405" TargetMode="External"/><Relationship Id="rId142" Type="http://schemas.openxmlformats.org/officeDocument/2006/relationships/hyperlink" Target="https://www.stltoday.com/news/local/education/three-st-louis-area-catholic-grade-schools-to-close-after-budget-cuts-from-coronavirus-fallout/article_b6b92f10-d680-530c-845a-c899f315ecca.html" TargetMode="External"/><Relationship Id="rId384" Type="http://schemas.openxmlformats.org/officeDocument/2006/relationships/hyperlink" Target="http://www.sgcslv.com/registration" TargetMode="External"/><Relationship Id="rId1096" Type="http://schemas.openxmlformats.org/officeDocument/2006/relationships/hyperlink" Target="https://0b60a8f9-3c79-4d70-81c2-5b4592924be6.filesusr.com/ugd/7987cd_aff50900e7024da380ae2671f8cdee5a.pdf" TargetMode="External"/><Relationship Id="rId141" Type="http://schemas.openxmlformats.org/officeDocument/2006/relationships/hyperlink" Target="https://www.niche.com/k12/christ-light-of-the-nations-catholic-school-saint-louis-mo/" TargetMode="External"/><Relationship Id="rId383" Type="http://schemas.openxmlformats.org/officeDocument/2006/relationships/hyperlink" Target="https://www.fox5vegas.com/news/las-vegas-students-split-up-after-billionaire-financial-backer-defunds-private-school/article_ef36bc10-e58b-11ea-b0e7-abfe8003a2e9.html" TargetMode="External"/><Relationship Id="rId1097" Type="http://schemas.openxmlformats.org/officeDocument/2006/relationships/hyperlink" Target="https://www.niche.com/k12/st-catherine-of-siena-school-fort-thomas-ky/" TargetMode="External"/><Relationship Id="rId140" Type="http://schemas.openxmlformats.org/officeDocument/2006/relationships/hyperlink" Target="https://www.stltoday.com/news/local/education/three-st-louis-area-catholic-grade-schools-to-close-after-budget-cuts-from-coronavirus-fallout/article_b6b92f10-d680-530c-845a-c899f315ecca.html" TargetMode="External"/><Relationship Id="rId382" Type="http://schemas.openxmlformats.org/officeDocument/2006/relationships/hyperlink" Target="https://www.niche.com/k12/henry-barnard-laboratory-school-providence-ri/" TargetMode="External"/><Relationship Id="rId1098" Type="http://schemas.openxmlformats.org/officeDocument/2006/relationships/hyperlink" Target="https://www.niche.com/k12/harmony-school-columbia-sc/" TargetMode="External"/><Relationship Id="rId5" Type="http://schemas.openxmlformats.org/officeDocument/2006/relationships/hyperlink" Target="https://www.niche.com/k12/st-anthony-school-winsted-ct/" TargetMode="External"/><Relationship Id="rId147" Type="http://schemas.openxmlformats.org/officeDocument/2006/relationships/hyperlink" Target="http://wilkesschool.org/admissions/affording-wilkes/" TargetMode="External"/><Relationship Id="rId389" Type="http://schemas.openxmlformats.org/officeDocument/2006/relationships/hyperlink" Target="https://6abc.com/st.-basil-academy-closing-is-jenkintown-school-closure-pennsylvania/6871779/,%20https:/www.inquirer.com/education/st-basil-academy-closing-jenktintown-philadelphia-catholic-school-20201008.html" TargetMode="External"/><Relationship Id="rId1099" Type="http://schemas.openxmlformats.org/officeDocument/2006/relationships/hyperlink" Target="https://www.wltx.com/article/news/local/harmony-school-to-close-permanently/101-59b0b2f3-f6b1-416c-8216-3d30c34e7f75" TargetMode="External"/><Relationship Id="rId6" Type="http://schemas.openxmlformats.org/officeDocument/2006/relationships/hyperlink" Target="https://www.niche.com/k12/midreshet-shalhevet-shalhevet-high-school-for-girls-valley-stream-ny/students/" TargetMode="External"/><Relationship Id="rId146" Type="http://schemas.openxmlformats.org/officeDocument/2006/relationships/hyperlink" Target="http://wilkesschool.org/about/" TargetMode="External"/><Relationship Id="rId388" Type="http://schemas.openxmlformats.org/officeDocument/2006/relationships/hyperlink" Target="https://www.niche.com/k12/childlight-montessori-school-berwick-me/" TargetMode="External"/><Relationship Id="rId7" Type="http://schemas.openxmlformats.org/officeDocument/2006/relationships/hyperlink" Target="https://www.journalinquirer.com/towns/enfield/it-s-a-tragedy-for-everybody-st-martha-school-to-close-after-55-years-due/article_34e5607e-7f14-11ea-af3a-6f63e01e8aef.html" TargetMode="External"/><Relationship Id="rId145" Type="http://schemas.openxmlformats.org/officeDocument/2006/relationships/hyperlink" Target="https://baltimore.cbslocal.com/2020/05/16/the-wilkes-school-at-grace-and-st-peters-closing-due-to-declining-enrollment/" TargetMode="External"/><Relationship Id="rId387" Type="http://schemas.openxmlformats.org/officeDocument/2006/relationships/hyperlink" Target="https://www.facebook.com/pg/ChildlightMontessori/posts/" TargetMode="External"/><Relationship Id="rId8" Type="http://schemas.openxmlformats.org/officeDocument/2006/relationships/hyperlink" Target="https://www.stmarthaschool-ct.org/tuition" TargetMode="External"/><Relationship Id="rId144" Type="http://schemas.openxmlformats.org/officeDocument/2006/relationships/hyperlink" Target="https://www.niche.com/k12/st-joseph-elementary-school-manchester-mo/" TargetMode="External"/><Relationship Id="rId386" Type="http://schemas.openxmlformats.org/officeDocument/2006/relationships/hyperlink" Target="https://www.greatschools.org/rhode-island/pawtucket/754-Smithfield-Ave-Nursery-School--Kindergarten/" TargetMode="External"/><Relationship Id="rId381" Type="http://schemas.openxmlformats.org/officeDocument/2006/relationships/hyperlink" Target="https://www.niche.com/k12/henry-barnard-laboratory-school-providence-ri/" TargetMode="External"/><Relationship Id="rId380" Type="http://schemas.openxmlformats.org/officeDocument/2006/relationships/hyperlink" Target="http://henrybarnardschool.org/rhode-island-college-implements-cost-cutting-measures/" TargetMode="External"/><Relationship Id="rId139" Type="http://schemas.openxmlformats.org/officeDocument/2006/relationships/hyperlink" Target="https://www.niche.com/k12/holy-trinity-catholic-school-saint-louis-mo/" TargetMode="External"/><Relationship Id="rId138" Type="http://schemas.openxmlformats.org/officeDocument/2006/relationships/hyperlink" Target="https://www.stltoday.com/news/local/education/more-non-catholic-students-are-enrolling-in-st-louis-area-catholic-schools/article_80f43f79-2f54-582c-8335-1af9bf1b07ef.html" TargetMode="External"/><Relationship Id="rId137" Type="http://schemas.openxmlformats.org/officeDocument/2006/relationships/hyperlink" Target="https://www.stltoday.com/news/local/education/three-st-louis-area-catholic-grade-schools-to-close-after-budget-cuts-from-coronavirus-fallout/article_b6b92f10-d680-530c-845a-c899f315ecca.html" TargetMode="External"/><Relationship Id="rId379" Type="http://schemas.openxmlformats.org/officeDocument/2006/relationships/hyperlink" Target="https://www.greatschools.org/connecticut/waterbury/1290-Chase-Collegiate-School/" TargetMode="External"/><Relationship Id="rId1080" Type="http://schemas.openxmlformats.org/officeDocument/2006/relationships/hyperlink" Target="https://www.niche.com/k12/catholic-of-academy-west-buffalo-buffalo-ny/" TargetMode="External"/><Relationship Id="rId1081" Type="http://schemas.openxmlformats.org/officeDocument/2006/relationships/hyperlink" Target="https://www.wqow.com/news/top-stories/north-cedar-academy-in-ladysmith-to-close-due-to-insurmountable-financial-challenges/article_e8440c13-e7c5-4345-a214-4b288232d94f.html" TargetMode="External"/><Relationship Id="rId1082" Type="http://schemas.openxmlformats.org/officeDocument/2006/relationships/hyperlink" Target="https://www.niche.com/k12/north-cedar-academy-ladysmith-wi/" TargetMode="External"/><Relationship Id="rId1083" Type="http://schemas.openxmlformats.org/officeDocument/2006/relationships/hyperlink" Target="https://northwestiowanow.com/news/278872-st-patricks-catholic-school-closing-in-sheldon/" TargetMode="External"/><Relationship Id="rId132" Type="http://schemas.openxmlformats.org/officeDocument/2006/relationships/hyperlink" Target="http://www.sttheresaotcj.org/tuition-and-fees" TargetMode="External"/><Relationship Id="rId374" Type="http://schemas.openxmlformats.org/officeDocument/2006/relationships/hyperlink" Target="https://www.privateschoolreview.com/st-john-s-lutheran-school-profile/53511" TargetMode="External"/><Relationship Id="rId1084" Type="http://schemas.openxmlformats.org/officeDocument/2006/relationships/hyperlink" Target="https://wbznewsradio.iheart.com/content/medfords-st-josephs-school-closure-catches-many-by-surprise/" TargetMode="External"/><Relationship Id="rId131" Type="http://schemas.openxmlformats.org/officeDocument/2006/relationships/hyperlink" Target="https://www.privateschoolreview.com/st-theresa-school-profile/18055" TargetMode="External"/><Relationship Id="rId373" Type="http://schemas.openxmlformats.org/officeDocument/2006/relationships/hyperlink" Target="https://www.beloitdailynews.com/news/local-news/st-johns-lutheran-school-to-close/article_da050d93-655d-5abb-b271-94be6edece76.html" TargetMode="External"/><Relationship Id="rId1085" Type="http://schemas.openxmlformats.org/officeDocument/2006/relationships/hyperlink" Target="https://fox2now.com/news/missouri/st-ignatius-school-in-marthasville-closing-after-150-years/" TargetMode="External"/><Relationship Id="rId130" Type="http://schemas.openxmlformats.org/officeDocument/2006/relationships/hyperlink" Target="https://www.lehighvalleylive.com/news/2020/05/a-catholic-elementary-school-in-hellertown-will-close-for-good-after-80-years.html" TargetMode="External"/><Relationship Id="rId372" Type="http://schemas.openxmlformats.org/officeDocument/2006/relationships/hyperlink" Target="https://www.niche.com/k12/our-lady-of-guadalupe-academy-elizabeth-nj/" TargetMode="External"/><Relationship Id="rId1086" Type="http://schemas.openxmlformats.org/officeDocument/2006/relationships/hyperlink" Target="https://capitolcitynow.com/news/248842-115-year-old-springfield-catholic-school-to-close-at-end-of-school-year/" TargetMode="External"/><Relationship Id="rId371" Type="http://schemas.openxmlformats.org/officeDocument/2006/relationships/hyperlink" Target="http://olgacademy.org/olg/Admission/Registration/" TargetMode="External"/><Relationship Id="rId1087" Type="http://schemas.openxmlformats.org/officeDocument/2006/relationships/hyperlink" Target="https://www.montereyherald.com/2026/02/27/notre-dame-high-school-to-close-at-the-end-of-academic-year/" TargetMode="External"/><Relationship Id="rId136" Type="http://schemas.openxmlformats.org/officeDocument/2006/relationships/hyperlink" Target="https://www.niche.com/k12/holy-family-catholic-school-hillcrest-heights-md/" TargetMode="External"/><Relationship Id="rId378" Type="http://schemas.openxmlformats.org/officeDocument/2006/relationships/hyperlink" Target="https://www.chasecollegiate.org/admissions/tuition-fees" TargetMode="External"/><Relationship Id="rId1088" Type="http://schemas.openxmlformats.org/officeDocument/2006/relationships/hyperlink" Target="https://fox2now.com/news/missouri/two-st-charles-county-catholic-schools-to-reconfigure/" TargetMode="External"/><Relationship Id="rId135" Type="http://schemas.openxmlformats.org/officeDocument/2006/relationships/hyperlink" Target="https://holyfamilymd.org/tuition-financial-aid" TargetMode="External"/><Relationship Id="rId377" Type="http://schemas.openxmlformats.org/officeDocument/2006/relationships/hyperlink" Target="https://www.chasecollegiate.org/admissions/tuition-fees" TargetMode="External"/><Relationship Id="rId1089" Type="http://schemas.openxmlformats.org/officeDocument/2006/relationships/hyperlink" Target="https://www.mainlinemedianews.com/2026/03/03/perlman-jewish-day-school-and-barrack-hebrew-academy-announce-plans-to-open-a-unified-prek-12-jewish-community-day-school/" TargetMode="External"/><Relationship Id="rId134" Type="http://schemas.openxmlformats.org/officeDocument/2006/relationships/hyperlink" Target="https://cathstan.org/news/local/holy-family-catholic-school-in-hillcrest-heights-to-close-at-end-of-school-year" TargetMode="External"/><Relationship Id="rId376" Type="http://schemas.openxmlformats.org/officeDocument/2006/relationships/hyperlink" Target="https://patch.com/connecticut/naugatuck/chase-collegiate-school-close" TargetMode="External"/><Relationship Id="rId133" Type="http://schemas.openxmlformats.org/officeDocument/2006/relationships/hyperlink" Target="https://www.niche.com/k12/st-theresa-school-hellertown-pa/" TargetMode="External"/><Relationship Id="rId375" Type="http://schemas.openxmlformats.org/officeDocument/2006/relationships/hyperlink" Target="https://www.niche.com/k12/st-johns-lutheran-school-beloit-wi/" TargetMode="External"/><Relationship Id="rId172" Type="http://schemas.openxmlformats.org/officeDocument/2006/relationships/hyperlink" Target="https://www.wtae.com/article/catholic-diocese-of-pittsburgh-announces-closure-of-quigley-catholic-high-school/32714434" TargetMode="External"/><Relationship Id="rId171" Type="http://schemas.openxmlformats.org/officeDocument/2006/relationships/hyperlink" Target="https://www.dailycamera.com/2020/05/27/private-kindergarten-summer-camp-program-closes-in-superior-because-of-coronavirus-impacts/" TargetMode="External"/><Relationship Id="rId170" Type="http://schemas.openxmlformats.org/officeDocument/2006/relationships/hyperlink" Target="https://www.niche.com/k12/immaculate-conception-cathedral-school-memphis-tn/students/" TargetMode="External"/><Relationship Id="rId165" Type="http://schemas.openxmlformats.org/officeDocument/2006/relationships/hyperlink" Target="https://www.sjalakeland.org/tuition-assistance%20(tuition%20assistance%20link%20error" TargetMode="External"/><Relationship Id="rId164" Type="http://schemas.openxmlformats.org/officeDocument/2006/relationships/hyperlink" Target="https://www.lkldnow.com/parents-launch-effort-to-save-historic-st-joseph-academy/" TargetMode="External"/><Relationship Id="rId163" Type="http://schemas.openxmlformats.org/officeDocument/2006/relationships/hyperlink" Target="https://www.niche.com/k12/holy-family-elementary-school-corpus-christi-tx/" TargetMode="External"/><Relationship Id="rId162" Type="http://schemas.openxmlformats.org/officeDocument/2006/relationships/hyperlink" Target="https://4.files.edl.io/8892/02/26/20/200411-1c7e6301-9637-4902-a073-a4a22b602970.pdf" TargetMode="External"/><Relationship Id="rId169" Type="http://schemas.openxmlformats.org/officeDocument/2006/relationships/hyperlink" Target="http://www.myiccs.org/tuitionandfees" TargetMode="External"/><Relationship Id="rId168" Type="http://schemas.openxmlformats.org/officeDocument/2006/relationships/hyperlink" Target="https://www.localmemphis.com/article/news/education/local-cathedral-high-school-to-close-memphis-immaculate-conception/522-128f145b-9c82-42c9-8af7-847999fedfc3" TargetMode="External"/><Relationship Id="rId167" Type="http://schemas.openxmlformats.org/officeDocument/2006/relationships/hyperlink" Target="https://www.niche.com/k12/st-josephs-academy-lakeland-fl/" TargetMode="External"/><Relationship Id="rId166" Type="http://schemas.openxmlformats.org/officeDocument/2006/relationships/hyperlink" Target="https://static1.squarespace.com/static/5cf7c57e54106a000186895d/t/5e53fb18a9679668e0695ba9/1582562072367/SJA+TUITION+AND+FEE+SCHEDULE+2020-2021.pdf" TargetMode="External"/><Relationship Id="rId161" Type="http://schemas.openxmlformats.org/officeDocument/2006/relationships/hyperlink" Target="https://www.caller.com/story/news/education/2020/05/27/holy-family-catholic-school-permanently-closing-corpus-christi/5265693002/" TargetMode="External"/><Relationship Id="rId160" Type="http://schemas.openxmlformats.org/officeDocument/2006/relationships/hyperlink" Target="https://www.niche.com/k12/st-louis-school-lowell-ma/" TargetMode="External"/><Relationship Id="rId159" Type="http://schemas.openxmlformats.org/officeDocument/2006/relationships/hyperlink" Target="https://www.saintlouisschool.org/tuition-rates" TargetMode="External"/><Relationship Id="rId154" Type="http://schemas.openxmlformats.org/officeDocument/2006/relationships/hyperlink" Target="https://www.conwaydailysun.com/business/local/white-mountain-waldorf-school-closing-after-35-years/article_99697104-a4e7-11ea-8c4f-ff536a6acf78.html" TargetMode="External"/><Relationship Id="rId396" Type="http://schemas.openxmlformats.org/officeDocument/2006/relationships/hyperlink" Target="https://www.niche.com/k12/bright-water-school-seattle-wa/" TargetMode="External"/><Relationship Id="rId153" Type="http://schemas.openxmlformats.org/officeDocument/2006/relationships/hyperlink" Target="https://www.niche.com/k12/st-peter-catholic-school-south-beloit-il/" TargetMode="External"/><Relationship Id="rId395" Type="http://schemas.openxmlformats.org/officeDocument/2006/relationships/hyperlink" Target="https://www.brightwaterwaldorf.org/tuition" TargetMode="External"/><Relationship Id="rId152" Type="http://schemas.openxmlformats.org/officeDocument/2006/relationships/hyperlink" Target="https://www.beloitdailynews.com/news/local-news/saint-peters-school-in-south-beloit-to-close/article_ce9a8538-e96f-5411-a89c-dcc44f1c29d2.html" TargetMode="External"/><Relationship Id="rId394" Type="http://schemas.openxmlformats.org/officeDocument/2006/relationships/hyperlink" Target="https://www.privateschoolreview.com/bright-water-waldorf-school-profile" TargetMode="External"/><Relationship Id="rId151" Type="http://schemas.openxmlformats.org/officeDocument/2006/relationships/hyperlink" Target="https://www.niche.com/k12/st-marys-school-pompton-lakes-nj/" TargetMode="External"/><Relationship Id="rId393" Type="http://schemas.openxmlformats.org/officeDocument/2006/relationships/hyperlink" Target="https://www.capitolhillseattle.com/2020/10/after-covid-crisis-cut-to-enrollment-capitol-hills-private-bright-water-says-will-close-after-school-year/" TargetMode="External"/><Relationship Id="rId158" Type="http://schemas.openxmlformats.org/officeDocument/2006/relationships/hyperlink" Target="https://www.lowellsun.com/2020/05/22/after-over-a-century-of-education-st-louis-school-closing-in-lowell/" TargetMode="External"/><Relationship Id="rId157" Type="http://schemas.openxmlformats.org/officeDocument/2006/relationships/hyperlink" Target="https://www.niche.com/k12/white-mountain-waldorf-school-albany-nh/" TargetMode="External"/><Relationship Id="rId399" Type="http://schemas.openxmlformats.org/officeDocument/2006/relationships/hyperlink" Target="https://www.inquirer.com/education/catholic-school-closing-hallahan-mcdevitt-20201118.html" TargetMode="External"/><Relationship Id="rId156" Type="http://schemas.openxmlformats.org/officeDocument/2006/relationships/hyperlink" Target="https://www.conwaydailysun.com/business/local/white-mountain-waldorf-school-closing-after-35-years/article_99697104-a4e7-11ea-8c4f-ff536a6acf78.html" TargetMode="External"/><Relationship Id="rId398" Type="http://schemas.openxmlformats.org/officeDocument/2006/relationships/hyperlink" Target="https://www.privateschoolreview.com/jw-hallahan-catholic-girls-high-school-profile" TargetMode="External"/><Relationship Id="rId155" Type="http://schemas.openxmlformats.org/officeDocument/2006/relationships/hyperlink" Target="https://www.privateschoolreview.com/white-mountain-waldorf-school-profile" TargetMode="External"/><Relationship Id="rId397" Type="http://schemas.openxmlformats.org/officeDocument/2006/relationships/hyperlink" Target="https://6abc.com/archdiocese-of-philadelphia-john-w-hallahan-bishop-mcdevitt-wyncote/8080855/" TargetMode="External"/><Relationship Id="rId808" Type="http://schemas.openxmlformats.org/officeDocument/2006/relationships/hyperlink" Target="https://stgermaineschool.com/tuition-schedule/" TargetMode="External"/><Relationship Id="rId807" Type="http://schemas.openxmlformats.org/officeDocument/2006/relationships/hyperlink" Target="https://stgermaine.org/news/st-germaine-school-celebrates-50-years" TargetMode="External"/><Relationship Id="rId806" Type="http://schemas.openxmlformats.org/officeDocument/2006/relationships/hyperlink" Target="https://www.niche.com/k12/st-germaine-elementary-school-saint-clair-shores-mi/" TargetMode="External"/><Relationship Id="rId805" Type="http://schemas.openxmlformats.org/officeDocument/2006/relationships/hyperlink" Target="https://www.niche.com/k12/la-reina-high-school-and-middle-school-thousand-oaks-ca/" TargetMode="External"/><Relationship Id="rId809" Type="http://schemas.openxmlformats.org/officeDocument/2006/relationships/hyperlink" Target="https://www.ncronline.org/news/joliet-bishop-announces-merging-closure-9-catholic-parishes" TargetMode="External"/><Relationship Id="rId800" Type="http://schemas.openxmlformats.org/officeDocument/2006/relationships/hyperlink" Target="https://www.niche.com/k12/st-francis-schools-humphrey-ne/students/" TargetMode="External"/><Relationship Id="rId804" Type="http://schemas.openxmlformats.org/officeDocument/2006/relationships/hyperlink" Target="https://www.kclu.org/2024-01-25/a-private-catholic-school-serving-the-conejo-valley-is-closing-after-nearly-six-decades-in-operation" TargetMode="External"/><Relationship Id="rId803" Type="http://schemas.openxmlformats.org/officeDocument/2006/relationships/hyperlink" Target="https://saintmartin.org/school/Prospective-Families/Document-Library" TargetMode="External"/><Relationship Id="rId802" Type="http://schemas.openxmlformats.org/officeDocument/2006/relationships/hyperlink" Target="https://www.cincinnati.com/story/news/2023/12/19/cincinnati-catholic-school-closing-after-more-than-100-years/71975669007/" TargetMode="External"/><Relationship Id="rId801" Type="http://schemas.openxmlformats.org/officeDocument/2006/relationships/hyperlink" Target="https://norfolkdailynews.com/news/merger-on-horizon-for-holy-family-st-francis/article_138624d4-b45b-11ed-99a1-d7f80659042b.html" TargetMode="External"/><Relationship Id="rId40" Type="http://schemas.openxmlformats.org/officeDocument/2006/relationships/hyperlink" Target="https://olmchou.org/a-letter-from-fr-cobos-concerning-the-closing-of-olmc/" TargetMode="External"/><Relationship Id="rId42" Type="http://schemas.openxmlformats.org/officeDocument/2006/relationships/hyperlink" Target="https://www.niche.com/k12/our-lady-of-mount-carmel-school-houston-tx/" TargetMode="External"/><Relationship Id="rId41" Type="http://schemas.openxmlformats.org/officeDocument/2006/relationships/hyperlink" Target="https://olmchou.org/wp-content/uploads/2020/01/2020-2021-Tuition-and-Fees.pdf" TargetMode="External"/><Relationship Id="rId44" Type="http://schemas.openxmlformats.org/officeDocument/2006/relationships/hyperlink" Target="https://queenofpeacecatholicschool.org/wp-content/uploads/2019/12/2020-2021-Tuition-and-Fees-new.pdf" TargetMode="External"/><Relationship Id="rId43" Type="http://schemas.openxmlformats.org/officeDocument/2006/relationships/hyperlink" Target="https://abc13.com/catholic-schools-closing-st-pius-v-our-lady-of-mount-carmel-queen-peace/6121113/" TargetMode="External"/><Relationship Id="rId46" Type="http://schemas.openxmlformats.org/officeDocument/2006/relationships/hyperlink" Target="https://abc13.com/catholic-schools-closing-st-pius-v-our-lady-of-mount-carmel-queen-peace/6121113/" TargetMode="External"/><Relationship Id="rId45" Type="http://schemas.openxmlformats.org/officeDocument/2006/relationships/hyperlink" Target="https://www.learncentralhouston.org/schools/view/queen-peace-catholic-school/" TargetMode="External"/><Relationship Id="rId509" Type="http://schemas.openxmlformats.org/officeDocument/2006/relationships/hyperlink" Target="https://www.latimes.com/california/story/2021-04-03/six-la-catholic-schools-close-covid-19-hardship" TargetMode="External"/><Relationship Id="rId508" Type="http://schemas.openxmlformats.org/officeDocument/2006/relationships/hyperlink" Target="https://www.niche.com/k12/st-francis-of-assisi-school-los-angeles-ca/" TargetMode="External"/><Relationship Id="rId503" Type="http://schemas.openxmlformats.org/officeDocument/2006/relationships/hyperlink" Target="https://www.latimes.com/california/story/2021-04-03/six-la-catholic-schools-close-covid-19-hardship" TargetMode="External"/><Relationship Id="rId745" Type="http://schemas.openxmlformats.org/officeDocument/2006/relationships/hyperlink" Target="https://www.niche.com/k12/brandon-hall-school-atlanta-ga/students/" TargetMode="External"/><Relationship Id="rId987" Type="http://schemas.openxmlformats.org/officeDocument/2006/relationships/hyperlink" Target="https://www.niche.com/k12/holy-trinity-catholic-academy-shelton-ct/" TargetMode="External"/><Relationship Id="rId502" Type="http://schemas.openxmlformats.org/officeDocument/2006/relationships/hyperlink" Target="https://www.niche.com/k12/blessed-sacrament-school-los-angeles-ca-bb140039/" TargetMode="External"/><Relationship Id="rId744" Type="http://schemas.openxmlformats.org/officeDocument/2006/relationships/hyperlink" Target="https://www.niche.com/k12/brandon-hall-school-atlanta-ga/" TargetMode="External"/><Relationship Id="rId986" Type="http://schemas.openxmlformats.org/officeDocument/2006/relationships/hyperlink" Target="https://www.ctinsider.com/news/shelton/article/holy-trinity-catholic-academy-closing-shelton-ct-20310893.php" TargetMode="External"/><Relationship Id="rId501" Type="http://schemas.openxmlformats.org/officeDocument/2006/relationships/hyperlink" Target="http://www.schoolblessedsacrament.org/UserFiles/Servers/Server_20273634/File/Admissions/SchoolEnrollmentPacket/2020-2021%20Enrollment%20Packet.pdf" TargetMode="External"/><Relationship Id="rId743" Type="http://schemas.openxmlformats.org/officeDocument/2006/relationships/hyperlink" Target="https://www.wsbtv.com/news/local/metro-boarding-school-closing-leaving-teachers-unpaid-parents-waiting-tuition-refunds/VYBXERTVL5BPLDLLPSJSWHGBDM/" TargetMode="External"/><Relationship Id="rId985" Type="http://schemas.openxmlformats.org/officeDocument/2006/relationships/hyperlink" Target="https://www.niche.com/k12/st-francis-de-sales-school-riverside-ca/" TargetMode="External"/><Relationship Id="rId500" Type="http://schemas.openxmlformats.org/officeDocument/2006/relationships/hyperlink" Target="https://www.latimes.com/california/story/2021-04-03/six-la-catholic-schools-close-covid-19-hardship" TargetMode="External"/><Relationship Id="rId742" Type="http://schemas.openxmlformats.org/officeDocument/2006/relationships/hyperlink" Target="https://www.niche.com/k12/brandon-hall-school-atlanta-ga/students/" TargetMode="External"/><Relationship Id="rId984" Type="http://schemas.openxmlformats.org/officeDocument/2006/relationships/hyperlink" Target="https://www.sfdslions.com/ourpages/auto/2021/6/10/45838915/Tuition%20Contract%202024-2025.pdf?rnd=1716501261132" TargetMode="External"/><Relationship Id="rId507" Type="http://schemas.openxmlformats.org/officeDocument/2006/relationships/hyperlink" Target="http://www.stfrancisla.com/admissions/tuition/" TargetMode="External"/><Relationship Id="rId749" Type="http://schemas.openxmlformats.org/officeDocument/2006/relationships/hyperlink" Target="https://wellsvillesun.com/blog/2023/06/28/why-ics-is-closing-for-good-info-on-the-building-and-the-feedback-as-father-jim-hartwell-explains/" TargetMode="External"/><Relationship Id="rId506" Type="http://schemas.openxmlformats.org/officeDocument/2006/relationships/hyperlink" Target="https://www.latimes.com/california/story/2021-04-03/six-la-catholic-schools-close-covid-19-hardship" TargetMode="External"/><Relationship Id="rId748" Type="http://schemas.openxmlformats.org/officeDocument/2006/relationships/hyperlink" Target="https://www.niche.com/k12/holy-family-catholic-school-elmira-ny/" TargetMode="External"/><Relationship Id="rId505" Type="http://schemas.openxmlformats.org/officeDocument/2006/relationships/hyperlink" Target="https://www.niche.com/k12/st-catherine-of-siena-school-reseda-ca/" TargetMode="External"/><Relationship Id="rId747" Type="http://schemas.openxmlformats.org/officeDocument/2006/relationships/hyperlink" Target="https://www.holyfamilyelmira.org/" TargetMode="External"/><Relationship Id="rId989" Type="http://schemas.openxmlformats.org/officeDocument/2006/relationships/hyperlink" Target="https://www.pressdemocrat.com/article/news/st-eugenes-catholic-school-santa-rosa-diocese/" TargetMode="External"/><Relationship Id="rId504" Type="http://schemas.openxmlformats.org/officeDocument/2006/relationships/hyperlink" Target="https://www.catherineofsiena.org/tuition--financial-assistance.html" TargetMode="External"/><Relationship Id="rId746" Type="http://schemas.openxmlformats.org/officeDocument/2006/relationships/hyperlink" Target="https://www.mytwintiers.com/news-cat/local-news/catholic-school-closing-after-125-years/" TargetMode="External"/><Relationship Id="rId988" Type="http://schemas.openxmlformats.org/officeDocument/2006/relationships/hyperlink" Target="https://www.news-graphic.com/news/pca-to-close-after-21-years/article_ce668ece-6845-45d9-87cc-0f8338a506bf.html" TargetMode="External"/><Relationship Id="rId48" Type="http://schemas.openxmlformats.org/officeDocument/2006/relationships/hyperlink" Target="https://www.niche.com/k12/st-francis-of-assisi-school-houston-tx/" TargetMode="External"/><Relationship Id="rId47" Type="http://schemas.openxmlformats.org/officeDocument/2006/relationships/hyperlink" Target="https://sfoacs.org/admissions/tuition-fees/" TargetMode="External"/><Relationship Id="rId49" Type="http://schemas.openxmlformats.org/officeDocument/2006/relationships/hyperlink" Target="https://abc13.com/catholic-schools-closing-st-pius-v-our-lady-of-mount-carmel-queen-peace/6121113/" TargetMode="External"/><Relationship Id="rId741" Type="http://schemas.openxmlformats.org/officeDocument/2006/relationships/hyperlink" Target="https://www.niche.com/k12/st-anthony-school-columbus-oh/" TargetMode="External"/><Relationship Id="rId983" Type="http://schemas.openxmlformats.org/officeDocument/2006/relationships/hyperlink" Target="https://www.raincrossgazette.com/diocese-plans-to-close-historic-riverside-catholic-school/" TargetMode="External"/><Relationship Id="rId740" Type="http://schemas.openxmlformats.org/officeDocument/2006/relationships/hyperlink" Target="https://news.wosu.org/news/2023-05-25/catholic-diocese-of-columbus-closing-15-churches-in-central-ohio-including-nine-in-columbus" TargetMode="External"/><Relationship Id="rId982" Type="http://schemas.openxmlformats.org/officeDocument/2006/relationships/hyperlink" Target="https://www.nytimes.com/2025/04/24/us/school-closure-zuckerberg-chan.html" TargetMode="External"/><Relationship Id="rId981" Type="http://schemas.openxmlformats.org/officeDocument/2006/relationships/hyperlink" Target="https://school.divineredeemer.net/o/drcs/page/tuition-fees" TargetMode="External"/><Relationship Id="rId980" Type="http://schemas.openxmlformats.org/officeDocument/2006/relationships/hyperlink" Target="https://gazette.com/news/education/colorado-springs-school-to-close-due-to-dwindling-enrollment-and-competition-shocking-families/article_fb4922ef-1112-4cb0-b31b-8b2014bc0966.html" TargetMode="External"/><Relationship Id="rId31" Type="http://schemas.openxmlformats.org/officeDocument/2006/relationships/hyperlink" Target="https://www.camdendiocese.org/five-catholic-schools-in-the-diocese-of-camden-to-close-at-end-of-school-year/" TargetMode="External"/><Relationship Id="rId30" Type="http://schemas.openxmlformats.org/officeDocument/2006/relationships/hyperlink" Target="https://www.niche.com/k12/st-joseph-regional-elementary-school-hammonton-nj/" TargetMode="External"/><Relationship Id="rId33" Type="http://schemas.openxmlformats.org/officeDocument/2006/relationships/hyperlink" Target="https://www.stmarys-ok.org/tuition-fees" TargetMode="External"/><Relationship Id="rId32" Type="http://schemas.openxmlformats.org/officeDocument/2006/relationships/hyperlink" Target="https://www.stmarys-ok.org/school-closing-information" TargetMode="External"/><Relationship Id="rId35" Type="http://schemas.openxmlformats.org/officeDocument/2006/relationships/hyperlink" Target="https://hudsonvalleypost.com/famed-hudson-valley-school-announces-plans-to-reopen/" TargetMode="External"/><Relationship Id="rId34" Type="http://schemas.openxmlformats.org/officeDocument/2006/relationships/hyperlink" Target="https://www.niche.com/k12/st-marys-catholic-school-lawton-ok/" TargetMode="External"/><Relationship Id="rId739" Type="http://schemas.openxmlformats.org/officeDocument/2006/relationships/hyperlink" Target="https://www.schoolspeak.com/Pages.aspx?Community=43229001&amp;Page=16" TargetMode="External"/><Relationship Id="rId734" Type="http://schemas.openxmlformats.org/officeDocument/2006/relationships/hyperlink" Target="https://www.matignon.org/admissions/tuition-affordability" TargetMode="External"/><Relationship Id="rId976" Type="http://schemas.openxmlformats.org/officeDocument/2006/relationships/hyperlink" Target="https://www.niche.com/k12/sound-christian-academy-tacoma-wa/students/" TargetMode="External"/><Relationship Id="rId733" Type="http://schemas.openxmlformats.org/officeDocument/2006/relationships/hyperlink" Target="https://www.wcvb.com/article/cambridge-matignon-school-closing-massachusetts/43773897" TargetMode="External"/><Relationship Id="rId975" Type="http://schemas.openxmlformats.org/officeDocument/2006/relationships/hyperlink" Target="https://lancasteronline.com/news/local/resurrection-catholic-school-to-close-at-the-end-of-school-year/article_21ef5601-d7d6-4513-9362-51ef6e46a913.html" TargetMode="External"/><Relationship Id="rId732" Type="http://schemas.openxmlformats.org/officeDocument/2006/relationships/hyperlink" Target="https://www.13abc.com/2023/04/24/parents-worry-after-special-needs-school-findlay-announces-closure/" TargetMode="External"/><Relationship Id="rId974" Type="http://schemas.openxmlformats.org/officeDocument/2006/relationships/hyperlink" Target="https://www.niche.com/k12/st-simon-the-apostle-school-saint-louis-mo/" TargetMode="External"/><Relationship Id="rId731" Type="http://schemas.openxmlformats.org/officeDocument/2006/relationships/hyperlink" Target="https://www.niche.com/k12/st-marys-school-ticonderoga-ny/" TargetMode="External"/><Relationship Id="rId973" Type="http://schemas.openxmlformats.org/officeDocument/2006/relationships/hyperlink" Target="https://stsimonchurch.org/tuitionfinancial-aidscholarships" TargetMode="External"/><Relationship Id="rId738" Type="http://schemas.openxmlformats.org/officeDocument/2006/relationships/hyperlink" Target="https://www.franciscanhigh.org/admissions/tuition-family-contribution" TargetMode="External"/><Relationship Id="rId737" Type="http://schemas.openxmlformats.org/officeDocument/2006/relationships/hyperlink" Target="https://www.wbrz.com/news/franciscan-high-school-closing-its-doors-at-end-of-school-year/" TargetMode="External"/><Relationship Id="rId979" Type="http://schemas.openxmlformats.org/officeDocument/2006/relationships/hyperlink" Target="https://icsspotswood.org/tuition-informationhttps://icsspotswood.org/tuition-information" TargetMode="External"/><Relationship Id="rId736" Type="http://schemas.openxmlformats.org/officeDocument/2006/relationships/hyperlink" Target="https://www.niche.com/k12/cristo-rey-baton-rouge-franciscan-hs-baton-rouge-la/" TargetMode="External"/><Relationship Id="rId978" Type="http://schemas.openxmlformats.org/officeDocument/2006/relationships/hyperlink" Target="https://www.nj.com/education/2025/04/nj-catholic-school-to-close-after-65-years.html" TargetMode="External"/><Relationship Id="rId735" Type="http://schemas.openxmlformats.org/officeDocument/2006/relationships/hyperlink" Target="https://www.niche.com/k12/the-cambridge-matignon-school-cambridge-ma/students/" TargetMode="External"/><Relationship Id="rId977" Type="http://schemas.openxmlformats.org/officeDocument/2006/relationships/hyperlink" Target="https://www.soundchristianacademy.org/admissions/tuition-and-tuition-assistance/" TargetMode="External"/><Relationship Id="rId37" Type="http://schemas.openxmlformats.org/officeDocument/2006/relationships/hyperlink" Target="https://www.privateschoolreview.com/poughkeepsie-day-school-profile" TargetMode="External"/><Relationship Id="rId36" Type="http://schemas.openxmlformats.org/officeDocument/2006/relationships/hyperlink" Target="https://www.poughkeepsiejournal.com/story/news/education/2020/04/21/coronavirus-poughkeepsie-day-school-announces-closure-june/2995029001/" TargetMode="External"/><Relationship Id="rId39" Type="http://schemas.openxmlformats.org/officeDocument/2006/relationships/hyperlink" Target="https://www.niche.com/k12/poughkeepsie-day-school-poughkeepsie-ny/students/" TargetMode="External"/><Relationship Id="rId38" Type="http://schemas.openxmlformats.org/officeDocument/2006/relationships/hyperlink" Target="https://poughkeepsieday.org/admissions/flexible-tuition/" TargetMode="External"/><Relationship Id="rId730" Type="http://schemas.openxmlformats.org/officeDocument/2006/relationships/hyperlink" Target="http://www.stmarysschoolticonderoga.org/" TargetMode="External"/><Relationship Id="rId972" Type="http://schemas.openxmlformats.org/officeDocument/2006/relationships/hyperlink" Target="https://www.ksdk.com/article/news/local/a-st-louis-catholic-elementary-school-to-close-after-65-years/63-5ce2ff65-27aa-4020-9044-53afdd43a497" TargetMode="External"/><Relationship Id="rId971" Type="http://schemas.openxmlformats.org/officeDocument/2006/relationships/hyperlink" Target="https://www.niche.com/k12/meadowview-christian-school-selma-al/students/" TargetMode="External"/><Relationship Id="rId970" Type="http://schemas.openxmlformats.org/officeDocument/2006/relationships/hyperlink" Target="https://meadowviewchristian.com/wp-content/uploads/2023/03/MCS-Registration.pdf" TargetMode="External"/><Relationship Id="rId1114" Type="http://schemas.openxmlformats.org/officeDocument/2006/relationships/hyperlink" Target="https://www.niche.com/k12/st-patricks-academy-east-great-falls-mt/" TargetMode="External"/><Relationship Id="rId1115" Type="http://schemas.openxmlformats.org/officeDocument/2006/relationships/hyperlink" Target="https://www.montanarightnow.com/great-falls/great-falls-catholic-school-faces-closure-after-60-years/article_5284d803-8a8b-40bb-9bc0-a72b790d3a00.html" TargetMode="External"/><Relationship Id="rId20" Type="http://schemas.openxmlformats.org/officeDocument/2006/relationships/hyperlink" Target="https://www.niche.com/k12/cape-trinity-catholic-school-north-wildwood-nj/" TargetMode="External"/><Relationship Id="rId1116" Type="http://schemas.openxmlformats.org/officeDocument/2006/relationships/hyperlink" Target="https://www.stpatricksacademymt.org/admissions" TargetMode="External"/><Relationship Id="rId1117" Type="http://schemas.openxmlformats.org/officeDocument/2006/relationships/hyperlink" Target="https://www.niche.com/k12/st-patricks-academy-east-great-falls-mt/" TargetMode="External"/><Relationship Id="rId22" Type="http://schemas.openxmlformats.org/officeDocument/2006/relationships/hyperlink" Target="https://wildwoodcatholicacademy.org/financialaid" TargetMode="External"/><Relationship Id="rId1118" Type="http://schemas.openxmlformats.org/officeDocument/2006/relationships/hyperlink" Target="https://bouldercityreview.com/news/grace-christian-academy-set-to-close-after-26-years-123078/" TargetMode="External"/><Relationship Id="rId21" Type="http://schemas.openxmlformats.org/officeDocument/2006/relationships/hyperlink" Target="https://www.camdendiocese.org/five-catholic-schools-in-the-diocese-of-camden-to-close-at-end-of-school-year/" TargetMode="External"/><Relationship Id="rId1119" Type="http://schemas.openxmlformats.org/officeDocument/2006/relationships/hyperlink" Target="https://bouldercityreview.com/news/grace-christian-academy-set-to-close-after-26-years-123078/" TargetMode="External"/><Relationship Id="rId24" Type="http://schemas.openxmlformats.org/officeDocument/2006/relationships/hyperlink" Target="https://www.camdendiocese.org/five-catholic-schools-in-the-diocese-of-camden-to-close-at-end-of-school-year/" TargetMode="External"/><Relationship Id="rId23" Type="http://schemas.openxmlformats.org/officeDocument/2006/relationships/hyperlink" Target="https://www.niche.com/k12/wildwood-catholic-high-school-north-wildwood-nj/students/" TargetMode="External"/><Relationship Id="rId525" Type="http://schemas.openxmlformats.org/officeDocument/2006/relationships/hyperlink" Target="https://thechristianacademy.org/about/fees/" TargetMode="External"/><Relationship Id="rId767" Type="http://schemas.openxmlformats.org/officeDocument/2006/relationships/hyperlink" Target="https://www.thebostonpilot.com/article.php?ID=195057" TargetMode="External"/><Relationship Id="rId524" Type="http://schemas.openxmlformats.org/officeDocument/2006/relationships/hyperlink" Target="https://www.kfvs12.com/2021/05/21/sikeston-school-raises-money-keep-doors-open/" TargetMode="External"/><Relationship Id="rId766" Type="http://schemas.openxmlformats.org/officeDocument/2006/relationships/hyperlink" Target="https://www.niche.com/k12/santa-fe-waldorf-school-santa-fe-nm/students/" TargetMode="External"/><Relationship Id="rId523" Type="http://schemas.openxmlformats.org/officeDocument/2006/relationships/hyperlink" Target="https://www.niche.com/k12/trinity-academy-shenandoah-pa/" TargetMode="External"/><Relationship Id="rId765" Type="http://schemas.openxmlformats.org/officeDocument/2006/relationships/hyperlink" Target="https://www.niche.com/k12/santa-fe-waldorf-school-santa-fe-nm/" TargetMode="External"/><Relationship Id="rId522" Type="http://schemas.openxmlformats.org/officeDocument/2006/relationships/hyperlink" Target="https://shensentinel.com/news/trinity-academy-closing-next-month/" TargetMode="External"/><Relationship Id="rId764" Type="http://schemas.openxmlformats.org/officeDocument/2006/relationships/hyperlink" Target="https://www.santafewaldorf.org/" TargetMode="External"/><Relationship Id="rId529" Type="http://schemas.openxmlformats.org/officeDocument/2006/relationships/hyperlink" Target="https://www.greatschools.org/ohio/parma/3052-St-Bridget-Of-Kildare-School/" TargetMode="External"/><Relationship Id="rId528" Type="http://schemas.openxmlformats.org/officeDocument/2006/relationships/hyperlink" Target="http://nebula.wsimg.com/a7dd3ddecc27cd61b9a93c120efe44a9?AccessKeyId=C10687A745C23972C1F8&amp;disposition=0&amp;alloworigin=1" TargetMode="External"/><Relationship Id="rId527" Type="http://schemas.openxmlformats.org/officeDocument/2006/relationships/hyperlink" Target="https://fox8.com/news/local-catholic-grade-school-to-permanently-shut-doors-on-friday/" TargetMode="External"/><Relationship Id="rId769" Type="http://schemas.openxmlformats.org/officeDocument/2006/relationships/hyperlink" Target="https://mustardseedschool.org/about/" TargetMode="External"/><Relationship Id="rId526" Type="http://schemas.openxmlformats.org/officeDocument/2006/relationships/hyperlink" Target="https://www.niche.com/k12/the-christian-academy-sikeston-mo/students/" TargetMode="External"/><Relationship Id="rId768" Type="http://schemas.openxmlformats.org/officeDocument/2006/relationships/hyperlink" Target="https://lumenverumacademy.org/" TargetMode="External"/><Relationship Id="rId26" Type="http://schemas.openxmlformats.org/officeDocument/2006/relationships/hyperlink" Target="https://www.niche.com/k12/good-shepherd-regional-school-collingswood-nj/" TargetMode="External"/><Relationship Id="rId25" Type="http://schemas.openxmlformats.org/officeDocument/2006/relationships/hyperlink" Target="https://www.gscregional.org/tuition-and-fees.html" TargetMode="External"/><Relationship Id="rId28" Type="http://schemas.openxmlformats.org/officeDocument/2006/relationships/hyperlink" Target="https://www.privateschoolreview.com/st-joseph-regional-elementary-school-profile" TargetMode="External"/><Relationship Id="rId27" Type="http://schemas.openxmlformats.org/officeDocument/2006/relationships/hyperlink" Target="https://www.inquirer.com/education/school-closing-new-jersey-catholic-wildwood-catholic-good-shepherd-saint-joseph-20200417.html" TargetMode="External"/><Relationship Id="rId521" Type="http://schemas.openxmlformats.org/officeDocument/2006/relationships/hyperlink" Target="https://spiritacad.org/tuition" TargetMode="External"/><Relationship Id="rId763" Type="http://schemas.openxmlformats.org/officeDocument/2006/relationships/hyperlink" Target="https://www.santafenewmexican.com/news/education/santa-fe-waldorf-schools-sudden-closure-leaves-students-parents-staff-trying-to-find-answers/article_be710cc8-3530-11ee-86aa-b7571670d416.html" TargetMode="External"/><Relationship Id="rId1110" Type="http://schemas.openxmlformats.org/officeDocument/2006/relationships/hyperlink" Target="https://www.niche.com/k12/st-michael-school-waialua-hi/" TargetMode="External"/><Relationship Id="rId29" Type="http://schemas.openxmlformats.org/officeDocument/2006/relationships/hyperlink" Target="https://www.stjosephprek8.org/tuition-and-financial-aid" TargetMode="External"/><Relationship Id="rId520" Type="http://schemas.openxmlformats.org/officeDocument/2006/relationships/hyperlink" Target="https://triblive.com/local/regional/holy-spirit-academy-in-new-castle-to-close/" TargetMode="External"/><Relationship Id="rId762" Type="http://schemas.openxmlformats.org/officeDocument/2006/relationships/hyperlink" Target="https://www.niche.com/k12/holy-family-catholic-school-covington-ky/" TargetMode="External"/><Relationship Id="rId1111" Type="http://schemas.openxmlformats.org/officeDocument/2006/relationships/hyperlink" Target="https://www.hawaiinewsnow.com/2026/05/02/st-michael-school-waialua-close-after-82-years-following-enrollment-shortfall/" TargetMode="External"/><Relationship Id="rId761" Type="http://schemas.openxmlformats.org/officeDocument/2006/relationships/hyperlink" Target="https://www.holyfamilycovington.org/Home" TargetMode="External"/><Relationship Id="rId1112" Type="http://schemas.openxmlformats.org/officeDocument/2006/relationships/hyperlink" Target="https://www.stmichaelschoolhi.com/preschool.html" TargetMode="External"/><Relationship Id="rId760" Type="http://schemas.openxmlformats.org/officeDocument/2006/relationships/hyperlink" Target="https://spectrumnews1.com/ky/louisville/news/2023/08/02/teacher-shortages-affecting-schools" TargetMode="External"/><Relationship Id="rId1113" Type="http://schemas.openxmlformats.org/officeDocument/2006/relationships/hyperlink" Target="https://www.niche.com/k12/st-michael-school-waialua-hi/" TargetMode="External"/><Relationship Id="rId1103" Type="http://schemas.openxmlformats.org/officeDocument/2006/relationships/hyperlink" Target="https://catholicreview.org/st-michael-st-clement-school-will-close-at-end-of-academic-year/" TargetMode="External"/><Relationship Id="rId1104" Type="http://schemas.openxmlformats.org/officeDocument/2006/relationships/hyperlink" Target="https://www.niche.com/k12/st-michael---st-clement-school-baltimore-md/" TargetMode="External"/><Relationship Id="rId1105" Type="http://schemas.openxmlformats.org/officeDocument/2006/relationships/hyperlink" Target="https://roughdraftatlanta.com/2026/03/31/midtown-international-school-closure/" TargetMode="External"/><Relationship Id="rId1106" Type="http://schemas.openxmlformats.org/officeDocument/2006/relationships/hyperlink" Target="https://www.ajc.com/education/2026/04/atlanta-private-school-announces-sudden-closure-citing-financial-problems/" TargetMode="External"/><Relationship Id="rId11" Type="http://schemas.openxmlformats.org/officeDocument/2006/relationships/hyperlink" Target="https://www.tauntongazette.com/news/20200418/we-had-no-opportunity-to-save-that-school----coyle-cassidy-closure-in-taunton-draws-strong-reaction" TargetMode="External"/><Relationship Id="rId1107" Type="http://schemas.openxmlformats.org/officeDocument/2006/relationships/hyperlink" Target="https://hoodline.com/2026/04/druid-hills-private-school-pulls-plug-days-before-break-parents-reeling/" TargetMode="External"/><Relationship Id="rId10" Type="http://schemas.openxmlformats.org/officeDocument/2006/relationships/hyperlink" Target="https://high-schools.com/directory/va/cities/newport-news/oyster-point-academy/a1503976/" TargetMode="External"/><Relationship Id="rId1108" Type="http://schemas.openxmlformats.org/officeDocument/2006/relationships/hyperlink" Target="https://www.niche.com/k12/midtown-international-school-atlanta-ga/" TargetMode="External"/><Relationship Id="rId13" Type="http://schemas.openxmlformats.org/officeDocument/2006/relationships/hyperlink" Target="https://www.niche.com/k12/coyle--and--cassidy-high-school-taunton-ma/students/" TargetMode="External"/><Relationship Id="rId1109" Type="http://schemas.openxmlformats.org/officeDocument/2006/relationships/hyperlink" Target="https://www.privateschoolreview.com/midtown-international-school-profile" TargetMode="External"/><Relationship Id="rId12" Type="http://schemas.openxmlformats.org/officeDocument/2006/relationships/hyperlink" Target="https://www.coylecassidy.com/tuition-rates-and-financial-aid/" TargetMode="External"/><Relationship Id="rId519" Type="http://schemas.openxmlformats.org/officeDocument/2006/relationships/hyperlink" Target="https://www.niche.com/k12/holy-cross-school-kimball-mn/" TargetMode="External"/><Relationship Id="rId514" Type="http://schemas.openxmlformats.org/officeDocument/2006/relationships/hyperlink" Target="https://www.stjoeshs.org/domain/568" TargetMode="External"/><Relationship Id="rId756" Type="http://schemas.openxmlformats.org/officeDocument/2006/relationships/hyperlink" Target="https://saintjoeschool.org/" TargetMode="External"/><Relationship Id="rId998" Type="http://schemas.openxmlformats.org/officeDocument/2006/relationships/hyperlink" Target="https://www.niche.com/k12/our-lady-of-perpetual-help-elementary-school-brooklyn-ny/" TargetMode="External"/><Relationship Id="rId513" Type="http://schemas.openxmlformats.org/officeDocument/2006/relationships/hyperlink" Target="https://www.privateschoolreview.com/st-joseph-high-school-profile/60154" TargetMode="External"/><Relationship Id="rId755" Type="http://schemas.openxmlformats.org/officeDocument/2006/relationships/hyperlink" Target="https://www.fox19.com/2023/07/06/cincinnati-catholic-school-closes-2023-24-school-year/" TargetMode="External"/><Relationship Id="rId997" Type="http://schemas.openxmlformats.org/officeDocument/2006/relationships/hyperlink" Target="https://olphcab.org/tuition-and-fees" TargetMode="External"/><Relationship Id="rId512" Type="http://schemas.openxmlformats.org/officeDocument/2006/relationships/hyperlink" Target="https://il02222025.schoolwires.net/cms/lib/IL02222025/Centricity/Domain/8/Letter%20to%20Alumni%20and%20Friends.pdf" TargetMode="External"/><Relationship Id="rId754" Type="http://schemas.openxmlformats.org/officeDocument/2006/relationships/hyperlink" Target="https://www.niche.com/k12/st-joseph-school-cincinnati-oh/" TargetMode="External"/><Relationship Id="rId996" Type="http://schemas.openxmlformats.org/officeDocument/2006/relationships/hyperlink" Target="https://www.brooklynpaper.com/our-lady-of-perpetual-help-catholic-school-close/" TargetMode="External"/><Relationship Id="rId511" Type="http://schemas.openxmlformats.org/officeDocument/2006/relationships/hyperlink" Target="https://www.niche.com/k12/st-madeleine-school-pomona-ca/" TargetMode="External"/><Relationship Id="rId753" Type="http://schemas.openxmlformats.org/officeDocument/2006/relationships/hyperlink" Target="https://www.greatschools.org/missouri/florissant/2464-St-Rose-Philippine-Duchesne-School/" TargetMode="External"/><Relationship Id="rId995" Type="http://schemas.openxmlformats.org/officeDocument/2006/relationships/hyperlink" Target="https://www.niche.com/k12/the-atonement-catholic-academy-san-antonio-tx/" TargetMode="External"/><Relationship Id="rId518" Type="http://schemas.openxmlformats.org/officeDocument/2006/relationships/hyperlink" Target="http://holycrossmn.org/tuitionadmission/" TargetMode="External"/><Relationship Id="rId517" Type="http://schemas.openxmlformats.org/officeDocument/2006/relationships/hyperlink" Target="https://www.privateschoolreview.com/holy-cross-school-profile/55353" TargetMode="External"/><Relationship Id="rId759" Type="http://schemas.openxmlformats.org/officeDocument/2006/relationships/hyperlink" Target="https://www.theeastsiderla.com/news/daily_digest_morning_edition/low-enrollment-dooms-catholic-school/article_1ee4520e-2fbe-11ee-b69c-0335af973e99.html" TargetMode="External"/><Relationship Id="rId516" Type="http://schemas.openxmlformats.org/officeDocument/2006/relationships/hyperlink" Target="https://stcdio.org/2021/05/01/may-1-2021-future-of-holy-cross-school-pearl-lake-marty/" TargetMode="External"/><Relationship Id="rId758" Type="http://schemas.openxmlformats.org/officeDocument/2006/relationships/hyperlink" Target="https://www.fox17online.com/news/local-news/grand-rapids/saint-stephen-school-to-close-amid-enrollment-drop" TargetMode="External"/><Relationship Id="rId515" Type="http://schemas.openxmlformats.org/officeDocument/2006/relationships/hyperlink" Target="http://www.usaschoolinfo.com/school/st-joseph-high-school-westchester-illinois.106183/enrollment" TargetMode="External"/><Relationship Id="rId757" Type="http://schemas.openxmlformats.org/officeDocument/2006/relationships/hyperlink" Target="https://www.ststephenparish.com/wp-content/uploads/2023/06/School-Closure-Letter.pdf" TargetMode="External"/><Relationship Id="rId999" Type="http://schemas.openxmlformats.org/officeDocument/2006/relationships/hyperlink" Target="https://www.niche.com/k12/st-basil-school-south-haven-mi/" TargetMode="External"/><Relationship Id="rId15" Type="http://schemas.openxmlformats.org/officeDocument/2006/relationships/hyperlink" Target="https://www.privateschoolreview.com/st-margaret-primary-school-profile" TargetMode="External"/><Relationship Id="rId990" Type="http://schemas.openxmlformats.org/officeDocument/2006/relationships/hyperlink" Target="https://static1.squarespace.com/static/6255cafefdb5c95ecc11ecc9/t/67d8bdda152ce95f1b6f678d/1742257662704/TuitionsandFees.pdf" TargetMode="External"/><Relationship Id="rId14" Type="http://schemas.openxmlformats.org/officeDocument/2006/relationships/hyperlink" Target="http://www.smrsbb.org/wp-content/uploads/Two-School-Closures_April-14-2020.docx.pdf" TargetMode="External"/><Relationship Id="rId17" Type="http://schemas.openxmlformats.org/officeDocument/2006/relationships/hyperlink" Target="https://www.niche.com/k12/st-margaret-primary-school-buzzards-bay-ma/" TargetMode="External"/><Relationship Id="rId16" Type="http://schemas.openxmlformats.org/officeDocument/2006/relationships/hyperlink" Target="http://www.smrsbb.org/wp-content/uploads/Enrollment-Information-2019-2020.pdf" TargetMode="External"/><Relationship Id="rId19" Type="http://schemas.openxmlformats.org/officeDocument/2006/relationships/hyperlink" Target="https://4.files.edl.io/e69b/10/01/19/152917-c2ef0243-ed72-4cbf-ab2f-7b1ae04c3954.pdf" TargetMode="External"/><Relationship Id="rId510" Type="http://schemas.openxmlformats.org/officeDocument/2006/relationships/hyperlink" Target="http://www.stmadeleineschool.org/wp-content/uploads/2020/05/Contract2021.pdf" TargetMode="External"/><Relationship Id="rId752" Type="http://schemas.openxmlformats.org/officeDocument/2006/relationships/hyperlink" Target="https://www.stltoday.com/news/local/education/st-rose-in-florissant-is-third-catholic-grade-school-to-close-this-fall/article_a1b800d4-144a-11ee-b9a1-d3e392723e06.html" TargetMode="External"/><Relationship Id="rId994" Type="http://schemas.openxmlformats.org/officeDocument/2006/relationships/hyperlink" Target="https://www.niche.com/k12/the-atonement-catholic-academy-san-antonio-tx/students/" TargetMode="External"/><Relationship Id="rId18" Type="http://schemas.openxmlformats.org/officeDocument/2006/relationships/hyperlink" Target="https://www.camdendiocese.org/five-catholic-schools-in-the-diocese-of-camden-to-close-at-end-of-school-year/" TargetMode="External"/><Relationship Id="rId751" Type="http://schemas.openxmlformats.org/officeDocument/2006/relationships/hyperlink" Target="https://www.strpdparish.org/school" TargetMode="External"/><Relationship Id="rId993" Type="http://schemas.openxmlformats.org/officeDocument/2006/relationships/hyperlink" Target="https://www.niche.com/k12/st-alphonsus-liguori-school-prospect-heights-il/" TargetMode="External"/><Relationship Id="rId1100" Type="http://schemas.openxmlformats.org/officeDocument/2006/relationships/hyperlink" Target="https://www.privateschoolreview.com/harmony-school-profile/29204" TargetMode="External"/><Relationship Id="rId750" Type="http://schemas.openxmlformats.org/officeDocument/2006/relationships/hyperlink" Target="https://www.icc-ics.org/" TargetMode="External"/><Relationship Id="rId992" Type="http://schemas.openxmlformats.org/officeDocument/2006/relationships/hyperlink" Target="https://www.niche.com/k12/st-alphonsus-liguori-school-prospect-heights-il/" TargetMode="External"/><Relationship Id="rId1101" Type="http://schemas.openxmlformats.org/officeDocument/2006/relationships/hyperlink" Target="https://harmonyschoolsc.org/" TargetMode="External"/><Relationship Id="rId991" Type="http://schemas.openxmlformats.org/officeDocument/2006/relationships/hyperlink" Target="https://www.dailyherald.com/20250519/education/parents-refuse-to-give-up-as-st-alphonsus-liguori-school-faces-closure-once-again/" TargetMode="External"/><Relationship Id="rId1102" Type="http://schemas.openxmlformats.org/officeDocument/2006/relationships/hyperlink" Target="https://catholicreview.org/st-michael-st-clement-school-will-close-at-end-of-academic-year/" TargetMode="External"/><Relationship Id="rId84" Type="http://schemas.openxmlformats.org/officeDocument/2006/relationships/hyperlink" Target="https://www.niche.com/k12/immaculate-conception-school-marlborough-ma/" TargetMode="External"/><Relationship Id="rId83" Type="http://schemas.openxmlformats.org/officeDocument/2006/relationships/hyperlink" Target="https://www.icschool.net/tuition" TargetMode="External"/><Relationship Id="rId86" Type="http://schemas.openxmlformats.org/officeDocument/2006/relationships/hyperlink" Target="http://www.stjamesbelvidere.org/st-james-school/wp-content/uploads/2018/01/St.-James-School-Enrollment-Packet.pdf" TargetMode="External"/><Relationship Id="rId85" Type="http://schemas.openxmlformats.org/officeDocument/2006/relationships/hyperlink" Target="https://www.mystateline.com/news/local-news/belvideres-st-james-catholic-school-to-permanently-close/" TargetMode="External"/><Relationship Id="rId88" Type="http://schemas.openxmlformats.org/officeDocument/2006/relationships/hyperlink" Target="https://www.wbrc.com/2020/05/06/st-barnabas-catholic-school-will-cut-numerous-grade-levels-next-year-due-pandemic/" TargetMode="External"/><Relationship Id="rId87" Type="http://schemas.openxmlformats.org/officeDocument/2006/relationships/hyperlink" Target="https://www.niche.com/k12/st-james-school-belvidere-il/" TargetMode="External"/><Relationship Id="rId89" Type="http://schemas.openxmlformats.org/officeDocument/2006/relationships/hyperlink" Target="https://www.niche.com/k12/st-barnabas-regional-school-birmingham-al/" TargetMode="External"/><Relationship Id="rId709" Type="http://schemas.openxmlformats.org/officeDocument/2006/relationships/hyperlink" Target="https://www.expressnews.com/news/education/article/st-peter-alamo-heights-closes-17856200.php" TargetMode="External"/><Relationship Id="rId708" Type="http://schemas.openxmlformats.org/officeDocument/2006/relationships/hyperlink" Target="https://www.niche.com/k12/st-peter-prince-of-the-apostles-school-san-antonio-tx/" TargetMode="External"/><Relationship Id="rId707" Type="http://schemas.openxmlformats.org/officeDocument/2006/relationships/hyperlink" Target="https://www.nola.com/news/education/archdiocese-to-close-st-joan-of-arc-school/article_02100c2e-bf91-11ed-99f6-efc1b278f6db.html" TargetMode="External"/><Relationship Id="rId949" Type="http://schemas.openxmlformats.org/officeDocument/2006/relationships/hyperlink" Target="https://www.niche.com/k12/our-lady-of-refuge-school-bronx-ny/" TargetMode="External"/><Relationship Id="rId706" Type="http://schemas.openxmlformats.org/officeDocument/2006/relationships/hyperlink" Target="https://www.niche.com/k12/mount-alvernia-high-school-newton-ma/students/" TargetMode="External"/><Relationship Id="rId948" Type="http://schemas.openxmlformats.org/officeDocument/2006/relationships/hyperlink" Target="https://www.ffxnow.com/2025/02/13/saudi-private-school-in-herndon-to-shut-down-surprising-families/" TargetMode="External"/><Relationship Id="rId80" Type="http://schemas.openxmlformats.org/officeDocument/2006/relationships/hyperlink" Target="https://www.indofmd.org/enrollment/tuition" TargetMode="External"/><Relationship Id="rId82" Type="http://schemas.openxmlformats.org/officeDocument/2006/relationships/hyperlink" Target="https://www.thebostonpilot.com/article.asp?ID=187592" TargetMode="External"/><Relationship Id="rId81" Type="http://schemas.openxmlformats.org/officeDocument/2006/relationships/hyperlink" Target="https://www.niche.com/k12/institute-of-notre-dame-baltimore-md/students/" TargetMode="External"/><Relationship Id="rId701" Type="http://schemas.openxmlformats.org/officeDocument/2006/relationships/hyperlink" Target="https://www.abc6.com/bishop-connolly-high-school-in-fall-river-to-close-at-end-of-the-year/" TargetMode="External"/><Relationship Id="rId943" Type="http://schemas.openxmlformats.org/officeDocument/2006/relationships/hyperlink" Target="https://www.smsreading.org/admissions/tuition" TargetMode="External"/><Relationship Id="rId700" Type="http://schemas.openxmlformats.org/officeDocument/2006/relationships/hyperlink" Target="https://www.heraldnews.com/story/news/education/2023/03/08/bishop-connolly-closing-fall-river-massachusetts-catholic-high-school-announcement/69986550007/" TargetMode="External"/><Relationship Id="rId942" Type="http://schemas.openxmlformats.org/officeDocument/2006/relationships/hyperlink" Target="https://www.abc27.com/pennsylvania/berks-county-catholic-school-to-close-in-june/" TargetMode="External"/><Relationship Id="rId941" Type="http://schemas.openxmlformats.org/officeDocument/2006/relationships/hyperlink" Target="https://www.niche.com/k12/all-saints-endicott-ny/" TargetMode="External"/><Relationship Id="rId940" Type="http://schemas.openxmlformats.org/officeDocument/2006/relationships/hyperlink" Target="https://www.niche.com/k12/all-saints-endicott-ny/" TargetMode="External"/><Relationship Id="rId705" Type="http://schemas.openxmlformats.org/officeDocument/2006/relationships/hyperlink" Target="https://mountalverniahs.org/admissions/tuition-financial-aid-scholarships/" TargetMode="External"/><Relationship Id="rId947" Type="http://schemas.openxmlformats.org/officeDocument/2006/relationships/hyperlink" Target="https://www.niche.com/k12/huntsville-college-preparatory-school-huntsville-al/students/" TargetMode="External"/><Relationship Id="rId704" Type="http://schemas.openxmlformats.org/officeDocument/2006/relationships/hyperlink" Target="https://www.wickedlocal.com/story/regional/massachusetts/2023/03/10/mount-alvernia-newton-ma-closing-shocks-students-school-community/69993952007/" TargetMode="External"/><Relationship Id="rId946" Type="http://schemas.openxmlformats.org/officeDocument/2006/relationships/hyperlink" Target="https://www.rocketcitynow.com/article/news/local/families-scramble-after-school-shuts-down-mid-year/525-75baa6f3-784d-45c5-bb03-2f6cf110aa60" TargetMode="External"/><Relationship Id="rId703" Type="http://schemas.openxmlformats.org/officeDocument/2006/relationships/hyperlink" Target="https://www.niche.com/k12/bishop-connolly-high-school-fall-river-ma/students/" TargetMode="External"/><Relationship Id="rId945" Type="http://schemas.openxmlformats.org/officeDocument/2006/relationships/hyperlink" Target="https://www.niche.com/k12/huntsville-college-preparatory-school-huntsville-al/students/" TargetMode="External"/><Relationship Id="rId702" Type="http://schemas.openxmlformats.org/officeDocument/2006/relationships/hyperlink" Target="https://www.bishopconnolly.com/358-2/" TargetMode="External"/><Relationship Id="rId944" Type="http://schemas.openxmlformats.org/officeDocument/2006/relationships/hyperlink" Target="https://www.niche.com/k12/st-margaret-school-reading-pa/" TargetMode="External"/><Relationship Id="rId73" Type="http://schemas.openxmlformats.org/officeDocument/2006/relationships/hyperlink" Target="https://www.stmarks-upland.org/admission/tuition-fees-and-financial-aid/" TargetMode="External"/><Relationship Id="rId72" Type="http://schemas.openxmlformats.org/officeDocument/2006/relationships/hyperlink" Target="https://www.privateschoolreview.com/saint-mark-s-episcopal-school-profile" TargetMode="External"/><Relationship Id="rId75" Type="http://schemas.openxmlformats.org/officeDocument/2006/relationships/hyperlink" Target="https://www.ctinsider.com/local/newstimes/article/St-Joseph-Catholic-Academy-in-Brookfield-to-close-15245757.php" TargetMode="External"/><Relationship Id="rId74" Type="http://schemas.openxmlformats.org/officeDocument/2006/relationships/hyperlink" Target="https://www.niche.com/k12/st-marks-episcopal-school-upland-ca/" TargetMode="External"/><Relationship Id="rId77" Type="http://schemas.openxmlformats.org/officeDocument/2006/relationships/hyperlink" Target="https://www.niche.com/k12/st-joseph-catholic-academy-brookfield-ct/" TargetMode="External"/><Relationship Id="rId76" Type="http://schemas.openxmlformats.org/officeDocument/2006/relationships/hyperlink" Target="https://www.sjsbrookfield.org/tuition-and-financial-aid" TargetMode="External"/><Relationship Id="rId79" Type="http://schemas.openxmlformats.org/officeDocument/2006/relationships/hyperlink" Target="https://www.baltimoresun.com/education/bs-md-institute-notre-dame-closing-20200505-iviuyq5k5zfo5ke3zqytgv3o4u-story.html" TargetMode="External"/><Relationship Id="rId78" Type="http://schemas.openxmlformats.org/officeDocument/2006/relationships/hyperlink" Target="https://www.baltimoresun.com/education/bs-md-institute-notre-dame-closing-20200505-iviuyq5k5zfo5ke3zqytgv3o4u-story.html" TargetMode="External"/><Relationship Id="rId939" Type="http://schemas.openxmlformats.org/officeDocument/2006/relationships/hyperlink" Target="https://wnbf.com/endicott-catholic-elementary-school-to-close/" TargetMode="External"/><Relationship Id="rId938" Type="http://schemas.openxmlformats.org/officeDocument/2006/relationships/hyperlink" Target="https://www.niche.com/k12/all-saints-endicott-ny/" TargetMode="External"/><Relationship Id="rId937" Type="http://schemas.openxmlformats.org/officeDocument/2006/relationships/hyperlink" Target="https://www.niche.com/k12/immaculate-conception-school-bronx-ny/" TargetMode="External"/><Relationship Id="rId71" Type="http://schemas.openxmlformats.org/officeDocument/2006/relationships/hyperlink" Target="https://www.dailybulletin.com/2020/05/16/after-38-years-st-marks-episcopal-school-in-upland-is-closing/" TargetMode="External"/><Relationship Id="rId70" Type="http://schemas.openxmlformats.org/officeDocument/2006/relationships/hyperlink" Target="https://www.niche.com/k12/siena-catholic-academy-rochester-ny/" TargetMode="External"/><Relationship Id="rId932" Type="http://schemas.openxmlformats.org/officeDocument/2006/relationships/hyperlink" Target="https://www.niche.com/k12/st-thomas-of-villanova-school-palatine-il/" TargetMode="External"/><Relationship Id="rId931" Type="http://schemas.openxmlformats.org/officeDocument/2006/relationships/hyperlink" Target="https://stvschool.org/wp-content/uploads/2024/02/K-8-Tuition-2024-2025.docx.pdf" TargetMode="External"/><Relationship Id="rId930" Type="http://schemas.openxmlformats.org/officeDocument/2006/relationships/hyperlink" Target="https://www.dailyherald.com/20250127/news/archdiocese-rejects-reprieve-for-st-thomas-of-villanova/" TargetMode="External"/><Relationship Id="rId936" Type="http://schemas.openxmlformats.org/officeDocument/2006/relationships/hyperlink" Target="https://catholicschoolsny.org/wp-content/uploads/2025/01/SC-and-IC-Schools-in-the-Bronx-to-Close-as-Catholic-Institutions-01.16.25-UPDATED.pdf" TargetMode="External"/><Relationship Id="rId935" Type="http://schemas.openxmlformats.org/officeDocument/2006/relationships/hyperlink" Target="https://www.niche.com/k12/sacred-heart-high-school-yonkers-ny/students/" TargetMode="External"/><Relationship Id="rId934" Type="http://schemas.openxmlformats.org/officeDocument/2006/relationships/hyperlink" Target="https://catholicschoolsny.org/wp-content/uploads/2025/01/SC-and-IC-Schools-in-the-Bronx-to-Close-as-Catholic-Institutions-01.16.25-UPDATED.pdf" TargetMode="External"/><Relationship Id="rId933" Type="http://schemas.openxmlformats.org/officeDocument/2006/relationships/hyperlink" Target="https://shhighbridge.org/" TargetMode="External"/><Relationship Id="rId62" Type="http://schemas.openxmlformats.org/officeDocument/2006/relationships/hyperlink" Target="https://www.niche.com/k12/st-john-the-baptist-catholic-school-napa-ca/" TargetMode="External"/><Relationship Id="rId61" Type="http://schemas.openxmlformats.org/officeDocument/2006/relationships/hyperlink" Target="https://napavalleyregister.com/news/local/citing-economics-napas-st-john-s-catholic-school-to-close/article_d565cd9b-adf5-527f-a471-55a89ccedc7f.html" TargetMode="External"/><Relationship Id="rId64" Type="http://schemas.openxmlformats.org/officeDocument/2006/relationships/hyperlink" Target="https://www.privateschoolreview.com/all-saints-catholic-school-profile/19805" TargetMode="External"/><Relationship Id="rId63" Type="http://schemas.openxmlformats.org/officeDocument/2006/relationships/hyperlink" Target="https://www.wdel.com/news/elsmeres-all-saints-catholic-school-closing-at-the-end-of-the-year-due-to-lack/article_e8e6965a-8b09-11ea-95a2-1bd670c2de35.html" TargetMode="External"/><Relationship Id="rId66" Type="http://schemas.openxmlformats.org/officeDocument/2006/relationships/hyperlink" Target="https://www.niche.com/k12/all-saints-catholic-school-wilmington-de/" TargetMode="External"/><Relationship Id="rId65" Type="http://schemas.openxmlformats.org/officeDocument/2006/relationships/hyperlink" Target="https://www.privateschoolreview.com/all-saints-catholic-school-profile/19805" TargetMode="External"/><Relationship Id="rId68" Type="http://schemas.openxmlformats.org/officeDocument/2006/relationships/hyperlink" Target="https://www.niche.com/k12/siena-catholic-academy-rochester-ny/" TargetMode="External"/><Relationship Id="rId67" Type="http://schemas.openxmlformats.org/officeDocument/2006/relationships/hyperlink" Target="https://catholiccourier.com/articles/enrollment-woes-intensified-by-pandemic-to-shutter-siena-academy" TargetMode="External"/><Relationship Id="rId729" Type="http://schemas.openxmlformats.org/officeDocument/2006/relationships/hyperlink" Target="https://www.pressrepublican.com/news/st-marys-school-closing-doors-in-ticonderoga/article_fa0d145c-e067-11ed-8e7e-4ba533191e03.html" TargetMode="External"/><Relationship Id="rId728" Type="http://schemas.openxmlformats.org/officeDocument/2006/relationships/hyperlink" Target="https://www.greatschools.org/wisconsin/wauwatosa/2152-Wauwatosa-Catholic-School/" TargetMode="External"/><Relationship Id="rId60" Type="http://schemas.openxmlformats.org/officeDocument/2006/relationships/hyperlink" Target="https://www.niche.com/k12/lebanon-catholic-school-lebanon-pa/students/" TargetMode="External"/><Relationship Id="rId723" Type="http://schemas.openxmlformats.org/officeDocument/2006/relationships/hyperlink" Target="https://mygoodshepherd.com/school/" TargetMode="External"/><Relationship Id="rId965" Type="http://schemas.openxmlformats.org/officeDocument/2006/relationships/hyperlink" Target="https://www.wfmj.com/story/52557766/st-michael-catholic-school-to-close-after-this-school-year" TargetMode="External"/><Relationship Id="rId722" Type="http://schemas.openxmlformats.org/officeDocument/2006/relationships/hyperlink" Target="https://www.stltoday.com/news/local/education/good-shepherd-catholic-school-in-hillsboro-to-close-at-end-of-the-year/article_0d5ca2a0-9902-542e-a9af-2aa4d77c816a.html" TargetMode="External"/><Relationship Id="rId964" Type="http://schemas.openxmlformats.org/officeDocument/2006/relationships/hyperlink" Target="https://www.syracuse.com/schools/2025/02/answers-on-bishop-grimes-closing-why-wasnt-ludden-picked-instead-is-there-hope-for-a-rescue.html" TargetMode="External"/><Relationship Id="rId721" Type="http://schemas.openxmlformats.org/officeDocument/2006/relationships/hyperlink" Target="https://www.wfmz.com/news/area/lehighvalley/parent-of-graduate-of-kolbe-academy-speaks-out-after-officials-announce-school-specializing-in-teen/article_f1e0f57c-dd57-11ed-9c9a-1b1f58bb5419.html" TargetMode="External"/><Relationship Id="rId963" Type="http://schemas.openxmlformats.org/officeDocument/2006/relationships/hyperlink" Target="https://syracusediocese.org/news/diocese-of-syracuse-announces-new-unified-high-school" TargetMode="External"/><Relationship Id="rId720" Type="http://schemas.openxmlformats.org/officeDocument/2006/relationships/hyperlink" Target="https://www.mcall.com/2023/04/16/kolbe-academy-closing/" TargetMode="External"/><Relationship Id="rId962" Type="http://schemas.openxmlformats.org/officeDocument/2006/relationships/hyperlink" Target="https://cnycentral.com/news/local/rumors-swirl-around-potential-closure-of-bishop-grimes-junior-senior-high-school-possible-closure-catholic-diocese-syracuse-looming-administrator" TargetMode="External"/><Relationship Id="rId727" Type="http://schemas.openxmlformats.org/officeDocument/2006/relationships/hyperlink" Target="https://www.wauwatosacatholic.org/admissions/tuition.cfm" TargetMode="External"/><Relationship Id="rId969" Type="http://schemas.openxmlformats.org/officeDocument/2006/relationships/hyperlink" Target="https://www.niche.com/k12/meadowview-christian-school-selma-al/students/" TargetMode="External"/><Relationship Id="rId726" Type="http://schemas.openxmlformats.org/officeDocument/2006/relationships/hyperlink" Target="https://www.wauwatosacatholic.org/" TargetMode="External"/><Relationship Id="rId968" Type="http://schemas.openxmlformats.org/officeDocument/2006/relationships/hyperlink" Target="https://www.niche.com/k12/st-paul-catholic-school-san-antonio-tx/" TargetMode="External"/><Relationship Id="rId725" Type="http://schemas.openxmlformats.org/officeDocument/2006/relationships/hyperlink" Target="https://www.jsonline.com/story/news/education/2023/04/24/wauwatosa-catholic-school-will-close-at-the-end-of-the-school-year/70141994007/" TargetMode="External"/><Relationship Id="rId967" Type="http://schemas.openxmlformats.org/officeDocument/2006/relationships/hyperlink" Target="https://www.expressnews.com/news/education/article/st-paul-catholic-school-closure-san-antonio-20248658.php" TargetMode="External"/><Relationship Id="rId724" Type="http://schemas.openxmlformats.org/officeDocument/2006/relationships/hyperlink" Target="https://www.niche.com/k12/good-shepherd-catholic-school-hillsboro-mo/" TargetMode="External"/><Relationship Id="rId966" Type="http://schemas.openxmlformats.org/officeDocument/2006/relationships/hyperlink" Target="https://www.timesunion.com/education/article/albany-diocese-closing-saints-catholic-academy-20221249.php" TargetMode="External"/><Relationship Id="rId69" Type="http://schemas.openxmlformats.org/officeDocument/2006/relationships/hyperlink" Target="https://www.sienacatholic.org/wp-content/uploads/Siena-2020-2021-Tuition-Rates-updated-11.06.19.pdf" TargetMode="External"/><Relationship Id="rId961" Type="http://schemas.openxmlformats.org/officeDocument/2006/relationships/hyperlink" Target="https://kfdm.com/news/local/breaking-st-mary-catholic-school-in-orange-to-close-at-end-of-academic-year" TargetMode="External"/><Relationship Id="rId960" Type="http://schemas.openxmlformats.org/officeDocument/2006/relationships/hyperlink" Target="https://www.niche.com/k12/sacred-heart-school-east-providence-ri/" TargetMode="External"/><Relationship Id="rId51" Type="http://schemas.openxmlformats.org/officeDocument/2006/relationships/hyperlink" Target="https://spvpasadena.org/admissions/tuition-assistance/" TargetMode="External"/><Relationship Id="rId50" Type="http://schemas.openxmlformats.org/officeDocument/2006/relationships/hyperlink" Target="https://www.privateschoolreview.com/st-pius-v-catholic-school-profile/77506" TargetMode="External"/><Relationship Id="rId53" Type="http://schemas.openxmlformats.org/officeDocument/2006/relationships/hyperlink" Target="https://www.kswo.com/2020/04/22/lcs-staff-shares-reasons-closing-secondary-school/" TargetMode="External"/><Relationship Id="rId52" Type="http://schemas.openxmlformats.org/officeDocument/2006/relationships/hyperlink" Target="https://www.niche.com/k12/st-pius-v-catholic-school-pasadena-tx/" TargetMode="External"/><Relationship Id="rId55" Type="http://schemas.openxmlformats.org/officeDocument/2006/relationships/hyperlink" Target="https://www.niche.com/k12/lawton-christian-school-lawton-ok/students/" TargetMode="External"/><Relationship Id="rId54" Type="http://schemas.openxmlformats.org/officeDocument/2006/relationships/hyperlink" Target="http://www.lcscrusaders.com/editoruploads/files/19-20_Tuition_Prices.pdf" TargetMode="External"/><Relationship Id="rId57" Type="http://schemas.openxmlformats.org/officeDocument/2006/relationships/hyperlink" Target="https://www.niche.com/k12/holy-family-consolidated-school-berwick-pa/" TargetMode="External"/><Relationship Id="rId56" Type="http://schemas.openxmlformats.org/officeDocument/2006/relationships/hyperlink" Target="https://www.wnep.com/article/news/local/columbia-county/holy-family-catholic-school-closing/523-8d93ac3b-bda6-43a4-b93c-f365009f1c5d" TargetMode="External"/><Relationship Id="rId719" Type="http://schemas.openxmlformats.org/officeDocument/2006/relationships/hyperlink" Target="https://kolbe-academy.org/" TargetMode="External"/><Relationship Id="rId718" Type="http://schemas.openxmlformats.org/officeDocument/2006/relationships/hyperlink" Target="https://www.wfmz.com/news/area/lehighvalley/parent-of-graduate-of-kolbe-academy-speaks-out-after-officials-announce-school-specializing-in-teen/article_f1e0f57c-dd57-11ed-9c9a-1b1f58bb5419.html" TargetMode="External"/><Relationship Id="rId717" Type="http://schemas.openxmlformats.org/officeDocument/2006/relationships/hyperlink" Target="https://www.niche.com/k12/immaculate-conception-high-school-lodi-nj/students/" TargetMode="External"/><Relationship Id="rId959" Type="http://schemas.openxmlformats.org/officeDocument/2006/relationships/hyperlink" Target="https://www.sacredheartepri.com/affordability.html" TargetMode="External"/><Relationship Id="rId712" Type="http://schemas.openxmlformats.org/officeDocument/2006/relationships/hyperlink" Target="https://www.niche.com/k12/st-aloysius-catholic-school-stamford-ct/" TargetMode="External"/><Relationship Id="rId954" Type="http://schemas.openxmlformats.org/officeDocument/2006/relationships/hyperlink" Target="https://saintmarkschool.org/" TargetMode="External"/><Relationship Id="rId711" Type="http://schemas.openxmlformats.org/officeDocument/2006/relationships/hyperlink" Target="https://www.niche.com/k12/st-peter-prince-of-the-apostles-school-san-antonio-tx/" TargetMode="External"/><Relationship Id="rId953" Type="http://schemas.openxmlformats.org/officeDocument/2006/relationships/hyperlink" Target="https://www.niche.com/k12/st-lucys-school-bronx-ny/" TargetMode="External"/><Relationship Id="rId710" Type="http://schemas.openxmlformats.org/officeDocument/2006/relationships/hyperlink" Target="https://files.ecatholic.com/5449/documents/2022/2/4%20-%202022-2023%20SPP%20Reg%20Tuition%20Fees%20%20Discounts.pdf?t=1645912639000" TargetMode="External"/><Relationship Id="rId952" Type="http://schemas.openxmlformats.org/officeDocument/2006/relationships/hyperlink" Target="https://www.niche.com/k12/st-lucys-school-bronx-ny/" TargetMode="External"/><Relationship Id="rId951" Type="http://schemas.openxmlformats.org/officeDocument/2006/relationships/hyperlink" Target="https://stlucys.org/" TargetMode="External"/><Relationship Id="rId716" Type="http://schemas.openxmlformats.org/officeDocument/2006/relationships/hyperlink" Target="https://www.ichslodi.org/admissions/tuition-fees/" TargetMode="External"/><Relationship Id="rId958" Type="http://schemas.openxmlformats.org/officeDocument/2006/relationships/hyperlink" Target="https://turnto10.com/news/local/east-providence-catholic-school-close-end-of-school-year-sacred-heart-financial-difficulties-declining-enrollment-neighboring-families-students-february-21-2025" TargetMode="External"/><Relationship Id="rId715" Type="http://schemas.openxmlformats.org/officeDocument/2006/relationships/hyperlink" Target="https://www.northjersey.com/story/sports/hs-sports/2023/04/06/immaculate-conception-high-school-players-fight-on-despite-schools-closing-blue-wolves-catholic/70070564007/" TargetMode="External"/><Relationship Id="rId957" Type="http://schemas.openxmlformats.org/officeDocument/2006/relationships/hyperlink" Target="https://www.goerie.com/story/news/local/2025/02/14/blessed-sacrament-school-closing-june-erie-catholic-school-system/78640631007/" TargetMode="External"/><Relationship Id="rId714" Type="http://schemas.openxmlformats.org/officeDocument/2006/relationships/hyperlink" Target="https://www.niche.com/k12/st-aloysius-catholic-school-stamford-ct/" TargetMode="External"/><Relationship Id="rId956" Type="http://schemas.openxmlformats.org/officeDocument/2006/relationships/hyperlink" Target="https://www.niche.com/k12/st-mark-the-evangelist-school-new-york-ny/" TargetMode="External"/><Relationship Id="rId713" Type="http://schemas.openxmlformats.org/officeDocument/2006/relationships/hyperlink" Target="https://www.stamfordadvocate.com/news/article/new-canaan-s-st-aloysius-school-close-fall-17871322.php" TargetMode="External"/><Relationship Id="rId955" Type="http://schemas.openxmlformats.org/officeDocument/2006/relationships/hyperlink" Target="https://www.privateschoolreview.com/st-mark-the-evangelist-school-profile" TargetMode="External"/><Relationship Id="rId59" Type="http://schemas.openxmlformats.org/officeDocument/2006/relationships/hyperlink" Target="http://www.lebanoncatholicschool.org/admissions/financial-assistance/" TargetMode="External"/><Relationship Id="rId58" Type="http://schemas.openxmlformats.org/officeDocument/2006/relationships/hyperlink" Target="https://www.ldnews.com/story/news/2020/04/28/lebanon-catholic-school-close-end-school-year/3044484001/" TargetMode="External"/><Relationship Id="rId950" Type="http://schemas.openxmlformats.org/officeDocument/2006/relationships/hyperlink" Target="https://www.niche.com/k12/our-lady-of-refuge-school-bronx-ny/" TargetMode="External"/><Relationship Id="rId590" Type="http://schemas.openxmlformats.org/officeDocument/2006/relationships/hyperlink" Target="https://www.niche.com/k12/st-dominic-elementary-school-bolingbrook-il/" TargetMode="External"/><Relationship Id="rId107" Type="http://schemas.openxmlformats.org/officeDocument/2006/relationships/hyperlink" Target="https://www.greatschools.org/new-jersey/fair-lawn/2324-St-Anne-School/" TargetMode="External"/><Relationship Id="rId349" Type="http://schemas.openxmlformats.org/officeDocument/2006/relationships/hyperlink" Target="https://www.niche.com/k12/st-jane-frances-de-chantal-school-pasadena-md/" TargetMode="External"/><Relationship Id="rId106" Type="http://schemas.openxmlformats.org/officeDocument/2006/relationships/hyperlink" Target="https://www.privateschoolreview.com/st-anne-school-profile/07410" TargetMode="External"/><Relationship Id="rId348" Type="http://schemas.openxmlformats.org/officeDocument/2006/relationships/hyperlink" Target="https://catholicreview.org/st-jane-frances-in-pasadena-transitioning-to-preschool/" TargetMode="External"/><Relationship Id="rId105" Type="http://schemas.openxmlformats.org/officeDocument/2006/relationships/hyperlink" Target="https://www.nj.com/union/2020/06/nj-catholic-school-saved-from-closure-by-donors-9-others-remain-on-shutdown-list.html" TargetMode="External"/><Relationship Id="rId347" Type="http://schemas.openxmlformats.org/officeDocument/2006/relationships/hyperlink" Target="https://www.alicetx.com/story/news/education/2020/07/16/st-joseph-catholic-school-closes/42603645/" TargetMode="External"/><Relationship Id="rId589" Type="http://schemas.openxmlformats.org/officeDocument/2006/relationships/hyperlink" Target="https://www.stdominicschool.org/apps/pages/index.jsp?uREC_ID=1028888&amp;type=d&amp;pREC_ID=1332986" TargetMode="External"/><Relationship Id="rId104" Type="http://schemas.openxmlformats.org/officeDocument/2006/relationships/hyperlink" Target="https://www.greatschools.org/new-jersey/cresskill/2404-Academy-Of-St.-Therese/" TargetMode="External"/><Relationship Id="rId346" Type="http://schemas.openxmlformats.org/officeDocument/2006/relationships/hyperlink" Target="https://www.greatschools.org/new-york/long-island-city/5523-Evangel-Christian-School/" TargetMode="External"/><Relationship Id="rId588" Type="http://schemas.openxmlformats.org/officeDocument/2006/relationships/hyperlink" Target="https://patch.com/illinois/bolingbrook/bolingbrooks-st-dominic-catholic-school-closing-school-years-end" TargetMode="External"/><Relationship Id="rId109" Type="http://schemas.openxmlformats.org/officeDocument/2006/relationships/hyperlink" Target="http://www.schooltuitions.org/school/caldwell-nj-trinity_academy" TargetMode="External"/><Relationship Id="rId1170" Type="http://schemas.openxmlformats.org/officeDocument/2006/relationships/hyperlink" Target="https://www.niche.com/k12/holy-cross-catholic-school-santa-cruz-nm/" TargetMode="External"/><Relationship Id="rId108" Type="http://schemas.openxmlformats.org/officeDocument/2006/relationships/hyperlink" Target="https://www.newjerseyhills.com/the_progress/news/update-archdiocese-to-close-trinity-academy-in-caldwell/article_96af397a-976f-5ab7-9d52-92c081226a3e.html" TargetMode="External"/><Relationship Id="rId1171" Type="http://schemas.openxmlformats.org/officeDocument/2006/relationships/hyperlink" Target="https://www.kob.com/new-mexico/santa-fe-northern-new-mexico/archdiocese-of-santa-fe-to-close-2-catholic-schools/" TargetMode="External"/><Relationship Id="rId341" Type="http://schemas.openxmlformats.org/officeDocument/2006/relationships/hyperlink" Target="https://thetablet.org/diocese-brooklyn-closes-six-schools/" TargetMode="External"/><Relationship Id="rId583" Type="http://schemas.openxmlformats.org/officeDocument/2006/relationships/hyperlink" Target="https://www.niche.com/k12/st-mary-elementary-school-los-angeles-ca/" TargetMode="External"/><Relationship Id="rId1172" Type="http://schemas.openxmlformats.org/officeDocument/2006/relationships/hyperlink" Target="https://www.privateschoolreview.com/holy-cross-catholic-school-profile/87567" TargetMode="External"/><Relationship Id="rId340" Type="http://schemas.openxmlformats.org/officeDocument/2006/relationships/hyperlink" Target="https://www.niche.com/k12/queen-of-the-rosary-catholic-academy-st-nicholas-brooklyn-ny/" TargetMode="External"/><Relationship Id="rId582" Type="http://schemas.openxmlformats.org/officeDocument/2006/relationships/hyperlink" Target="https://stmaryla.org/tuition" TargetMode="External"/><Relationship Id="rId1173" Type="http://schemas.openxmlformats.org/officeDocument/2006/relationships/hyperlink" Target="https://www.privateschoolreview.com/holy-cross-catholic-school-profile/87567" TargetMode="External"/><Relationship Id="rId581" Type="http://schemas.openxmlformats.org/officeDocument/2006/relationships/hyperlink" Target="https://abc7.com/saint-marys-catholic-elementary-school/11744838/" TargetMode="External"/><Relationship Id="rId1174" Type="http://schemas.openxmlformats.org/officeDocument/2006/relationships/hyperlink" Target="https://www.niche.com/k12/holy-cross-catholic-school-santa-cruz-nm/" TargetMode="External"/><Relationship Id="rId580" Type="http://schemas.openxmlformats.org/officeDocument/2006/relationships/hyperlink" Target="https://www.niche.com/k12/baton-rouge-international-school-baton-rouge-la/students/" TargetMode="External"/><Relationship Id="rId1175" Type="http://schemas.openxmlformats.org/officeDocument/2006/relationships/hyperlink" Target="https://lancasteronline.com/news/local/difficult-but-necessary-mary-francis-bachmann-school-to-close-in-august-one-year-after-opening/article_da93bedf-8647-4234-accd-68be1d69b264.html" TargetMode="External"/><Relationship Id="rId103" Type="http://schemas.openxmlformats.org/officeDocument/2006/relationships/hyperlink" Target="https://scgstl.org/tuition-and-fees/" TargetMode="External"/><Relationship Id="rId345" Type="http://schemas.openxmlformats.org/officeDocument/2006/relationships/hyperlink" Target="http://www.evangelchristianschool.org/tuitionandfees.php" TargetMode="External"/><Relationship Id="rId587" Type="http://schemas.openxmlformats.org/officeDocument/2006/relationships/hyperlink" Target="https://www.niche.com/k12/st-joseph-parish-school-cuyahoga-falls-oh/" TargetMode="External"/><Relationship Id="rId1176" Type="http://schemas.openxmlformats.org/officeDocument/2006/relationships/hyperlink" Target="https://lancasteronline.com/news/local/difficult-but-necessary-mary-francis-bachmann-school-to-close-in-august-one-year-after-opening/article_da93bedf-8647-4234-accd-68be1d69b264.html" TargetMode="External"/><Relationship Id="rId102" Type="http://schemas.openxmlformats.org/officeDocument/2006/relationships/hyperlink" Target="https://www.privateschoolreview.com/academy-of-st-therese-of-lisiuex-profile" TargetMode="External"/><Relationship Id="rId344" Type="http://schemas.openxmlformats.org/officeDocument/2006/relationships/hyperlink" Target="https://www.kxan.com/news/local/austin/private-school-to-permanently-close-due-to-financial-struggles-during-the-pandemic/" TargetMode="External"/><Relationship Id="rId586" Type="http://schemas.openxmlformats.org/officeDocument/2006/relationships/hyperlink" Target="https://uploads.weconnect.com/mce/c26ab3bbd8b137f99cd83c2c1c0963bcc1a35cad/2223School/2022-2023%20Tuition%20K-8%20Registration%20FormMMR%20PDF%201.pdf" TargetMode="External"/><Relationship Id="rId1177" Type="http://schemas.openxmlformats.org/officeDocument/2006/relationships/hyperlink" Target="https://www.niche.com/k12/united-friends-school-quakertown-pa/" TargetMode="External"/><Relationship Id="rId101" Type="http://schemas.openxmlformats.org/officeDocument/2006/relationships/hyperlink" Target="https://www.northjersey.com/story/news/local/2020/05/29/cresskill-nj-st-therese-school-close-despite-efforts-save/5285659002/" TargetMode="External"/><Relationship Id="rId343" Type="http://schemas.openxmlformats.org/officeDocument/2006/relationships/hyperlink" Target="https://www.niche.com/k12/st-gregory-the-great-catholic-academy-brooklyn-ny/" TargetMode="External"/><Relationship Id="rId585" Type="http://schemas.openxmlformats.org/officeDocument/2006/relationships/hyperlink" Target="https://www.niche.com/k12/st-joseph-parish-school-cuyahoga-falls-oh/" TargetMode="External"/><Relationship Id="rId1178" Type="http://schemas.openxmlformats.org/officeDocument/2006/relationships/hyperlink" Target="https://www.wfmz.com/news/schools/private-school-in-bucks-county-shutting-down-after-42-year-run/article_c7b14d1c-fc9b-46a4-9140-b1d36fe0d41b.html" TargetMode="External"/><Relationship Id="rId100" Type="http://schemas.openxmlformats.org/officeDocument/2006/relationships/hyperlink" Target="https://www.niche.com/k12/incarnation-catholic-school-collierville-tn/" TargetMode="External"/><Relationship Id="rId342" Type="http://schemas.openxmlformats.org/officeDocument/2006/relationships/hyperlink" Target="https://3e62ad59-81ab-4a73-9e72-f4da901e1eb9.filesusr.com/ugd/751479_dd5fab0055514201b8007db5c4bc774c.pdf" TargetMode="External"/><Relationship Id="rId584" Type="http://schemas.openxmlformats.org/officeDocument/2006/relationships/hyperlink" Target="https://www.beaconjournal.com/story/news/local/communities/falls-news/2022/04/25/st-joseph-parish-school-close-end-school-year/7446646001/" TargetMode="External"/><Relationship Id="rId1179" Type="http://schemas.openxmlformats.org/officeDocument/2006/relationships/hyperlink" Target="https://www.niche.com/k12/united-friends-school-quakertown-pa/" TargetMode="External"/><Relationship Id="rId1169" Type="http://schemas.openxmlformats.org/officeDocument/2006/relationships/hyperlink" Target="https://www.niche.com/k12/holy-ghost-catholic-school-albuquerque-nm/" TargetMode="External"/><Relationship Id="rId338" Type="http://schemas.openxmlformats.org/officeDocument/2006/relationships/hyperlink" Target="https://thetablet.org/diocese-brooklyn-closes-six-schools/" TargetMode="External"/><Relationship Id="rId337" Type="http://schemas.openxmlformats.org/officeDocument/2006/relationships/hyperlink" Target="https://www.niche.com/k12/our-ladys-catholic-academy-south-ozone-park-ny/" TargetMode="External"/><Relationship Id="rId579" Type="http://schemas.openxmlformats.org/officeDocument/2006/relationships/hyperlink" Target="https://brintl.com/wp-content/uploads/2020/12/BRIS_20-21_TuitionFees.pdf" TargetMode="External"/><Relationship Id="rId336" Type="http://schemas.openxmlformats.org/officeDocument/2006/relationships/hyperlink" Target="https://olcacademy.net/wp-content/uploads/2020/06/TUITION-FEES-FOR-2020-2021.pdf" TargetMode="External"/><Relationship Id="rId578" Type="http://schemas.openxmlformats.org/officeDocument/2006/relationships/hyperlink" Target="https://www.theadvocate.com/baton_rouge/news/education/article_fb2d84a0-ba31-11ec-9e8a-93f1c182a7ef.html" TargetMode="External"/><Relationship Id="rId335" Type="http://schemas.openxmlformats.org/officeDocument/2006/relationships/hyperlink" Target="https://thetablet.org/diocese-brooklyn-closes-six-schools/" TargetMode="External"/><Relationship Id="rId577" Type="http://schemas.openxmlformats.org/officeDocument/2006/relationships/hyperlink" Target="https://www.niche.com/k12/hampton-lutheran-school-hampton-ne/" TargetMode="External"/><Relationship Id="rId339" Type="http://schemas.openxmlformats.org/officeDocument/2006/relationships/hyperlink" Target="https://queenoftherosarybrooklyn.org/tuition-financial-aid/" TargetMode="External"/><Relationship Id="rId1160" Type="http://schemas.openxmlformats.org/officeDocument/2006/relationships/hyperlink" Target="https://www.niche.com/k12/putnam-science-academy-putnam-ct/" TargetMode="External"/><Relationship Id="rId330" Type="http://schemas.openxmlformats.org/officeDocument/2006/relationships/hyperlink" Target="https://stmelsacademy.org/tuition-and-financial-aid/" TargetMode="External"/><Relationship Id="rId572" Type="http://schemas.openxmlformats.org/officeDocument/2006/relationships/hyperlink" Target="https://www.annistonstar.com/news/education/sacred-heart-school-to-close-at-end-of-term/article_4013fd4c-91ab-11ec-be89-2f0564731df9.html" TargetMode="External"/><Relationship Id="rId1161" Type="http://schemas.openxmlformats.org/officeDocument/2006/relationships/hyperlink" Target="https://www.niche.com/k12/putnam-science-academy-putnam-ct/" TargetMode="External"/><Relationship Id="rId571" Type="http://schemas.openxmlformats.org/officeDocument/2006/relationships/hyperlink" Target="https://www.niche.com/k12/bishop-maginn-high-school-albany-ny/students/" TargetMode="External"/><Relationship Id="rId1162" Type="http://schemas.openxmlformats.org/officeDocument/2006/relationships/hyperlink" Target="https://www.usnews.com/education/k12/connecticut/putnam-science-academy-315537" TargetMode="External"/><Relationship Id="rId570" Type="http://schemas.openxmlformats.org/officeDocument/2006/relationships/hyperlink" Target="https://bishopmaginn.org/admissions/" TargetMode="External"/><Relationship Id="rId1163" Type="http://schemas.openxmlformats.org/officeDocument/2006/relationships/hyperlink" Target="https://www.niche.com/k12/saint-brigid-academy-san-francisco-ca/" TargetMode="External"/><Relationship Id="rId1164" Type="http://schemas.openxmlformats.org/officeDocument/2006/relationships/hyperlink" Target="https://nypost.com/2026/06/29/us-news/top-california-private-school-suddenly-shuts-down-as-shameful-400m-settlement-paid-out/" TargetMode="External"/><Relationship Id="rId334" Type="http://schemas.openxmlformats.org/officeDocument/2006/relationships/hyperlink" Target="https://www.niche.com/k12/our-lady-of-grace-school-new-york-city-ny-bb061130/" TargetMode="External"/><Relationship Id="rId576" Type="http://schemas.openxmlformats.org/officeDocument/2006/relationships/hyperlink" Target="https://hamptonlutheran.org/2020/03/14/updates-to-next-years-tuition-and-classroom-structure-at-hls/" TargetMode="External"/><Relationship Id="rId1165" Type="http://schemas.openxmlformats.org/officeDocument/2006/relationships/hyperlink" Target="https://nypost.com/2026/06/29/us-news/top-california-private-school-suddenly-shuts-down-as-shameful-400m-settlement-paid-out/" TargetMode="External"/><Relationship Id="rId333" Type="http://schemas.openxmlformats.org/officeDocument/2006/relationships/hyperlink" Target="https://olgcahb.org/tuition-financial-aid/olgca-financial-policy-2020-2021-k-8-1/" TargetMode="External"/><Relationship Id="rId575" Type="http://schemas.openxmlformats.org/officeDocument/2006/relationships/hyperlink" Target="https://theindependent.com/news/local/hampton-lutheran-really-couldn-t-go-on-after-52-years-of-educating-children/article_3c14df62-ac37-11ec-94dc-9b02392bb6c7.html" TargetMode="External"/><Relationship Id="rId1166" Type="http://schemas.openxmlformats.org/officeDocument/2006/relationships/hyperlink" Target="https://www.niche.com/k12/holy-ghost-catholic-school-albuquerque-nm/" TargetMode="External"/><Relationship Id="rId332" Type="http://schemas.openxmlformats.org/officeDocument/2006/relationships/hyperlink" Target="https://thetablet.org/diocese-brooklyn-closes-six-schools/" TargetMode="External"/><Relationship Id="rId574" Type="http://schemas.openxmlformats.org/officeDocument/2006/relationships/hyperlink" Target="https://www.niche.com/k12/sacred-heart-of-jesus-catholic-school---anniston-anniston-al/students/" TargetMode="External"/><Relationship Id="rId1167" Type="http://schemas.openxmlformats.org/officeDocument/2006/relationships/hyperlink" Target="https://www.kob.com/new-mexico/santa-fe-northern-new-mexico/archdiocese-of-santa-fe-to-close-2-catholic-schools/" TargetMode="External"/><Relationship Id="rId331" Type="http://schemas.openxmlformats.org/officeDocument/2006/relationships/hyperlink" Target="https://www.niche.com/k12/st-mels-catholic-academy-flushing-ny/" TargetMode="External"/><Relationship Id="rId573" Type="http://schemas.openxmlformats.org/officeDocument/2006/relationships/hyperlink" Target="https://shcards.org/admissions-process" TargetMode="External"/><Relationship Id="rId1168" Type="http://schemas.openxmlformats.org/officeDocument/2006/relationships/hyperlink" Target="https://hgcsabq.com/tuition-fees-2026-2027" TargetMode="External"/><Relationship Id="rId370" Type="http://schemas.openxmlformats.org/officeDocument/2006/relationships/hyperlink" Target="https://www.nj.com/education/2020/08/8-more-nj-catholic-schools-will-close-or-merge-as-enrollment-drops-dramatically.html" TargetMode="External"/><Relationship Id="rId129" Type="http://schemas.openxmlformats.org/officeDocument/2006/relationships/hyperlink" Target="https://www.niche.com/k12/junipero-serra-school-carmel-ca/" TargetMode="External"/><Relationship Id="rId128" Type="http://schemas.openxmlformats.org/officeDocument/2006/relationships/hyperlink" Target="http://stjuniperoserraschool.org/en/admissions/tuition-fees" TargetMode="External"/><Relationship Id="rId127" Type="http://schemas.openxmlformats.org/officeDocument/2006/relationships/hyperlink" Target="https://www.privateschoolreview.com/junipero-serra-school-profile" TargetMode="External"/><Relationship Id="rId369" Type="http://schemas.openxmlformats.org/officeDocument/2006/relationships/hyperlink" Target="https://www.niche.com/k12/mother-seton-school-union-city-nj/" TargetMode="External"/><Relationship Id="rId126" Type="http://schemas.openxmlformats.org/officeDocument/2006/relationships/hyperlink" Target="https://kion546.com/news/2020/05/08/junipero-serra-school-to-close-permanently-after-this-school-year/" TargetMode="External"/><Relationship Id="rId368" Type="http://schemas.openxmlformats.org/officeDocument/2006/relationships/hyperlink" Target="https://www.nj.com/education/2020/08/8-more-nj-catholic-schools-will-close-or-merge-as-enrollment-drops-dramatically.html" TargetMode="External"/><Relationship Id="rId1190" Type="http://schemas.openxmlformats.org/officeDocument/2006/relationships/hyperlink" Target="https://www.niche.com/k12/roycemore-school-evanston-il/" TargetMode="External"/><Relationship Id="rId1191" Type="http://schemas.openxmlformats.org/officeDocument/2006/relationships/hyperlink" Target="https://www.niche.com/k12/roycemore-school-evanston-il/" TargetMode="External"/><Relationship Id="rId1192" Type="http://schemas.openxmlformats.org/officeDocument/2006/relationships/drawing" Target="../drawings/drawing10.xml"/><Relationship Id="rId121" Type="http://schemas.openxmlformats.org/officeDocument/2006/relationships/hyperlink" Target="https://www.privateschoolreview.com/holy-spirit-school-profile/07083" TargetMode="External"/><Relationship Id="rId363" Type="http://schemas.openxmlformats.org/officeDocument/2006/relationships/hyperlink" Target="http://ironboundcatholic.org/admissions/registration-information/" TargetMode="External"/><Relationship Id="rId120" Type="http://schemas.openxmlformats.org/officeDocument/2006/relationships/hyperlink" Target="https://www.greatschools.org/new-jersey/union/2439-Holy-Spirit-School/" TargetMode="External"/><Relationship Id="rId362" Type="http://schemas.openxmlformats.org/officeDocument/2006/relationships/hyperlink" Target="https://www.nj.com/education/2020/08/8-more-nj-catholic-schools-will-close-or-merge-as-enrollment-drops-dramatically.html" TargetMode="External"/><Relationship Id="rId361" Type="http://schemas.openxmlformats.org/officeDocument/2006/relationships/hyperlink" Target="https://www.niche.com/k12/st-francis-xavier-school-newark-nj/" TargetMode="External"/><Relationship Id="rId360" Type="http://schemas.openxmlformats.org/officeDocument/2006/relationships/hyperlink" Target="http://www.stfxschool.org/admissionstuition/" TargetMode="External"/><Relationship Id="rId125" Type="http://schemas.openxmlformats.org/officeDocument/2006/relationships/hyperlink" Target="https://www.greatschools.org/new-jersey/elizabeth/2409-St-Genevieve-School/" TargetMode="External"/><Relationship Id="rId367" Type="http://schemas.openxmlformats.org/officeDocument/2006/relationships/hyperlink" Target="https://www.niche.com/k12/st-augustine-school-union-city-nj/" TargetMode="External"/><Relationship Id="rId124" Type="http://schemas.openxmlformats.org/officeDocument/2006/relationships/hyperlink" Target="http://www.schooltuitions.org/school/elizabeth-nj-st_genevieve_school" TargetMode="External"/><Relationship Id="rId366" Type="http://schemas.openxmlformats.org/officeDocument/2006/relationships/hyperlink" Target="https://staugustinesunioncity.com/tuition-fees/" TargetMode="External"/><Relationship Id="rId123" Type="http://schemas.openxmlformats.org/officeDocument/2006/relationships/hyperlink" Target="https://www.greatschools.org/new-jersey/elizabeth/2409-St-Genevieve-School/" TargetMode="External"/><Relationship Id="rId365" Type="http://schemas.openxmlformats.org/officeDocument/2006/relationships/hyperlink" Target="https://www.nj.com/education/2020/08/8-more-nj-catholic-schools-will-close-or-merge-as-enrollment-drops-dramatically.html" TargetMode="External"/><Relationship Id="rId122" Type="http://schemas.openxmlformats.org/officeDocument/2006/relationships/hyperlink" Target="https://www.greatschools.org/new-jersey/union/2439-Holy-Spirit-School/" TargetMode="External"/><Relationship Id="rId364" Type="http://schemas.openxmlformats.org/officeDocument/2006/relationships/hyperlink" Target="https://www.niche.com/k12/ironbound-catholic-academy-newark-nj/" TargetMode="External"/><Relationship Id="rId95" Type="http://schemas.openxmlformats.org/officeDocument/2006/relationships/hyperlink" Target="https://www.privateschoolreview.com/cristo-rey-newark-high-school-profile" TargetMode="External"/><Relationship Id="rId94" Type="http://schemas.openxmlformats.org/officeDocument/2006/relationships/hyperlink" Target="https://dailyvoice.com/new-jersey/essex/schools/breaking-newark-archdiocese-permanently-closing-10-schools-in-three-counties/787685/" TargetMode="External"/><Relationship Id="rId97" Type="http://schemas.openxmlformats.org/officeDocument/2006/relationships/hyperlink" Target="https://www.niche.com/k12/cristo-rey-newark-high-school-newark-nj/students/" TargetMode="External"/><Relationship Id="rId96" Type="http://schemas.openxmlformats.org/officeDocument/2006/relationships/hyperlink" Target="https://cristoreynewark.org/tuition-financial-aid-assistance/" TargetMode="External"/><Relationship Id="rId99" Type="http://schemas.openxmlformats.org/officeDocument/2006/relationships/hyperlink" Target="https://incarnationschool.edu/tuition-and-fees" TargetMode="External"/><Relationship Id="rId98" Type="http://schemas.openxmlformats.org/officeDocument/2006/relationships/hyperlink" Target="https://www.wmcactionnews5.com/2020/05/08/incarnation-catholic-school-closing-due-covid-/" TargetMode="External"/><Relationship Id="rId91" Type="http://schemas.openxmlformats.org/officeDocument/2006/relationships/hyperlink" Target="https://www.niche.com/k12/monsignor-mchugh-school-cresco-pa/" TargetMode="External"/><Relationship Id="rId90" Type="http://schemas.openxmlformats.org/officeDocument/2006/relationships/hyperlink" Target="https://www.dioceseofscranton.org/diocese-announces-closure-of-monsignor-mchugh-school/" TargetMode="External"/><Relationship Id="rId93" Type="http://schemas.openxmlformats.org/officeDocument/2006/relationships/hyperlink" Target="https://www.niche.com/k12/monsignor-mchugh-school-cresco-pa/" TargetMode="External"/><Relationship Id="rId92" Type="http://schemas.openxmlformats.org/officeDocument/2006/relationships/hyperlink" Target="https://d0bfdaa1-6434-431f-b6de-79a8afeb3498.filesusr.com/ugd/ee9872_a41708194dae4fc2945acc4773a4d87c.pdf" TargetMode="External"/><Relationship Id="rId118" Type="http://schemas.openxmlformats.org/officeDocument/2006/relationships/hyperlink" Target="https://www.greatschools.org/new-jersey/springfield-township/2436-St-James-The-Apostle-School/" TargetMode="External"/><Relationship Id="rId117" Type="http://schemas.openxmlformats.org/officeDocument/2006/relationships/hyperlink" Target="https://www.privateschoolreview.com/st-james-the-apostle-school-profile/07081" TargetMode="External"/><Relationship Id="rId359" Type="http://schemas.openxmlformats.org/officeDocument/2006/relationships/hyperlink" Target="https://www.nj.com/education/2020/08/8-more-nj-catholic-schools-will-close-or-merge-as-enrollment-drops-dramatically.html" TargetMode="External"/><Relationship Id="rId116" Type="http://schemas.openxmlformats.org/officeDocument/2006/relationships/hyperlink" Target="https://www.tapinto.net/towns/springfield/sections/religions-and-spirituality/articles/st-james-the-apostle-school-in-springfield-among-ten-being-consolidated-by-newark-archdiocese" TargetMode="External"/><Relationship Id="rId358" Type="http://schemas.openxmlformats.org/officeDocument/2006/relationships/hyperlink" Target="https://www.niche.com/k12/the-academy-at-saint-mary-rutherford-nj/" TargetMode="External"/><Relationship Id="rId115" Type="http://schemas.openxmlformats.org/officeDocument/2006/relationships/hyperlink" Target="https://www.greatschools.org/new-jersey/east-orange/2334-Our-Lady-Help-Christians-School/" TargetMode="External"/><Relationship Id="rId357" Type="http://schemas.openxmlformats.org/officeDocument/2006/relationships/hyperlink" Target="https://www.niche.com/k12/st-mary-high-school-rutherford-nj/" TargetMode="External"/><Relationship Id="rId599" Type="http://schemas.openxmlformats.org/officeDocument/2006/relationships/hyperlink" Target="https://www.niche.com/k12/our-lady-of-victories-school-sayreville-nj/" TargetMode="External"/><Relationship Id="rId1180" Type="http://schemas.openxmlformats.org/officeDocument/2006/relationships/hyperlink" Target="https://www.niche.com/k12/united-friends-school-quakertown-pa/" TargetMode="External"/><Relationship Id="rId1181" Type="http://schemas.openxmlformats.org/officeDocument/2006/relationships/hyperlink" Target="https://www.aol.com/articles/independent-school-dayton-closing-205455000.html?guccounter=1&amp;guce_referrer=aHR0cHM6Ly93d3cuZ29vZ2xlLmNvbS8&amp;guce_referrer_sig=AQAAAECUaHa62KLcHFMlIx7DUQn5dRunUWsTyGGxUxWxKoYLQDjXrraoy98Vs9Vzbva4CAfatKNQ0SnxUZhVfzedyBH1hFmNg9RANbysL3W-Cw2s2nEieDbPuedXPZ6GSBxEWJQI5i3mG5NTZw_pw2UE14SMcJMRn-g_y-PB-5adeoQI" TargetMode="External"/><Relationship Id="rId119" Type="http://schemas.openxmlformats.org/officeDocument/2006/relationships/hyperlink" Target="https://elementaryschools.org/directory/nj/cities/union/holy-spirit-school/00863486/" TargetMode="External"/><Relationship Id="rId1182" Type="http://schemas.openxmlformats.org/officeDocument/2006/relationships/hyperlink" Target="https://www.valormontessori.org/faqs" TargetMode="External"/><Relationship Id="rId110" Type="http://schemas.openxmlformats.org/officeDocument/2006/relationships/hyperlink" Target="https://www.greatschools.org/new-jersey/caldwell/2321-Trinity-Academy/" TargetMode="External"/><Relationship Id="rId352" Type="http://schemas.openxmlformats.org/officeDocument/2006/relationships/hyperlink" Target="https://www.niche.com/k12/transfiguration-academy-bergenfield-nj/" TargetMode="External"/><Relationship Id="rId594" Type="http://schemas.openxmlformats.org/officeDocument/2006/relationships/hyperlink" Target="https://www.union-bulletin.com/seattle_times/catholic-school-in-mississippi-delta-closing-after-70-years/article_bae927b0-ddb4-51c9-b929-34d64a0d724d.html" TargetMode="External"/><Relationship Id="rId1183" Type="http://schemas.openxmlformats.org/officeDocument/2006/relationships/hyperlink" Target="https://www.niche.com/k12/trinity-baptist-schools-williston-vt/" TargetMode="External"/><Relationship Id="rId351" Type="http://schemas.openxmlformats.org/officeDocument/2006/relationships/hyperlink" Target="http://www.transfigurationacademy.org/tfa/_zumu_user_doc_cache/k_8_tuition_rate_19_20.pdf" TargetMode="External"/><Relationship Id="rId593" Type="http://schemas.openxmlformats.org/officeDocument/2006/relationships/hyperlink" Target="https://www.niche.com/k12/mater-dei-prep-middletown-nj/students/" TargetMode="External"/><Relationship Id="rId1184" Type="http://schemas.openxmlformats.org/officeDocument/2006/relationships/hyperlink" Target="https://www.willistonobserver.com/community/schools/trinity-baptist-shutters-school/article_0d3683f3-d703-4695-8160-301cd39f4ddf.html" TargetMode="External"/><Relationship Id="rId350" Type="http://schemas.openxmlformats.org/officeDocument/2006/relationships/hyperlink" Target="https://www.nj.com/education/2020/08/8-more-nj-catholic-schools-will-close-or-merge-as-enrollment-drops-dramatically.html" TargetMode="External"/><Relationship Id="rId592" Type="http://schemas.openxmlformats.org/officeDocument/2006/relationships/hyperlink" Target="https://www.materdeiprep.org/apps/pages/tuition" TargetMode="External"/><Relationship Id="rId1185" Type="http://schemas.openxmlformats.org/officeDocument/2006/relationships/hyperlink" Target="https://www.privateschoolreview.com/trinity-baptist-school-profile" TargetMode="External"/><Relationship Id="rId591" Type="http://schemas.openxmlformats.org/officeDocument/2006/relationships/hyperlink" Target="https://www.thejournalnj.com/articles/mater-dei-prep-high-school-in-middletown-to-close/" TargetMode="External"/><Relationship Id="rId1186" Type="http://schemas.openxmlformats.org/officeDocument/2006/relationships/hyperlink" Target="https://www.usnews.com/education/k12/vermont/trinity-baptist-school-311678" TargetMode="External"/><Relationship Id="rId114" Type="http://schemas.openxmlformats.org/officeDocument/2006/relationships/hyperlink" Target="https://www.linkedin.com/showcase/-saveolhc" TargetMode="External"/><Relationship Id="rId356" Type="http://schemas.openxmlformats.org/officeDocument/2006/relationships/hyperlink" Target="https://www.nj.com/education/2020/08/8-more-nj-catholic-schools-will-close-or-merge-as-enrollment-drops-dramatically.html" TargetMode="External"/><Relationship Id="rId598" Type="http://schemas.openxmlformats.org/officeDocument/2006/relationships/hyperlink" Target="https://olvnj.com/tuition-1" TargetMode="External"/><Relationship Id="rId1187" Type="http://schemas.openxmlformats.org/officeDocument/2006/relationships/hyperlink" Target="https://www.niche.com/k12/roycemore-school-evanston-il/" TargetMode="External"/><Relationship Id="rId113" Type="http://schemas.openxmlformats.org/officeDocument/2006/relationships/hyperlink" Target="https://www.greatschools.org/new-jersey/east-orange/2334-Our-Lady-Help-Christians-School/" TargetMode="External"/><Relationship Id="rId355" Type="http://schemas.openxmlformats.org/officeDocument/2006/relationships/hyperlink" Target="https://www.niche.com/k12/st-joseph-academy-bogota-nj/" TargetMode="External"/><Relationship Id="rId597" Type="http://schemas.openxmlformats.org/officeDocument/2006/relationships/hyperlink" Target="https://www.mycentraljersey.com/story/news/education/2022/05/25/our-lady-victories-school-sayreville-nj-close/9925859002/" TargetMode="External"/><Relationship Id="rId1188" Type="http://schemas.openxmlformats.org/officeDocument/2006/relationships/hyperlink" Target="https://www.chicagotribune.com/2026/07/16/evanston-roycemore-school-closing/" TargetMode="External"/><Relationship Id="rId112" Type="http://schemas.openxmlformats.org/officeDocument/2006/relationships/hyperlink" Target="https://elementaryschools.org/directory/nj/cities/irvington/good-shepherd-academy/a0902155/" TargetMode="External"/><Relationship Id="rId354" Type="http://schemas.openxmlformats.org/officeDocument/2006/relationships/hyperlink" Target="http://sjsbogota.com/wp-content/uploads/2020/01/20-21-TUITION-contract-NEW-K-8.pdf" TargetMode="External"/><Relationship Id="rId596" Type="http://schemas.openxmlformats.org/officeDocument/2006/relationships/hyperlink" Target="https://www.niche.com/k12/st-francis-of-assisi-school-greenwood-ms/" TargetMode="External"/><Relationship Id="rId1189" Type="http://schemas.openxmlformats.org/officeDocument/2006/relationships/hyperlink" Target="https://www.niche.com/k12/roycemore-school-evanston-il/" TargetMode="External"/><Relationship Id="rId111" Type="http://schemas.openxmlformats.org/officeDocument/2006/relationships/hyperlink" Target="https://patch.com/new-jersey/newarknj/archdiocese-closing-10-catholic-schools-new-jersey" TargetMode="External"/><Relationship Id="rId353" Type="http://schemas.openxmlformats.org/officeDocument/2006/relationships/hyperlink" Target="https://www.nj.com/education/2020/08/8-more-nj-catholic-schools-will-close-or-merge-as-enrollment-drops-dramatically.html" TargetMode="External"/><Relationship Id="rId595" Type="http://schemas.openxmlformats.org/officeDocument/2006/relationships/hyperlink" Target="https://sfgwschool.org/Portals/sfgSchool/CMAdmin/Files/Parent-Student%20Handbook%202020-21.pdf?ver=2020-08-06-101326-673" TargetMode="External"/><Relationship Id="rId1136" Type="http://schemas.openxmlformats.org/officeDocument/2006/relationships/hyperlink" Target="https://www.nbcpalmsprings.com/2026/06/06/palm-valley-school-in-rancho-mirage-to-close-permanently-following-financial-collapse-and-lost-donation" TargetMode="External"/><Relationship Id="rId1137" Type="http://schemas.openxmlformats.org/officeDocument/2006/relationships/hyperlink" Target="https://www.usnews.com/education/k12/california/palm-valley-school-306217" TargetMode="External"/><Relationship Id="rId1138" Type="http://schemas.openxmlformats.org/officeDocument/2006/relationships/hyperlink" Target="https://www.usnews.com/education/k12/california/palm-valley-school-306217" TargetMode="External"/><Relationship Id="rId1139" Type="http://schemas.openxmlformats.org/officeDocument/2006/relationships/hyperlink" Target="https://www.nbcboston.com/news/local/closing-croft-school-founder-apology/3960826/" TargetMode="External"/><Relationship Id="rId305" Type="http://schemas.openxmlformats.org/officeDocument/2006/relationships/hyperlink" Target="https://www.niche.com/k12/st-patricks-parochial-school-bedford-ny/" TargetMode="External"/><Relationship Id="rId547" Type="http://schemas.openxmlformats.org/officeDocument/2006/relationships/hyperlink" Target="https://d2y1pz2y630308.cloudfront.net/17049/documents/2021/1/Tuition%20and%20Fees%202021-2022-1.pdf" TargetMode="External"/><Relationship Id="rId789" Type="http://schemas.openxmlformats.org/officeDocument/2006/relationships/hyperlink" Target="https://www.chicagotribune.com/suburbs/elgin-courier-news/ct-ecn-elgin-academy-school-closing-st-1110-20231108-m4nxc4ue7be3vk6ibqfdbweq5u-story.html" TargetMode="External"/><Relationship Id="rId304" Type="http://schemas.openxmlformats.org/officeDocument/2006/relationships/hyperlink" Target="https://stpatricksbedford.com/tuition-amp-fees" TargetMode="External"/><Relationship Id="rId546" Type="http://schemas.openxmlformats.org/officeDocument/2006/relationships/hyperlink" Target="https://nolacatholic.org/news/three-catholic-schools-to-close-at-the-end-of-the-2021-2022-school-year" TargetMode="External"/><Relationship Id="rId788" Type="http://schemas.openxmlformats.org/officeDocument/2006/relationships/hyperlink" Target="https://www.elginacademy.org/" TargetMode="External"/><Relationship Id="rId303" Type="http://schemas.openxmlformats.org/officeDocument/2006/relationships/hyperlink" Target="https://wcbs880.radio.com/articles/news/ny-archdiocese-closing-20-catholic-schools" TargetMode="External"/><Relationship Id="rId545" Type="http://schemas.openxmlformats.org/officeDocument/2006/relationships/hyperlink" Target="https://www.niche.com/k12/most-pure-heart-of-mary-school-mobile-al/" TargetMode="External"/><Relationship Id="rId787" Type="http://schemas.openxmlformats.org/officeDocument/2006/relationships/hyperlink" Target="https://abc7chicago.com/elgin-academy-closing-private-school-185-years-closes-at-end-of-year/14036171/" TargetMode="External"/><Relationship Id="rId302" Type="http://schemas.openxmlformats.org/officeDocument/2006/relationships/hyperlink" Target="https://www.niche.com/k12/st-luke-school-bronx-ny/" TargetMode="External"/><Relationship Id="rId544" Type="http://schemas.openxmlformats.org/officeDocument/2006/relationships/hyperlink" Target="https://heartofmaryschoolmobile.org/financial-information-2021-22" TargetMode="External"/><Relationship Id="rId786" Type="http://schemas.openxmlformats.org/officeDocument/2006/relationships/hyperlink" Target="https://www.niche.com/k12/spalding-catholic-schools-granville-ia/" TargetMode="External"/><Relationship Id="rId309" Type="http://schemas.openxmlformats.org/officeDocument/2006/relationships/hyperlink" Target="https://wcbs880.radio.com/articles/news/ny-archdiocese-closing-20-catholic-schools" TargetMode="External"/><Relationship Id="rId308" Type="http://schemas.openxmlformats.org/officeDocument/2006/relationships/hyperlink" Target="https://www.niche.com/k12/st-paul-the-apostle-school-yonkers-ny/" TargetMode="External"/><Relationship Id="rId307" Type="http://schemas.openxmlformats.org/officeDocument/2006/relationships/hyperlink" Target="https://saintpaultheapostleyonkers.org/tuition-amp-fees" TargetMode="External"/><Relationship Id="rId549" Type="http://schemas.openxmlformats.org/officeDocument/2006/relationships/hyperlink" Target="https://nolacatholic.org/news/three-catholic-schools-to-close-at-the-end-of-the-2021-2022-school-year" TargetMode="External"/><Relationship Id="rId306" Type="http://schemas.openxmlformats.org/officeDocument/2006/relationships/hyperlink" Target="https://wcbs880.radio.com/articles/news/ny-archdiocese-closing-20-catholic-schools" TargetMode="External"/><Relationship Id="rId548" Type="http://schemas.openxmlformats.org/officeDocument/2006/relationships/hyperlink" Target="https://www.niche.com/k12/st-mary-magdalen-school-metairie-la/" TargetMode="External"/><Relationship Id="rId781" Type="http://schemas.openxmlformats.org/officeDocument/2006/relationships/hyperlink" Target="https://www.whas11.com/article/news/education/christian-academy-two-schools-2024-southwest-campus-louisville-kentucky-new-albany-indiana/417-89e6bf37-f70f-4bdc-91ea-0b79d79df0dc" TargetMode="External"/><Relationship Id="rId780" Type="http://schemas.openxmlformats.org/officeDocument/2006/relationships/hyperlink" Target="https://richmondfreepress.com/news/2023/oct/12/private-schools-closure-leaves-students-without-cl/" TargetMode="External"/><Relationship Id="rId1130" Type="http://schemas.openxmlformats.org/officeDocument/2006/relationships/hyperlink" Target="https://sjbcatholicschool.org/tuition-affordability" TargetMode="External"/><Relationship Id="rId1131" Type="http://schemas.openxmlformats.org/officeDocument/2006/relationships/hyperlink" Target="https://www.niche.com/k12/st-john-the-baptist-catholic-school-milwaukie-or/" TargetMode="External"/><Relationship Id="rId301" Type="http://schemas.openxmlformats.org/officeDocument/2006/relationships/hyperlink" Target="https://stluke138.org/tuition-and-fees" TargetMode="External"/><Relationship Id="rId543" Type="http://schemas.openxmlformats.org/officeDocument/2006/relationships/hyperlink" Target="https://lagniappemobile.com/historically-black-catholic-heart-of-mary-fights-to-stay-open/" TargetMode="External"/><Relationship Id="rId785" Type="http://schemas.openxmlformats.org/officeDocument/2006/relationships/hyperlink" Target="https://www.spaldingcatholic.org/" TargetMode="External"/><Relationship Id="rId1132" Type="http://schemas.openxmlformats.org/officeDocument/2006/relationships/hyperlink" Target="https://www.niche.com/k12/immaculate-conception-academy-douglassville-pa/" TargetMode="External"/><Relationship Id="rId300" Type="http://schemas.openxmlformats.org/officeDocument/2006/relationships/hyperlink" Target="https://wcbs880.radio.com/articles/news/ny-archdiocese-closing-20-catholic-schools" TargetMode="External"/><Relationship Id="rId542" Type="http://schemas.openxmlformats.org/officeDocument/2006/relationships/hyperlink" Target="https://www.niche.com/k12/new-summit-school-jackson-ms/students/" TargetMode="External"/><Relationship Id="rId784" Type="http://schemas.openxmlformats.org/officeDocument/2006/relationships/hyperlink" Target="https://siouxcityjournal.com/news/local/column/education-spalding-catholic-alton-granville-hospers/article_0c43bdcc-7755-11ee-b810-9f418e06a2d3.html" TargetMode="External"/><Relationship Id="rId1133" Type="http://schemas.openxmlformats.org/officeDocument/2006/relationships/hyperlink" Target="https://www.lehighvalleylive.com/news/2026/06/allentown-diocese-closing-catholic-school-announcement-made-days-before-end-of-school-year.html" TargetMode="External"/><Relationship Id="rId541" Type="http://schemas.openxmlformats.org/officeDocument/2006/relationships/hyperlink" Target="https://www.niche.com/k12/new-summit-school-jackson-ms/" TargetMode="External"/><Relationship Id="rId783" Type="http://schemas.openxmlformats.org/officeDocument/2006/relationships/hyperlink" Target="https://www.niche.com/k12/christian-academy-louisville-sw-campus-louisville-ky/" TargetMode="External"/><Relationship Id="rId1134" Type="http://schemas.openxmlformats.org/officeDocument/2006/relationships/hyperlink" Target="https://www.niche.com/k12/immaculate-conception-academy-douglassville-pa/" TargetMode="External"/><Relationship Id="rId540" Type="http://schemas.openxmlformats.org/officeDocument/2006/relationships/hyperlink" Target="https://www.wlbt.com/2021/08/13/new-summit-school-closure-leaves-special-needs-students-loss/" TargetMode="External"/><Relationship Id="rId782" Type="http://schemas.openxmlformats.org/officeDocument/2006/relationships/hyperlink" Target="https://www.bizjournals.com/louisville/news/2023/10/20/christian-academy-louisville-campus-closure.html" TargetMode="External"/><Relationship Id="rId1135" Type="http://schemas.openxmlformats.org/officeDocument/2006/relationships/hyperlink" Target="https://www.nbcpalmsprings.com/2026/06/06/palm-valley-school-in-rancho-mirage-to-close-permanently-following-financial-collapse-and-lost-donation" TargetMode="External"/><Relationship Id="rId1125" Type="http://schemas.openxmlformats.org/officeDocument/2006/relationships/hyperlink" Target="https://www.niche.com/k12/cambridge-friends-school-cambridge-ma/" TargetMode="External"/><Relationship Id="rId1126" Type="http://schemas.openxmlformats.org/officeDocument/2006/relationships/hyperlink" Target="https://www.wrex.com/news/education/aquin-catholic-academy-to-close-after-last-day-of-2025-26-school-year/article_54fa39c0-d29e-415a-a844-1a17ea96d6a7.html" TargetMode="External"/><Relationship Id="rId1127" Type="http://schemas.openxmlformats.org/officeDocument/2006/relationships/hyperlink" Target="https://www.rockforddiocese.org/pdfs/pressreleases/PRESS%20RELEASE--aquin.pdf" TargetMode="External"/><Relationship Id="rId1128" Type="http://schemas.openxmlformats.org/officeDocument/2006/relationships/hyperlink" Target="https://www.oregonlive.com/clackamascounty/2026/05/after-107-years-this-milwaukie-catholic-school-is-closing-its-doors.html" TargetMode="External"/><Relationship Id="rId1129" Type="http://schemas.openxmlformats.org/officeDocument/2006/relationships/hyperlink" Target="https://www.oregonlive.com/clackamascounty/2026/05/after-107-years-this-milwaukie-catholic-school-is-closing-its-doors.html" TargetMode="External"/><Relationship Id="rId536" Type="http://schemas.openxmlformats.org/officeDocument/2006/relationships/hyperlink" Target="https://www.missselmasschool.com/admissions" TargetMode="External"/><Relationship Id="rId778" Type="http://schemas.openxmlformats.org/officeDocument/2006/relationships/hyperlink" Target="https://www.timesofisrael.com/schechter-manhattan-school-to-close-at-end-of-year-as-enrollment-declines/" TargetMode="External"/><Relationship Id="rId535" Type="http://schemas.openxmlformats.org/officeDocument/2006/relationships/hyperlink" Target="https://katv.com/news/local/miss-selmas-school-in-little-rock-closing-after-65-years" TargetMode="External"/><Relationship Id="rId777" Type="http://schemas.openxmlformats.org/officeDocument/2006/relationships/hyperlink" Target="https://www.niche.com/k12/st-anthony-elementary-school-dayton-oh/" TargetMode="External"/><Relationship Id="rId534" Type="http://schemas.openxmlformats.org/officeDocument/2006/relationships/hyperlink" Target="https://www.greatschools.org/florida/tavares/12706-Adventure-Christian-Academy/" TargetMode="External"/><Relationship Id="rId776" Type="http://schemas.openxmlformats.org/officeDocument/2006/relationships/hyperlink" Target="https://school.stanthonydayton.org/welcome" TargetMode="External"/><Relationship Id="rId533" Type="http://schemas.openxmlformats.org/officeDocument/2006/relationships/hyperlink" Target="https://www.greatschools.org/florida/tavares/12706-Adventure-Christian-Academy/" TargetMode="External"/><Relationship Id="rId775" Type="http://schemas.openxmlformats.org/officeDocument/2006/relationships/hyperlink" Target="https://www.wdtn.com/news/local-news/st-anthony-of-padua-catholic-school-east-dayton/" TargetMode="External"/><Relationship Id="rId539" Type="http://schemas.openxmlformats.org/officeDocument/2006/relationships/hyperlink" Target="https://www.niche.com/k12/miss-selmas-schools-little-rock-ar/" TargetMode="External"/><Relationship Id="rId538" Type="http://schemas.openxmlformats.org/officeDocument/2006/relationships/hyperlink" Target="https://www.niche.com/k12/miss-selmas-schools-little-rock-ar/" TargetMode="External"/><Relationship Id="rId537" Type="http://schemas.openxmlformats.org/officeDocument/2006/relationships/hyperlink" Target="https://www.missselmasschool.com/admissions" TargetMode="External"/><Relationship Id="rId779" Type="http://schemas.openxmlformats.org/officeDocument/2006/relationships/hyperlink" Target="https://www.schechtermanhattan.org/" TargetMode="External"/><Relationship Id="rId770" Type="http://schemas.openxmlformats.org/officeDocument/2006/relationships/hyperlink" Target="https://patch.com/new-jersey/hoboken/two-hoboken-schools-announce-plans-merge" TargetMode="External"/><Relationship Id="rId1120" Type="http://schemas.openxmlformats.org/officeDocument/2006/relationships/hyperlink" Target="https://gracechristianacademybc.org/tuition-financial-aid/" TargetMode="External"/><Relationship Id="rId532" Type="http://schemas.openxmlformats.org/officeDocument/2006/relationships/hyperlink" Target="https://www.mynews13.com/fl/orlando/news/2021/07/16/parents-concerned-after-lake-county-private-school-closes-" TargetMode="External"/><Relationship Id="rId774" Type="http://schemas.openxmlformats.org/officeDocument/2006/relationships/hyperlink" Target="http://www.thefresnomontessori.com/classes" TargetMode="External"/><Relationship Id="rId1121" Type="http://schemas.openxmlformats.org/officeDocument/2006/relationships/hyperlink" Target="https://www.usnews.com/education/k12/nevada/grace-christian-academy-314352" TargetMode="External"/><Relationship Id="rId531" Type="http://schemas.openxmlformats.org/officeDocument/2006/relationships/hyperlink" Target="https://www.niche.com/k12/st-bernard-school-new-washington-oh/" TargetMode="External"/><Relationship Id="rId773" Type="http://schemas.openxmlformats.org/officeDocument/2006/relationships/hyperlink" Target="https://kmph.com/news/local/montessori-school-in-fresno-is-closing-its-doors-effective-immediately-st-paul-catholic-newman-center-barstow-avenue" TargetMode="External"/><Relationship Id="rId1122" Type="http://schemas.openxmlformats.org/officeDocument/2006/relationships/hyperlink" Target="https://cambridgefriendsschool.org/" TargetMode="External"/><Relationship Id="rId530" Type="http://schemas.openxmlformats.org/officeDocument/2006/relationships/hyperlink" Target="https://www.bucyrustelegraphforum.com/story/news/2021/07/02/st-bernard-school-closes-after-teaching-students-since-1844/7815640002/" TargetMode="External"/><Relationship Id="rId772" Type="http://schemas.openxmlformats.org/officeDocument/2006/relationships/hyperlink" Target="https://www.niche.com/k12/mustard-seed-school-hoboken-nj/" TargetMode="External"/><Relationship Id="rId1123" Type="http://schemas.openxmlformats.org/officeDocument/2006/relationships/hyperlink" Target="https://www.cambridgeday.com/2026/05/23/cambridge-friends-will-close/" TargetMode="External"/><Relationship Id="rId771" Type="http://schemas.openxmlformats.org/officeDocument/2006/relationships/hyperlink" Target="https://mustardseedschool.org/admissions/affordability/" TargetMode="External"/><Relationship Id="rId1124" Type="http://schemas.openxmlformats.org/officeDocument/2006/relationships/hyperlink" Target="https://www.niche.com/k12/cambridge-friends-school-cambridge-ma/" TargetMode="External"/><Relationship Id="rId1158" Type="http://schemas.openxmlformats.org/officeDocument/2006/relationships/hyperlink" Target="https://www.niche.com/k12/putnam-science-academy-putnam-ct/" TargetMode="External"/><Relationship Id="rId1159" Type="http://schemas.openxmlformats.org/officeDocument/2006/relationships/hyperlink" Target="https://www.wfsb.com/2026/06/23/putnam-science-academy-will-close-amid-financial-crisis/" TargetMode="External"/><Relationship Id="rId327" Type="http://schemas.openxmlformats.org/officeDocument/2006/relationships/hyperlink" Target="https://thetablet.org/diocese-brooklyn-closes-six-schools/" TargetMode="External"/><Relationship Id="rId569" Type="http://schemas.openxmlformats.org/officeDocument/2006/relationships/hyperlink" Target="https://www.news10.com/classroom-progress-report/bishop-maginn-high-school-closing-at-years-end/" TargetMode="External"/><Relationship Id="rId326" Type="http://schemas.openxmlformats.org/officeDocument/2006/relationships/hyperlink" Target="https://www.niche.com/k12/st-stephen-st-edward-school-warwick-ny/" TargetMode="External"/><Relationship Id="rId568" Type="http://schemas.openxmlformats.org/officeDocument/2006/relationships/hyperlink" Target="https://www.niche.com/k12/st-elizabeth-seton-school-rochester-nh/" TargetMode="External"/><Relationship Id="rId325" Type="http://schemas.openxmlformats.org/officeDocument/2006/relationships/hyperlink" Target="https://ststephenstedward.org/tuition-amp-fees" TargetMode="External"/><Relationship Id="rId567" Type="http://schemas.openxmlformats.org/officeDocument/2006/relationships/hyperlink" Target="https://www.sesschool.org/admissions" TargetMode="External"/><Relationship Id="rId324" Type="http://schemas.openxmlformats.org/officeDocument/2006/relationships/hyperlink" Target="https://wcbs880.radio.com/articles/news/ny-archdiocese-closing-20-catholic-schools" TargetMode="External"/><Relationship Id="rId566" Type="http://schemas.openxmlformats.org/officeDocument/2006/relationships/hyperlink" Target="https://www.sesschool.org/_files/ugd/a5b104_1ba7d79432c1430ca8f34572d7d63eaa.pdf" TargetMode="External"/><Relationship Id="rId329" Type="http://schemas.openxmlformats.org/officeDocument/2006/relationships/hyperlink" Target="https://thetablet.org/diocese-brooklyn-closes-six-schools/" TargetMode="External"/><Relationship Id="rId328" Type="http://schemas.openxmlformats.org/officeDocument/2006/relationships/hyperlink" Target="https://www.schooldigger.com/go/NY/schools/9999903879/school.aspx" TargetMode="External"/><Relationship Id="rId561" Type="http://schemas.openxmlformats.org/officeDocument/2006/relationships/hyperlink" Target="https://www.sjsjschool.com/tuition-for-saint-james-saint-john-school/" TargetMode="External"/><Relationship Id="rId1150" Type="http://schemas.openxmlformats.org/officeDocument/2006/relationships/hyperlink" Target="https://www.usnews.com/education/k12/new-york/st-columbanus-school-433152" TargetMode="External"/><Relationship Id="rId560" Type="http://schemas.openxmlformats.org/officeDocument/2006/relationships/hyperlink" Target="https://www.hfhn.org/school-merger/" TargetMode="External"/><Relationship Id="rId1151" Type="http://schemas.openxmlformats.org/officeDocument/2006/relationships/hyperlink" Target="https://catholicschoolsny.org/schools-in-the-news/st-columbanus-school-to-close-following-significant-enrollment-decline/" TargetMode="External"/><Relationship Id="rId1152" Type="http://schemas.openxmlformats.org/officeDocument/2006/relationships/hyperlink" Target="https://st-columbanus.com/tuition-amp-fees" TargetMode="External"/><Relationship Id="rId1153" Type="http://schemas.openxmlformats.org/officeDocument/2006/relationships/hyperlink" Target="https://www.usnews.com/education/k12/new-york/st-columbanus-school-433152" TargetMode="External"/><Relationship Id="rId323" Type="http://schemas.openxmlformats.org/officeDocument/2006/relationships/hyperlink" Target="https://www.niche.com/k12/sacred-heart-school-monroe-ny/" TargetMode="External"/><Relationship Id="rId565" Type="http://schemas.openxmlformats.org/officeDocument/2006/relationships/hyperlink" Target="https://www.niche.com/k12/st-christopher-catholic-school-north-las-vegas-nv/" TargetMode="External"/><Relationship Id="rId1154" Type="http://schemas.openxmlformats.org/officeDocument/2006/relationships/hyperlink" Target="https://www.niche.com/k12/holy-name-school-camden-nj/" TargetMode="External"/><Relationship Id="rId322" Type="http://schemas.openxmlformats.org/officeDocument/2006/relationships/hyperlink" Target="https://sacredheartmonroe.net/tuition-amp-fees" TargetMode="External"/><Relationship Id="rId564" Type="http://schemas.openxmlformats.org/officeDocument/2006/relationships/hyperlink" Target="http://www.stchrisnlv.org/tuition" TargetMode="External"/><Relationship Id="rId1155" Type="http://schemas.openxmlformats.org/officeDocument/2006/relationships/hyperlink" Target="https://www.audacy.com/kywnewsradio/news/local/holy-name-school-closes-2001-time-capsule" TargetMode="External"/><Relationship Id="rId321" Type="http://schemas.openxmlformats.org/officeDocument/2006/relationships/hyperlink" Target="https://wcbs880.radio.com/articles/news/ny-archdiocese-closing-20-catholic-schools" TargetMode="External"/><Relationship Id="rId563" Type="http://schemas.openxmlformats.org/officeDocument/2006/relationships/hyperlink" Target="https://lasvegassun.com/news/2022/jun/17/diocese-hopeful-despite-having-to-shut-down-nlv-ca/" TargetMode="External"/><Relationship Id="rId1156" Type="http://schemas.openxmlformats.org/officeDocument/2006/relationships/hyperlink" Target="https://www.catholicpartnershipschools.org/apps/pages/index.jsp?uREC_ID=2065349&amp;type=d&amp;pREC_ID=2126459" TargetMode="External"/><Relationship Id="rId320" Type="http://schemas.openxmlformats.org/officeDocument/2006/relationships/hyperlink" Target="http://www.usaschoolinfo.com/school/st-thomas-aquinas-elementaryschool-bronx-new-york.109837/enrollment" TargetMode="External"/><Relationship Id="rId562" Type="http://schemas.openxmlformats.org/officeDocument/2006/relationships/hyperlink" Target="https://www.niche.com/k12/holy-family-holy-name-school-new-bedford-ma/" TargetMode="External"/><Relationship Id="rId1157" Type="http://schemas.openxmlformats.org/officeDocument/2006/relationships/hyperlink" Target="https://www.niche.com/k12/holy-name-school-camden-nj/" TargetMode="External"/><Relationship Id="rId1147" Type="http://schemas.openxmlformats.org/officeDocument/2006/relationships/hyperlink" Target="https://www.nbcchicago.com/news/local/south-suburban-catholic-school-closing-due-to-declining-enrollment/3949117/" TargetMode="External"/><Relationship Id="rId1148" Type="http://schemas.openxmlformats.org/officeDocument/2006/relationships/hyperlink" Target="https://www.niche.com/k12/queen-of-martyrs-catholic-school-evergreen-park-il/" TargetMode="External"/><Relationship Id="rId1149" Type="http://schemas.openxmlformats.org/officeDocument/2006/relationships/hyperlink" Target="https://www.niche.com/k12/queen-of-martyrs-catholic-school-evergreen-park-il/" TargetMode="External"/><Relationship Id="rId316" Type="http://schemas.openxmlformats.org/officeDocument/2006/relationships/hyperlink" Target="https://spjschoolbronx.org/tuition-registration-fees" TargetMode="External"/><Relationship Id="rId558" Type="http://schemas.openxmlformats.org/officeDocument/2006/relationships/hyperlink" Target="http://highschool.hopeschools.org/admissions/apply-now" TargetMode="External"/><Relationship Id="rId315" Type="http://schemas.openxmlformats.org/officeDocument/2006/relationships/hyperlink" Target="https://wcbs880.radio.com/articles/news/ny-archdiocese-closing-20-catholic-schools" TargetMode="External"/><Relationship Id="rId557" Type="http://schemas.openxmlformats.org/officeDocument/2006/relationships/hyperlink" Target="https://resources.finalsite.net/images/v1642716459/openskyeducationorg/ululkfkxsvqxvrta8bll/HOPEChristianSchoolsAnnouncement_PDF_webandfacebook.pdf" TargetMode="External"/><Relationship Id="rId799" Type="http://schemas.openxmlformats.org/officeDocument/2006/relationships/hyperlink" Target="https://norfolkdailynews.com/news/merger-on-horizon-for-holy-family-st-francis/article_138624d4-b45b-11ed-99a1-d7f80659042b.html" TargetMode="External"/><Relationship Id="rId314" Type="http://schemas.openxmlformats.org/officeDocument/2006/relationships/hyperlink" Target="https://www.niche.com/k12/st-peters-elementary-school-staten-island-ny/" TargetMode="External"/><Relationship Id="rId556" Type="http://schemas.openxmlformats.org/officeDocument/2006/relationships/hyperlink" Target="https://msaedu.org/registration-tuition-information" TargetMode="External"/><Relationship Id="rId798" Type="http://schemas.openxmlformats.org/officeDocument/2006/relationships/hyperlink" Target="https://www.niche.com/k12/lindsay-holy-family-school-lindsay-ne/students/" TargetMode="External"/><Relationship Id="rId313" Type="http://schemas.openxmlformats.org/officeDocument/2006/relationships/hyperlink" Target="https://stpeterstpaulschoolsi.org/tuition-amp-fees" TargetMode="External"/><Relationship Id="rId555" Type="http://schemas.openxmlformats.org/officeDocument/2006/relationships/hyperlink" Target="https://www.msn.com/en-us/news/us/another-nj-catholic-school-announces-closure-blames-low-enrollment-and-covid/ar-AASy0TN" TargetMode="External"/><Relationship Id="rId797" Type="http://schemas.openxmlformats.org/officeDocument/2006/relationships/hyperlink" Target="https://www.niche.com/k12/our-lady-of-mercy-academy-syosset-ny/" TargetMode="External"/><Relationship Id="rId319" Type="http://schemas.openxmlformats.org/officeDocument/2006/relationships/hyperlink" Target="https://staschoolbx.org/tuition-fees" TargetMode="External"/><Relationship Id="rId318" Type="http://schemas.openxmlformats.org/officeDocument/2006/relationships/hyperlink" Target="https://wcbs880.radio.com/articles/news/ny-archdiocese-closing-20-catholic-schools" TargetMode="External"/><Relationship Id="rId317" Type="http://schemas.openxmlformats.org/officeDocument/2006/relationships/hyperlink" Target="https://www.niche.com/k12/ss-philip--and--james-school-saint-james-ny/" TargetMode="External"/><Relationship Id="rId559" Type="http://schemas.openxmlformats.org/officeDocument/2006/relationships/hyperlink" Target="https://www.niche.com/k12/hope-christian-high-school-milwaukee-wi/students/" TargetMode="External"/><Relationship Id="rId550" Type="http://schemas.openxmlformats.org/officeDocument/2006/relationships/hyperlink" Target="http://www.stritanola.org/tuitionrates20212022" TargetMode="External"/><Relationship Id="rId792" Type="http://schemas.openxmlformats.org/officeDocument/2006/relationships/hyperlink" Target="https://goretti.org/" TargetMode="External"/><Relationship Id="rId791" Type="http://schemas.openxmlformats.org/officeDocument/2006/relationships/hyperlink" Target="https://catholicreview.org/st-maria-goretti-regional-catholic-high-school-confirms-closure/" TargetMode="External"/><Relationship Id="rId1140" Type="http://schemas.openxmlformats.org/officeDocument/2006/relationships/hyperlink" Target="https://www.thecroftschool.org/" TargetMode="External"/><Relationship Id="rId790" Type="http://schemas.openxmlformats.org/officeDocument/2006/relationships/hyperlink" Target="https://www.niche.com/k12/elgin-academy-elgin-il/students/" TargetMode="External"/><Relationship Id="rId1141" Type="http://schemas.openxmlformats.org/officeDocument/2006/relationships/hyperlink" Target="https://www.niche.com/k12/saint-pius-x-school-el-paso-tx/" TargetMode="External"/><Relationship Id="rId1142" Type="http://schemas.openxmlformats.org/officeDocument/2006/relationships/hyperlink" Target="https://www.ktsm.com/news/st-pius-x-catholic-school-closes-immediately-due-to-financial-challenges/" TargetMode="External"/><Relationship Id="rId312" Type="http://schemas.openxmlformats.org/officeDocument/2006/relationships/hyperlink" Target="https://wcbs880.radio.com/articles/news/ny-archdiocese-closing-20-catholic-schools" TargetMode="External"/><Relationship Id="rId554" Type="http://schemas.openxmlformats.org/officeDocument/2006/relationships/hyperlink" Target="https://www.niche.com/k12/st-rosalie-elementary-school-harvey-la/" TargetMode="External"/><Relationship Id="rId796" Type="http://schemas.openxmlformats.org/officeDocument/2006/relationships/hyperlink" Target="https://www.newsday.com/long-island/religion/mercy-high-school-academy-closing-olma-cgecu2qa" TargetMode="External"/><Relationship Id="rId1143" Type="http://schemas.openxmlformats.org/officeDocument/2006/relationships/hyperlink" Target="https://www.wafb.com/2026/06/11/hosanna-christian-academy-close/" TargetMode="External"/><Relationship Id="rId311" Type="http://schemas.openxmlformats.org/officeDocument/2006/relationships/hyperlink" Target="https://www.niche.com/k12/st-peter-school-poughkeepsie-ny/" TargetMode="External"/><Relationship Id="rId553" Type="http://schemas.openxmlformats.org/officeDocument/2006/relationships/hyperlink" Target="https://d2y1pz2y630308.cloudfront.net/22390/documents/2021/1/Tuition%20and%20Fees%201.pdf" TargetMode="External"/><Relationship Id="rId795" Type="http://schemas.openxmlformats.org/officeDocument/2006/relationships/hyperlink" Target="https://www.niche.com/k12/our-lady-of-mercy-academy-syosset-ny/students/" TargetMode="External"/><Relationship Id="rId1144" Type="http://schemas.openxmlformats.org/officeDocument/2006/relationships/hyperlink" Target="https://www.wafb.com/2026/06/11/hosanna-christian-academy-close/" TargetMode="External"/><Relationship Id="rId310" Type="http://schemas.openxmlformats.org/officeDocument/2006/relationships/hyperlink" Target="https://stpetersschoolpoughkeepsie.com/tuition-and-fees" TargetMode="External"/><Relationship Id="rId552" Type="http://schemas.openxmlformats.org/officeDocument/2006/relationships/hyperlink" Target="https://nolacatholic.org/news/three-catholic-schools-to-close-at-the-end-of-the-2021-2022-school-year" TargetMode="External"/><Relationship Id="rId794" Type="http://schemas.openxmlformats.org/officeDocument/2006/relationships/hyperlink" Target="https://www.lobservateur.com/2023/12/06/faith-over-fear-ascension-of-our-lord-catholic-school-prays-for-its-future/" TargetMode="External"/><Relationship Id="rId1145" Type="http://schemas.openxmlformats.org/officeDocument/2006/relationships/hyperlink" Target="https://www.niche.com/k12/hosanna-christian-academy-baton-rouge-la/" TargetMode="External"/><Relationship Id="rId551" Type="http://schemas.openxmlformats.org/officeDocument/2006/relationships/hyperlink" Target="https://www.niche.com/k12/st-rita-school-new-orleans-la/" TargetMode="External"/><Relationship Id="rId793" Type="http://schemas.openxmlformats.org/officeDocument/2006/relationships/hyperlink" Target="https://www.koat.com/article/our-lady-of-fatima-catholic-school-close-in-2024/45992846" TargetMode="External"/><Relationship Id="rId1146" Type="http://schemas.openxmlformats.org/officeDocument/2006/relationships/hyperlink" Target="https://www.nbcchicago.com/news/local/south-suburban-catholic-school-closing-due-to-declining-enrollment/3949117/" TargetMode="External"/><Relationship Id="rId297" Type="http://schemas.openxmlformats.org/officeDocument/2006/relationships/hyperlink" Target="https://wcbs880.radio.com/articles/news/ny-archdiocese-closing-20-catholic-schools" TargetMode="External"/><Relationship Id="rId296" Type="http://schemas.openxmlformats.org/officeDocument/2006/relationships/hyperlink" Target="https://www.niche.com/k12/st-john-school-bronx-ny/" TargetMode="External"/><Relationship Id="rId295" Type="http://schemas.openxmlformats.org/officeDocument/2006/relationships/hyperlink" Target="https://stjohnschoolbronx.org/tuition-and-fees" TargetMode="External"/><Relationship Id="rId294" Type="http://schemas.openxmlformats.org/officeDocument/2006/relationships/hyperlink" Target="https://wcbs880.radio.com/articles/news/ny-archdiocese-closing-20-catholic-schools" TargetMode="External"/><Relationship Id="rId299" Type="http://schemas.openxmlformats.org/officeDocument/2006/relationships/hyperlink" Target="https://www.niche.com/k12/ss-joseph--and--thomas-school-staten-island-ny/" TargetMode="External"/><Relationship Id="rId298" Type="http://schemas.openxmlformats.org/officeDocument/2006/relationships/hyperlink" Target="https://sjstschoolsi.org/tuition-amp-fees" TargetMode="External"/><Relationship Id="rId271" Type="http://schemas.openxmlformats.org/officeDocument/2006/relationships/hyperlink" Target="https://nativityofourblessedlady.org/tuition-fees" TargetMode="External"/><Relationship Id="rId270" Type="http://schemas.openxmlformats.org/officeDocument/2006/relationships/hyperlink" Target="https://wcbs880.radio.com/articles/news/ny-archdiocese-closing-20-catholic-schools" TargetMode="External"/><Relationship Id="rId269" Type="http://schemas.openxmlformats.org/officeDocument/2006/relationships/hyperlink" Target="https://www.greatschools.org/new-york/new-rochelle/4458-Holy-Family-School/" TargetMode="External"/><Relationship Id="rId264" Type="http://schemas.openxmlformats.org/officeDocument/2006/relationships/hyperlink" Target="https://wcbs880.radio.com/articles/news/ny-archdiocese-closing-20-catholic-schools" TargetMode="External"/><Relationship Id="rId263" Type="http://schemas.openxmlformats.org/officeDocument/2006/relationships/hyperlink" Target="https://www.niche.com/k12/corpus-christi-school-new-york-ny/" TargetMode="External"/><Relationship Id="rId262" Type="http://schemas.openxmlformats.org/officeDocument/2006/relationships/hyperlink" Target="https://ccschoolnyc.org/documents/2020/1/11086-Corpus%20Christi%20NYC%20Tuition%20and%20Fees%20Rate%20Sheet.pdf" TargetMode="External"/><Relationship Id="rId261" Type="http://schemas.openxmlformats.org/officeDocument/2006/relationships/hyperlink" Target="https://wcbs880.radio.com/articles/news/ny-archdiocese-closing-20-catholic-schools" TargetMode="External"/><Relationship Id="rId268" Type="http://schemas.openxmlformats.org/officeDocument/2006/relationships/hyperlink" Target="https://holyfamilynewrochelle.org/tuition-and-fees" TargetMode="External"/><Relationship Id="rId267" Type="http://schemas.openxmlformats.org/officeDocument/2006/relationships/hyperlink" Target="https://wcbs880.radio.com/articles/news/ny-archdiocese-closing-20-catholic-schools" TargetMode="External"/><Relationship Id="rId266" Type="http://schemas.openxmlformats.org/officeDocument/2006/relationships/hyperlink" Target="https://www.niche.com/k12/divine-mercy-catholic-academy-ozone-park-ny/" TargetMode="External"/><Relationship Id="rId265" Type="http://schemas.openxmlformats.org/officeDocument/2006/relationships/hyperlink" Target="https://divinemercynewwindsor.org/documents/2020/1/11118-Divine%20Mercy%20Tuition%20and%20Fees%20Rate%20Sheet%20with%20English%20and%20Spanish%20sheets.pdf" TargetMode="External"/><Relationship Id="rId260" Type="http://schemas.openxmlformats.org/officeDocument/2006/relationships/hyperlink" Target="https://www.niche.com/k12/all-saints-catholic-school-los-angeles-ca/" TargetMode="External"/><Relationship Id="rId259" Type="http://schemas.openxmlformats.org/officeDocument/2006/relationships/hyperlink" Target="http://www.allsaintsla.com/ministries/all-saints-school" TargetMode="External"/><Relationship Id="rId258" Type="http://schemas.openxmlformats.org/officeDocument/2006/relationships/hyperlink" Target="https://www.greatschools.org/california/richmond/8242-St.-Cornelius-Elementary-School/" TargetMode="External"/><Relationship Id="rId253" Type="http://schemas.openxmlformats.org/officeDocument/2006/relationships/hyperlink" Target="https://www.eagletribune.com/news/new_hampshire/st-thomas-aquinas-school-in-derry-to-close-for-good/article_2a9527f9-298a-5a67-a49b-f9e1c2a8c9bb.html" TargetMode="External"/><Relationship Id="rId495" Type="http://schemas.openxmlformats.org/officeDocument/2006/relationships/hyperlink" Target="https://www.clickorlando.com/news/2021/03/31/divine-mercy-catholic-academy-in-merritt-island-closes-to-merge-with-nearby-schools/" TargetMode="External"/><Relationship Id="rId252" Type="http://schemas.openxmlformats.org/officeDocument/2006/relationships/hyperlink" Target="https://www.niche.com/k12/sacred-heart-school-oxford-pa/" TargetMode="External"/><Relationship Id="rId494" Type="http://schemas.openxmlformats.org/officeDocument/2006/relationships/hyperlink" Target="https://www.niche.com/k12/st-ferdinand-elementary-school-san-fernando-ca/" TargetMode="External"/><Relationship Id="rId251" Type="http://schemas.openxmlformats.org/officeDocument/2006/relationships/hyperlink" Target="https://shsoxford.us/tuition" TargetMode="External"/><Relationship Id="rId493" Type="http://schemas.openxmlformats.org/officeDocument/2006/relationships/hyperlink" Target="https://www.stferdinand.com/uploads/1/3/5/2/135291438/tuition_and_fees_info_sheet_2021-2022.pdf" TargetMode="External"/><Relationship Id="rId250" Type="http://schemas.openxmlformats.org/officeDocument/2006/relationships/hyperlink" Target="https://catholicphilly.com/2020/06/news/local-news/two-chester-county-catholic-schools-wont-reopen-in-fall/" TargetMode="External"/><Relationship Id="rId492" Type="http://schemas.openxmlformats.org/officeDocument/2006/relationships/hyperlink" Target="https://stferdinandchurch.org/documents/2021/3/St.%20Ferdinand%20Community%20Letter%20-%20English-%203.26.2021-1.pdf" TargetMode="External"/><Relationship Id="rId257" Type="http://schemas.openxmlformats.org/officeDocument/2006/relationships/hyperlink" Target="https://www.privateschoolreview.com/st-cornelius-school-profile" TargetMode="External"/><Relationship Id="rId499" Type="http://schemas.openxmlformats.org/officeDocument/2006/relationships/hyperlink" Target="https://www.niche.com/k12/assumption-school-los-angeles-ca/" TargetMode="External"/><Relationship Id="rId256" Type="http://schemas.openxmlformats.org/officeDocument/2006/relationships/hyperlink" Target="https://richmondstandard.com/richmond/2020/07/07/diocese-to-close-72-year-old-catholic-school-in-richmond/" TargetMode="External"/><Relationship Id="rId498" Type="http://schemas.openxmlformats.org/officeDocument/2006/relationships/hyperlink" Target="https://www.latimes.com/california/story/2021-04-03/six-la-catholic-schools-close-covid-19-hardship" TargetMode="External"/><Relationship Id="rId255" Type="http://schemas.openxmlformats.org/officeDocument/2006/relationships/hyperlink" Target="https://www.niche.com/k12/st-thomas-aquinas-school-derry-nh/" TargetMode="External"/><Relationship Id="rId497" Type="http://schemas.openxmlformats.org/officeDocument/2006/relationships/hyperlink" Target="https://www.niche.com/k12/divine-mercy-catholic-academy-merritt-island-fl/" TargetMode="External"/><Relationship Id="rId254" Type="http://schemas.openxmlformats.org/officeDocument/2006/relationships/hyperlink" Target="https://www.staderry.com/copy-of-tuition" TargetMode="External"/><Relationship Id="rId496" Type="http://schemas.openxmlformats.org/officeDocument/2006/relationships/hyperlink" Target="http://www.dmccs.org/wp-content/uploads/2021/02/Tuition-21-22.pdf" TargetMode="External"/><Relationship Id="rId293" Type="http://schemas.openxmlformats.org/officeDocument/2006/relationships/hyperlink" Target="https://www.niche.com/k12/st-elizabeth-ann-seton-school-shrub-oak-ny/" TargetMode="External"/><Relationship Id="rId292" Type="http://schemas.openxmlformats.org/officeDocument/2006/relationships/hyperlink" Target="https://seasschool.com/tuition-and-fees" TargetMode="External"/><Relationship Id="rId291" Type="http://schemas.openxmlformats.org/officeDocument/2006/relationships/hyperlink" Target="https://wcbs880.radio.com/articles/news/ny-archdiocese-closing-20-catholic-schools" TargetMode="External"/><Relationship Id="rId290" Type="http://schemas.openxmlformats.org/officeDocument/2006/relationships/hyperlink" Target="https://www.niche.com/k12/st-ann-school-yonkers-ny/" TargetMode="External"/><Relationship Id="rId286" Type="http://schemas.openxmlformats.org/officeDocument/2006/relationships/hyperlink" Target="https://sacredheartschoolsuffern.com/tuition-amp-fees" TargetMode="External"/><Relationship Id="rId285" Type="http://schemas.openxmlformats.org/officeDocument/2006/relationships/hyperlink" Target="https://wcbs880.radio.com/articles/news/ny-archdiocese-closing-20-catholic-schools" TargetMode="External"/><Relationship Id="rId284" Type="http://schemas.openxmlformats.org/officeDocument/2006/relationships/hyperlink" Target="https://www.niche.com/k12/our-lady-of-the-assumption-school-bronx-ny/" TargetMode="External"/><Relationship Id="rId283" Type="http://schemas.openxmlformats.org/officeDocument/2006/relationships/hyperlink" Target="https://olassumptionbronx.org/tuition-amp-fees" TargetMode="External"/><Relationship Id="rId289" Type="http://schemas.openxmlformats.org/officeDocument/2006/relationships/hyperlink" Target="https://stannschoolyonkers.org/tuition-amp-fees" TargetMode="External"/><Relationship Id="rId288" Type="http://schemas.openxmlformats.org/officeDocument/2006/relationships/hyperlink" Target="https://wcbs880.radio.com/articles/news/ny-archdiocese-closing-20-catholic-schools" TargetMode="External"/><Relationship Id="rId287" Type="http://schemas.openxmlformats.org/officeDocument/2006/relationships/hyperlink" Target="https://www.niche.com/k12/sacred-heart-school-suffern-ny/" TargetMode="External"/><Relationship Id="rId282" Type="http://schemas.openxmlformats.org/officeDocument/2006/relationships/hyperlink" Target="https://wcbs880.radio.com/articles/news/ny-archdiocese-closing-20-catholic-schools" TargetMode="External"/><Relationship Id="rId281" Type="http://schemas.openxmlformats.org/officeDocument/2006/relationships/hyperlink" Target="https://www.niche.com/k12/our-lady-of-pompeii-school-new-york-ny/" TargetMode="External"/><Relationship Id="rId280" Type="http://schemas.openxmlformats.org/officeDocument/2006/relationships/hyperlink" Target="https://ourladyofpompeii.nyc/tuition-amp-fees" TargetMode="External"/><Relationship Id="rId275" Type="http://schemas.openxmlformats.org/officeDocument/2006/relationships/hyperlink" Target="https://www.niche.com/k12/our-lady-of-mt-carmel-st-benedicta-school-staten-island-ny/" TargetMode="External"/><Relationship Id="rId274" Type="http://schemas.openxmlformats.org/officeDocument/2006/relationships/hyperlink" Target="https://olmcsb.org/tuition-amp-fees" TargetMode="External"/><Relationship Id="rId273" Type="http://schemas.openxmlformats.org/officeDocument/2006/relationships/hyperlink" Target="https://wcbs880.radio.com/articles/news/ny-archdiocese-closing-20-catholic-schools" TargetMode="External"/><Relationship Id="rId272" Type="http://schemas.openxmlformats.org/officeDocument/2006/relationships/hyperlink" Target="https://www.niche.com/k12/nativity-of-our-blessed-lady-school-bronx-ny/" TargetMode="External"/><Relationship Id="rId279" Type="http://schemas.openxmlformats.org/officeDocument/2006/relationships/hyperlink" Target="https://wcbs880.radio.com/articles/news/ny-archdiocese-closing-20-catholic-schools" TargetMode="External"/><Relationship Id="rId278" Type="http://schemas.openxmlformats.org/officeDocument/2006/relationships/hyperlink" Target="https://www.niche.com/k12/our-lady-of-perpetual-help-school-pelham-ny/" TargetMode="External"/><Relationship Id="rId277" Type="http://schemas.openxmlformats.org/officeDocument/2006/relationships/hyperlink" Target="https://www.olphpelham.com/files/OLPH_PS_Handbook_17-18.pdf" TargetMode="External"/><Relationship Id="rId276" Type="http://schemas.openxmlformats.org/officeDocument/2006/relationships/hyperlink" Target="https://wcbs880.radio.com/articles/news/ny-archdiocese-closing-20-catholic-schools" TargetMode="External"/><Relationship Id="rId907" Type="http://schemas.openxmlformats.org/officeDocument/2006/relationships/hyperlink" Target="https://www.wgrz.com/article/news/special-reports/diocese-in-crisis/st-john-vianney-school-closing/71-7ba83fce-7765-41e4-92e2-18bb3fd2d068" TargetMode="External"/><Relationship Id="rId906" Type="http://schemas.openxmlformats.org/officeDocument/2006/relationships/hyperlink" Target="https://machebeuf.org/admissions/tuition-financial-aid/" TargetMode="External"/><Relationship Id="rId905" Type="http://schemas.openxmlformats.org/officeDocument/2006/relationships/hyperlink" Target="https://www.niche.com/k12/bishop-machebeuf-high-school-denver-co/students/" TargetMode="External"/><Relationship Id="rId904" Type="http://schemas.openxmlformats.org/officeDocument/2006/relationships/hyperlink" Target="https://www.niche.com/k12/guardian-angels-catholic-school-denver-co/" TargetMode="External"/><Relationship Id="rId909" Type="http://schemas.openxmlformats.org/officeDocument/2006/relationships/hyperlink" Target="https://s3.amazonaws.com/media.cloversites.com/5f/5fae3c17-7e9f-4d0a-8175-1113c7c3f93c/documents/Tuition_Agreement_25-26.pdf" TargetMode="External"/><Relationship Id="rId908" Type="http://schemas.openxmlformats.org/officeDocument/2006/relationships/hyperlink" Target="https://www.wgrz.com/article/news/local/st-john-vianney-buffalo-diocese-school-closure/71-dda5fb92-7b28-4a53-a6ae-4ef706de18e9" TargetMode="External"/><Relationship Id="rId903" Type="http://schemas.openxmlformats.org/officeDocument/2006/relationships/hyperlink" Target="https://www.niche.com/k12/wellspring-catholic-academy-at-st-bernadette-lakewood-co/" TargetMode="External"/><Relationship Id="rId902" Type="http://schemas.openxmlformats.org/officeDocument/2006/relationships/hyperlink" Target="https://gowellspring.org/wp-content/uploads/2024/09/wcaletterengfinal.pdf" TargetMode="External"/><Relationship Id="rId901" Type="http://schemas.openxmlformats.org/officeDocument/2006/relationships/hyperlink" Target="https://www.niche.com/k12/st-nicholas-school-jersey-city-nj/" TargetMode="External"/><Relationship Id="rId900" Type="http://schemas.openxmlformats.org/officeDocument/2006/relationships/hyperlink" Target="https://www.niche.com/k12/st-nicholas-school-jersey-city-nj/" TargetMode="External"/><Relationship Id="rId929" Type="http://schemas.openxmlformats.org/officeDocument/2006/relationships/hyperlink" Target="https://www.niche.com/k12/st-katharine-drexel-academy-san-diego-ca/" TargetMode="External"/><Relationship Id="rId928" Type="http://schemas.openxmlformats.org/officeDocument/2006/relationships/hyperlink" Target="https://www.kpbs.org/news/education/2025/01/02/low-enrollment-lack-funding-san-diego-catholic-school-danger-closing" TargetMode="External"/><Relationship Id="rId927" Type="http://schemas.openxmlformats.org/officeDocument/2006/relationships/hyperlink" Target="https://www.kpbs.org/news/education/2025/01/02/low-enrollment-lack-funding-san-diego-catholic-school-danger-closing" TargetMode="External"/><Relationship Id="rId926" Type="http://schemas.openxmlformats.org/officeDocument/2006/relationships/hyperlink" Target="https://www.wbaltv.com/article/st-agnes-catholic-school-catonsville-to-close-end-school-year/63419176" TargetMode="External"/><Relationship Id="rId921" Type="http://schemas.openxmlformats.org/officeDocument/2006/relationships/hyperlink" Target="https://www.niche.com/k12/christ-the-king-catholic-school-norfolk-va/" TargetMode="External"/><Relationship Id="rId920" Type="http://schemas.openxmlformats.org/officeDocument/2006/relationships/hyperlink" Target="https://www.wtkr.com/news/in-the-community/norfolk/christ-the-king-school-in-norfolk-to-close-at-end-of-school-year-due-to-mounting-debt" TargetMode="External"/><Relationship Id="rId925" Type="http://schemas.openxmlformats.org/officeDocument/2006/relationships/hyperlink" Target="https://catholicreview.org/st-agnes-school-catonsville-to-close-at-end-of-academic-year/" TargetMode="External"/><Relationship Id="rId924" Type="http://schemas.openxmlformats.org/officeDocument/2006/relationships/hyperlink" Target="https://www.niche.com/k12/st-teresas-catholic-school-albany-ga/" TargetMode="External"/><Relationship Id="rId923" Type="http://schemas.openxmlformats.org/officeDocument/2006/relationships/hyperlink" Target="https://www.niche.com/k12/st-teresas-catholic-school-albany-ga/" TargetMode="External"/><Relationship Id="rId922" Type="http://schemas.openxmlformats.org/officeDocument/2006/relationships/hyperlink" Target="https://www.niche.com/k12/st-teresas-catholic-school-albany-ga/students/" TargetMode="External"/><Relationship Id="rId918" Type="http://schemas.openxmlformats.org/officeDocument/2006/relationships/hyperlink" Target="https://www.niche.com/k12/alpine-academy-rockford-il/" TargetMode="External"/><Relationship Id="rId917" Type="http://schemas.openxmlformats.org/officeDocument/2006/relationships/hyperlink" Target="https://www.rockrivercurrent.com/2024/12/20/rockford-private-school-to-close-mid-year-wont-return-for-second-semester/" TargetMode="External"/><Relationship Id="rId916" Type="http://schemas.openxmlformats.org/officeDocument/2006/relationships/hyperlink" Target="https://www.niche.com/k12/our-lady-of-guadalupe-school-saint-louis-mo/" TargetMode="External"/><Relationship Id="rId915" Type="http://schemas.openxmlformats.org/officeDocument/2006/relationships/hyperlink" Target="https://www.stlouisreview.com/story/st-joseph-school-in-zell/" TargetMode="External"/><Relationship Id="rId919" Type="http://schemas.openxmlformats.org/officeDocument/2006/relationships/hyperlink" Target="https://www.niche.com/k12/alpine-academy-rockford-il/" TargetMode="External"/><Relationship Id="rId910" Type="http://schemas.openxmlformats.org/officeDocument/2006/relationships/hyperlink" Target="https://www.niche.com/k12/st-john-vianney-school-orchard-park-ny/" TargetMode="External"/><Relationship Id="rId914" Type="http://schemas.openxmlformats.org/officeDocument/2006/relationships/hyperlink" Target="https://www.saintkaterischool.org/admissions/tuition-rates-2023-2024/" TargetMode="External"/><Relationship Id="rId913" Type="http://schemas.openxmlformats.org/officeDocument/2006/relationships/hyperlink" Target="https://www.rochesterfirst.com/news/saint-kateri-catholic-school-in-irondequoit-to-close-at-end-of-academic-year/" TargetMode="External"/><Relationship Id="rId912" Type="http://schemas.openxmlformats.org/officeDocument/2006/relationships/hyperlink" Target="https://www.niche.com/k12/st-john-vianney-catholic-school-st-pete-beach-fl/" TargetMode="External"/><Relationship Id="rId911" Type="http://schemas.openxmlformats.org/officeDocument/2006/relationships/hyperlink" Target="https://www.ocregister.com/2024/10/16/mcdowell-school-in-laguna-niguel-is-closing-its-doors-after-educating-kids-for-nearly-50-years/" TargetMode="External"/><Relationship Id="rId629" Type="http://schemas.openxmlformats.org/officeDocument/2006/relationships/hyperlink" Target="https://www.stmic.org/admission" TargetMode="External"/><Relationship Id="rId624" Type="http://schemas.openxmlformats.org/officeDocument/2006/relationships/hyperlink" Target="https://thetablet.org/post-pandemic-st-thomas-aquinas-online-academy-closes/" TargetMode="External"/><Relationship Id="rId866" Type="http://schemas.openxmlformats.org/officeDocument/2006/relationships/hyperlink" Target="https://www.niche.com/k12/st-alphonsus-elementary-school-brooklyn-center-mn/" TargetMode="External"/><Relationship Id="rId623" Type="http://schemas.openxmlformats.org/officeDocument/2006/relationships/hyperlink" Target="https://www.niche.com/k12/st-gerard-catholic-high-school--plus--regional-middle-school-san-antonio-tx/students/" TargetMode="External"/><Relationship Id="rId865" Type="http://schemas.openxmlformats.org/officeDocument/2006/relationships/hyperlink" Target="https://stalsmnschool.org/" TargetMode="External"/><Relationship Id="rId622" Type="http://schemas.openxmlformats.org/officeDocument/2006/relationships/hyperlink" Target="https://www.stgerardsa.org/_files/ugd/70622b_6d65229a19904a13a963fd6f34d9a294.pdf" TargetMode="External"/><Relationship Id="rId864" Type="http://schemas.openxmlformats.org/officeDocument/2006/relationships/hyperlink" Target="https://ccxmedia.org/news/st-alphonsus-catholic-school-in-brooklyn-center-to-close-after-65-years/" TargetMode="External"/><Relationship Id="rId621" Type="http://schemas.openxmlformats.org/officeDocument/2006/relationships/hyperlink" Target="https://sanantonioreport.org/st-gerard-catholic-high-school-closes-amid-low-enrollment-financial-woes/" TargetMode="External"/><Relationship Id="rId863" Type="http://schemas.openxmlformats.org/officeDocument/2006/relationships/hyperlink" Target="https://www.niche.com/k12/lutheran-north-academy-houston-tx/students/" TargetMode="External"/><Relationship Id="rId628" Type="http://schemas.openxmlformats.org/officeDocument/2006/relationships/hyperlink" Target="https://www.kcrg.com/2022/08/05/st-marys-immaculate-conception-school-closing-after-lack-teachers/" TargetMode="External"/><Relationship Id="rId627" Type="http://schemas.openxmlformats.org/officeDocument/2006/relationships/hyperlink" Target="https://www.niche.com/k12/wings-of-faith-academy-stockton-mo/" TargetMode="External"/><Relationship Id="rId869" Type="http://schemas.openxmlformats.org/officeDocument/2006/relationships/hyperlink" Target="https://www.brooklynpaper.com/bk-diocese-closing-2-catholic-elementary-schools-2024/" TargetMode="External"/><Relationship Id="rId626" Type="http://schemas.openxmlformats.org/officeDocument/2006/relationships/hyperlink" Target="https://www.kansascity.com/news/state/missouri/article264212536.html" TargetMode="External"/><Relationship Id="rId868" Type="http://schemas.openxmlformats.org/officeDocument/2006/relationships/hyperlink" Target="https://srca.org/history-of-salve-regina-catholic-academy" TargetMode="External"/><Relationship Id="rId625" Type="http://schemas.openxmlformats.org/officeDocument/2006/relationships/hyperlink" Target="https://stacoa.org/" TargetMode="External"/><Relationship Id="rId867" Type="http://schemas.openxmlformats.org/officeDocument/2006/relationships/hyperlink" Target="https://www.brooklynpaper.com/bk-diocese-closing-2-catholic-elementary-schools-2024/" TargetMode="External"/><Relationship Id="rId620" Type="http://schemas.openxmlformats.org/officeDocument/2006/relationships/hyperlink" Target="https://www.niche.com/k12/kingfisher-academy-tucker-ga/" TargetMode="External"/><Relationship Id="rId862" Type="http://schemas.openxmlformats.org/officeDocument/2006/relationships/hyperlink" Target="https://www.saintzacharyschool.org/enrollment/tuition-and-scholarships/" TargetMode="External"/><Relationship Id="rId861" Type="http://schemas.openxmlformats.org/officeDocument/2006/relationships/hyperlink" Target="https://abc7chicago.com/st-zachary-school-closing-after-more-than-60-years-in-des-plaines-illinois/14722825/" TargetMode="External"/><Relationship Id="rId860" Type="http://schemas.openxmlformats.org/officeDocument/2006/relationships/hyperlink" Target="https://www.niche.com/k12/st-matthias-school-ridgewood-ny/" TargetMode="External"/><Relationship Id="rId619" Type="http://schemas.openxmlformats.org/officeDocument/2006/relationships/hyperlink" Target="http://kingfisheracademy.org/parents/tuition-payments/" TargetMode="External"/><Relationship Id="rId618" Type="http://schemas.openxmlformats.org/officeDocument/2006/relationships/hyperlink" Target="https://www.cbs46.com/2022/07/20/some-parents-scramble-find-new-options-after-tucker-private-school-closes/" TargetMode="External"/><Relationship Id="rId613" Type="http://schemas.openxmlformats.org/officeDocument/2006/relationships/hyperlink" Target="https://www.niche.com/k12/good-shepherd-catholic-school-santa-cruz-ca/" TargetMode="External"/><Relationship Id="rId855" Type="http://schemas.openxmlformats.org/officeDocument/2006/relationships/hyperlink" Target="https://www.wnep.com/article/news/local/columbia-county/saint-columba-catholic-school-bloomsburg-to-close-after-70-years/523-c6fb9794-f724-4f5a-a77e-16ef9da2ba45" TargetMode="External"/><Relationship Id="rId612" Type="http://schemas.openxmlformats.org/officeDocument/2006/relationships/hyperlink" Target="https://www.ksbw.com/article/parents-frustrated-with-monterey-dioceses-after-good-shepherd-school-closure/40487113" TargetMode="External"/><Relationship Id="rId854" Type="http://schemas.openxmlformats.org/officeDocument/2006/relationships/hyperlink" Target="https://www.hbgdiocese.org/saint-columba-catholic-school-to-close/" TargetMode="External"/><Relationship Id="rId611" Type="http://schemas.openxmlformats.org/officeDocument/2006/relationships/hyperlink" Target="https://www.niche.com/k12/champagnat-catholic-school-hialeah-fl/students/" TargetMode="External"/><Relationship Id="rId853" Type="http://schemas.openxmlformats.org/officeDocument/2006/relationships/hyperlink" Target="https://www.niche.com/k12/st-monica-elementary-school-saint-louis-mo/" TargetMode="External"/><Relationship Id="rId610" Type="http://schemas.openxmlformats.org/officeDocument/2006/relationships/hyperlink" Target="http://champagnatcatholicschool.com/wp-content/uploads/2020/05/Registration_2020-2021-Fillable.pdf" TargetMode="External"/><Relationship Id="rId852" Type="http://schemas.openxmlformats.org/officeDocument/2006/relationships/hyperlink" Target="https://fox2now.com/news/missouri/st-monica-school-in-creve-coeur-to-close-after-school-year/" TargetMode="External"/><Relationship Id="rId617" Type="http://schemas.openxmlformats.org/officeDocument/2006/relationships/hyperlink" Target="https://www.niche.com/k12/our-lady-of-fatima-school-wilton-ct/" TargetMode="External"/><Relationship Id="rId859" Type="http://schemas.openxmlformats.org/officeDocument/2006/relationships/hyperlink" Target="https://www.niche.com/k12/st-matthias-school-ridgewood-ny/" TargetMode="External"/><Relationship Id="rId616" Type="http://schemas.openxmlformats.org/officeDocument/2006/relationships/hyperlink" Target="https://4.files.edl.io/e8eb/09/05/21/035232-eaea1016-b1e9-4748-ba21-729711010ddf.pdf" TargetMode="External"/><Relationship Id="rId858" Type="http://schemas.openxmlformats.org/officeDocument/2006/relationships/hyperlink" Target="https://www.stmatthiasca.org/" TargetMode="External"/><Relationship Id="rId615" Type="http://schemas.openxmlformats.org/officeDocument/2006/relationships/hyperlink" Target="https://newjersey.news12.com/wilton-catholic-school-closes-due-to-low-enrollment-budget-issues" TargetMode="External"/><Relationship Id="rId857" Type="http://schemas.openxmlformats.org/officeDocument/2006/relationships/hyperlink" Target="https://qns.com/2024/04/catholic-school-ridgewood-faces-closure-114-years/" TargetMode="External"/><Relationship Id="rId614" Type="http://schemas.openxmlformats.org/officeDocument/2006/relationships/hyperlink" Target="https://www.niche.com/k12/good-shepherd-catholic-school-santa-cruz-ca/" TargetMode="External"/><Relationship Id="rId856" Type="http://schemas.openxmlformats.org/officeDocument/2006/relationships/hyperlink" Target="https://www.saintcolumbaschool.org/Portals/stcolumbaschool/CMAdmin/Files/2023-2024%20Tuition%20rates.pdf?ver=2023-05-15-061405-317" TargetMode="External"/><Relationship Id="rId851" Type="http://schemas.openxmlformats.org/officeDocument/2006/relationships/hyperlink" Target="https://www.manisteenews.com/news/article/manistee-families-caught-guard-students-pulled-18591712.php" TargetMode="External"/><Relationship Id="rId850" Type="http://schemas.openxmlformats.org/officeDocument/2006/relationships/hyperlink" Target="https://www.niche.com/k12/manistee-catholic-central-school-manistee-mi/" TargetMode="External"/><Relationship Id="rId409" Type="http://schemas.openxmlformats.org/officeDocument/2006/relationships/hyperlink" Target="https://www.stagneshs.org/apps/pages/index.jsp?uREC_ID=69060&amp;type=d" TargetMode="External"/><Relationship Id="rId404" Type="http://schemas.openxmlformats.org/officeDocument/2006/relationships/hyperlink" Target="https://www.sentinelsource.com/news/local/monadnock-waldorf-school-to-close-at-end-of-academic-year/article_756cb1d4-45b5-5c2b-b543-9b8ba128d02c.html" TargetMode="External"/><Relationship Id="rId646" Type="http://schemas.openxmlformats.org/officeDocument/2006/relationships/hyperlink" Target="http://sfsta.org/wp-content/uploads/2022/02/Summary-of-Charges-22-23.pdf" TargetMode="External"/><Relationship Id="rId888" Type="http://schemas.openxmlformats.org/officeDocument/2006/relationships/hyperlink" Target="https://www.greatschools.org/california/los-gatos/9799-Mulberry-School/" TargetMode="External"/><Relationship Id="rId403" Type="http://schemas.openxmlformats.org/officeDocument/2006/relationships/hyperlink" Target="http://www.usaschoolinfo.com/school/bishop-mcdevitt-high-school-wyncote-pennsylvania.111388/enrollment" TargetMode="External"/><Relationship Id="rId645" Type="http://schemas.openxmlformats.org/officeDocument/2006/relationships/hyperlink" Target="https://www.sfchronicle.com/sf/article/Heartbroken-Another-Catholic-school-in-San-17709000.php" TargetMode="External"/><Relationship Id="rId887" Type="http://schemas.openxmlformats.org/officeDocument/2006/relationships/hyperlink" Target="https://www.greatschools.org/california/los-gatos/9799-Mulberry-School/" TargetMode="External"/><Relationship Id="rId402" Type="http://schemas.openxmlformats.org/officeDocument/2006/relationships/hyperlink" Target="https://www.inquirer.com/education/catholic-school-closing-hallahan-mcdevitt-20201118.html" TargetMode="External"/><Relationship Id="rId644" Type="http://schemas.openxmlformats.org/officeDocument/2006/relationships/hyperlink" Target="https://www.privateschoolreview.com/st-thomas-the-apostle-elementary-school-profile" TargetMode="External"/><Relationship Id="rId886" Type="http://schemas.openxmlformats.org/officeDocument/2006/relationships/hyperlink" Target="https://www.whitemountain.org/admissions/tuition-and-financial-aid/" TargetMode="External"/><Relationship Id="rId401" Type="http://schemas.openxmlformats.org/officeDocument/2006/relationships/hyperlink" Target="https://6abc.com/archdiocese-of-philadelphia-john-w-hallahan-bishop-mcdevitt-wyncote/8080855/" TargetMode="External"/><Relationship Id="rId643" Type="http://schemas.openxmlformats.org/officeDocument/2006/relationships/hyperlink" Target="https://www.nbcmiami.com/news/local/parents-dropping-off-students-find-private-elementary-school-in-miami-closed/2946474/" TargetMode="External"/><Relationship Id="rId885" Type="http://schemas.openxmlformats.org/officeDocument/2006/relationships/hyperlink" Target="https://www.wmur.com/article/white-mountain-school-in-bethlehem-announces-its-closing/61111202" TargetMode="External"/><Relationship Id="rId408" Type="http://schemas.openxmlformats.org/officeDocument/2006/relationships/hyperlink" Target="https://qns.com/2021/01/st-agnes-academic-high-school-in-college-point-to-close-due-to-financial-hardship/" TargetMode="External"/><Relationship Id="rId407" Type="http://schemas.openxmlformats.org/officeDocument/2006/relationships/hyperlink" Target="https://www.greatschools.org/new-hampshire/keene/579-Monadnock-Waldorf-School/" TargetMode="External"/><Relationship Id="rId649" Type="http://schemas.openxmlformats.org/officeDocument/2006/relationships/hyperlink" Target="https://www.facebook.com/photo/?fbid=623887713075259&amp;set=a.390076319789734" TargetMode="External"/><Relationship Id="rId406" Type="http://schemas.openxmlformats.org/officeDocument/2006/relationships/hyperlink" Target="https://static1.squarespace.com/static/580e0c1abe65946f27fee328/t/5ea9e9724ee16c394b6a8950/1588193650242/Tuition+Estimates+2020-2021_May.pdf" TargetMode="External"/><Relationship Id="rId648" Type="http://schemas.openxmlformats.org/officeDocument/2006/relationships/hyperlink" Target="https://www.niche.com/k12/ste-jeanne-darc-school-lowell-ma/" TargetMode="External"/><Relationship Id="rId405" Type="http://schemas.openxmlformats.org/officeDocument/2006/relationships/hyperlink" Target="https://www.privateschoolreview.com/monadnock-waldorf-school-profile" TargetMode="External"/><Relationship Id="rId647" Type="http://schemas.openxmlformats.org/officeDocument/2006/relationships/hyperlink" Target="https://www.niche.com/k12/st-thomas-the-apostle-elementary-school-san-francisco-ca/" TargetMode="External"/><Relationship Id="rId889" Type="http://schemas.openxmlformats.org/officeDocument/2006/relationships/hyperlink" Target="https://www.greatschools.org/california/san-rafael/9385-The-Marin-School/" TargetMode="External"/><Relationship Id="rId880" Type="http://schemas.openxmlformats.org/officeDocument/2006/relationships/hyperlink" Target="https://cnycentral.com/news/local/rome-catholic-school-set-to-close-by-end-of-2024-due-to-declining-enrollment" TargetMode="External"/><Relationship Id="rId400" Type="http://schemas.openxmlformats.org/officeDocument/2006/relationships/hyperlink" Target="https://www.greatschools.org/pennsylvania/philadelphia/3359-John-W.-Hallahan-Catholic-Girls-High-School/" TargetMode="External"/><Relationship Id="rId642" Type="http://schemas.openxmlformats.org/officeDocument/2006/relationships/hyperlink" Target="https://www.niche.com/k12/blue-school-new-york-ny/" TargetMode="External"/><Relationship Id="rId884" Type="http://schemas.openxmlformats.org/officeDocument/2006/relationships/hyperlink" Target="https://www.wwnytv.com/2024/06/05/low-enrollment-takes-toll-massenas-trinity-catholic-school/" TargetMode="External"/><Relationship Id="rId641" Type="http://schemas.openxmlformats.org/officeDocument/2006/relationships/hyperlink" Target="https://www.blueschool.org/individualized-tuition" TargetMode="External"/><Relationship Id="rId883" Type="http://schemas.openxmlformats.org/officeDocument/2006/relationships/hyperlink" Target="https://www.niche.com/k12/sacred-heart-elementary-school-brawley-ca/" TargetMode="External"/><Relationship Id="rId640" Type="http://schemas.openxmlformats.org/officeDocument/2006/relationships/hyperlink" Target="https://www.niche.com/k12/blue-school-new-york-ny/" TargetMode="External"/><Relationship Id="rId882" Type="http://schemas.openxmlformats.org/officeDocument/2006/relationships/hyperlink" Target="https://kyma.com/news/imperial-county/2024/05/10/beloved-local-catholic-school-set-to-close-after-110-years/" TargetMode="External"/><Relationship Id="rId881" Type="http://schemas.openxmlformats.org/officeDocument/2006/relationships/hyperlink" Target="https://www.niche.com/k12/new-horizons-school-fremont-ca/" TargetMode="External"/><Relationship Id="rId635" Type="http://schemas.openxmlformats.org/officeDocument/2006/relationships/hyperlink" Target="https://education.vermont.gov/sites/aoe/files/documents/edu-state-board-item-l-1-02-16-22.pdf" TargetMode="External"/><Relationship Id="rId877" Type="http://schemas.openxmlformats.org/officeDocument/2006/relationships/hyperlink" Target="https://www.dailybreeze.com/2024/05/20/k-8-school-at-trinity-lutheran-church-in-hawthorne-to-close-after-77-years/" TargetMode="External"/><Relationship Id="rId634" Type="http://schemas.openxmlformats.org/officeDocument/2006/relationships/hyperlink" Target="https://vtdigger.org/2022/09/21/stones-unturned-before-it-closed-for-profit-school-drew-attention-of-vermont-officials/" TargetMode="External"/><Relationship Id="rId876" Type="http://schemas.openxmlformats.org/officeDocument/2006/relationships/hyperlink" Target="https://www.charlotteobserver.com/sports/high-school/article288360285.html" TargetMode="External"/><Relationship Id="rId633" Type="http://schemas.openxmlformats.org/officeDocument/2006/relationships/hyperlink" Target="https://www.niche.com/k12/san-xavier-mission-school-tucson-az/" TargetMode="External"/><Relationship Id="rId875" Type="http://schemas.openxmlformats.org/officeDocument/2006/relationships/hyperlink" Target="https://www.wifr.com/2024/05/01/diocese-close-aquin-catholic-high-school-freeport-creates-micro-academy/" TargetMode="External"/><Relationship Id="rId632" Type="http://schemas.openxmlformats.org/officeDocument/2006/relationships/hyperlink" Target="https://sanxaviermission.org/documents/2021/6/SXMS20Registration_21-222028Rev29-Addendum20Word1.pdf" TargetMode="External"/><Relationship Id="rId874" Type="http://schemas.openxmlformats.org/officeDocument/2006/relationships/hyperlink" Target="https://wwmt.com/news/local/saint-margaret-catholic-elementary-school-otsego-closing-kalamazoo-diocese-catholic-church-teacher-shortage-funding-students-education" TargetMode="External"/><Relationship Id="rId639" Type="http://schemas.openxmlformats.org/officeDocument/2006/relationships/hyperlink" Target="https://www.bloomberg.com/news/articles/2022-11-16/beleaguered-nyc-private-school-to-shutter-after-headcount-drop" TargetMode="External"/><Relationship Id="rId638" Type="http://schemas.openxmlformats.org/officeDocument/2006/relationships/hyperlink" Target="https://www.niche.com/k12/blue-school-new-york-ny/" TargetMode="External"/><Relationship Id="rId637" Type="http://schemas.openxmlformats.org/officeDocument/2006/relationships/hyperlink" Target="https://www.asumag.com/facilities-management/business-finance/article/21254602/independent-elementary-and-middle-school-in-maine-will-close-in-june-amid-financial-woes" TargetMode="External"/><Relationship Id="rId879" Type="http://schemas.openxmlformats.org/officeDocument/2006/relationships/hyperlink" Target="https://www.niche.com/k12/immaculate-heart-of-mary-school-wayne-nj/" TargetMode="External"/><Relationship Id="rId636" Type="http://schemas.openxmlformats.org/officeDocument/2006/relationships/hyperlink" Target="https://www.schooldigger.com/go/VT/schools/9999974823/school.aspx" TargetMode="External"/><Relationship Id="rId878" Type="http://schemas.openxmlformats.org/officeDocument/2006/relationships/hyperlink" Target="https://www.nj.com/education/2024/05/nj-catholic-school-to-close-after-65-years.html" TargetMode="External"/><Relationship Id="rId631" Type="http://schemas.openxmlformats.org/officeDocument/2006/relationships/hyperlink" Target="https://www.kold.com/2022/08/15/san-xavier-mission-school-suspects-operations-with-plans-reopen/" TargetMode="External"/><Relationship Id="rId873" Type="http://schemas.openxmlformats.org/officeDocument/2006/relationships/hyperlink" Target="https://transfigurationschool.org/tuition-and-fees" TargetMode="External"/><Relationship Id="rId630" Type="http://schemas.openxmlformats.org/officeDocument/2006/relationships/hyperlink" Target="https://www.niche.com/k12/st-mary-immaculate-conception-school-guttenberg-ia/" TargetMode="External"/><Relationship Id="rId872" Type="http://schemas.openxmlformats.org/officeDocument/2006/relationships/hyperlink" Target="https://thehudsonindependent.com/transfiguration-catholic-school-in-tarrytown-to-close/" TargetMode="External"/><Relationship Id="rId871" Type="http://schemas.openxmlformats.org/officeDocument/2006/relationships/hyperlink" Target="https://bronx.news12.com/st-simon-stock-school-in-fordham-to-not-reopen-this-fall-due-to-low-enrollment" TargetMode="External"/><Relationship Id="rId870" Type="http://schemas.openxmlformats.org/officeDocument/2006/relationships/hyperlink" Target="https://scgstl.org/school-history" TargetMode="External"/><Relationship Id="rId829" Type="http://schemas.openxmlformats.org/officeDocument/2006/relationships/hyperlink" Target="https://www.cbsnews.com/chicago/news/catholic-schools-closing-berwyn-cicero-st-frances-of-rome-st-odilo/" TargetMode="External"/><Relationship Id="rId828" Type="http://schemas.openxmlformats.org/officeDocument/2006/relationships/hyperlink" Target="https://www.niche.com/k12/st-odilo-elementary-school-berwyn-il/" TargetMode="External"/><Relationship Id="rId827" Type="http://schemas.openxmlformats.org/officeDocument/2006/relationships/hyperlink" Target="https://www.ctkwichita.org/admissions/enrollment" TargetMode="External"/><Relationship Id="rId822" Type="http://schemas.openxmlformats.org/officeDocument/2006/relationships/hyperlink" Target="https://nces.ed.gov/surveys/pss/privateschoolsearch/school_detail.asp?Search=1&amp;SchoolName=little+flower&amp;State=29&amp;NumOfStudentsRange=more&amp;IncGrade=-1&amp;LoGrade=-1&amp;HiGrade=-1&amp;ID=00751002" TargetMode="External"/><Relationship Id="rId821" Type="http://schemas.openxmlformats.org/officeDocument/2006/relationships/hyperlink" Target="https://www.wivb.com/news/local-news/erie-county/tonawanda/st-andrews-parish-school-in-tonawanda-to-close-by-june/" TargetMode="External"/><Relationship Id="rId820" Type="http://schemas.openxmlformats.org/officeDocument/2006/relationships/hyperlink" Target="https://www.brooklynpaper.com/bay-ridge-visitation-academy-to-shut-down/" TargetMode="External"/><Relationship Id="rId826" Type="http://schemas.openxmlformats.org/officeDocument/2006/relationships/hyperlink" Target="https://www.niche.com/k12/christ-the-king-elementary-school-wichita-ks/" TargetMode="External"/><Relationship Id="rId825" Type="http://schemas.openxmlformats.org/officeDocument/2006/relationships/hyperlink" Target="https://www.niche.com/k12/st-roch-school-saint-louis-mo/" TargetMode="External"/><Relationship Id="rId824" Type="http://schemas.openxmlformats.org/officeDocument/2006/relationships/hyperlink" Target="https://www.littleflowerstl.org/Tuition.aspx" TargetMode="External"/><Relationship Id="rId823" Type="http://schemas.openxmlformats.org/officeDocument/2006/relationships/hyperlink" Target="https://www.ksdk.com/article/news/education/2-archdiocese-of-st-louis-catholic-elementary-schools-to-close/63-0fc31406-940d-4c95-ae9a-a1736b50f22a" TargetMode="External"/><Relationship Id="rId819" Type="http://schemas.openxmlformats.org/officeDocument/2006/relationships/hyperlink" Target="https://www.niche.com/k12/visitation-academy-brooklyn-ny/" TargetMode="External"/><Relationship Id="rId818" Type="http://schemas.openxmlformats.org/officeDocument/2006/relationships/hyperlink" Target="https://news.yahoo.com/l-hotels-homeless-residents-forced-110026761.html" TargetMode="External"/><Relationship Id="rId817" Type="http://schemas.openxmlformats.org/officeDocument/2006/relationships/hyperlink" Target="https://www.venangocatholic.org/" TargetMode="External"/><Relationship Id="rId816" Type="http://schemas.openxmlformats.org/officeDocument/2006/relationships/hyperlink" Target="https://www.meadvilletribune.com/news/venango-christian-high-school-to-close-at-end-of-academic-year/article_3674df64-c7a4-11ee-b71e-6fb3346ba184.html" TargetMode="External"/><Relationship Id="rId811" Type="http://schemas.openxmlformats.org/officeDocument/2006/relationships/hyperlink" Target="https://www.ncronline.org/news/joliet-bishop-announces-merging-closure-9-catholic-parishes" TargetMode="External"/><Relationship Id="rId810" Type="http://schemas.openxmlformats.org/officeDocument/2006/relationships/hyperlink" Target="https://thestpaulschool.org/" TargetMode="External"/><Relationship Id="rId815" Type="http://schemas.openxmlformats.org/officeDocument/2006/relationships/hyperlink" Target="https://stmatthewschool.org/admissions/tuition-fees/" TargetMode="External"/><Relationship Id="rId814" Type="http://schemas.openxmlformats.org/officeDocument/2006/relationships/hyperlink" Target="https://www.diojoliet.org/w/bishop-ronald-hicks-decision-concerning-the-restructuring-of-the-joliet-deanery" TargetMode="External"/><Relationship Id="rId813" Type="http://schemas.openxmlformats.org/officeDocument/2006/relationships/hyperlink" Target="https://www.niche.com/k12/st-matthew-parish-school-glendale-heights-il/" TargetMode="External"/><Relationship Id="rId812" Type="http://schemas.openxmlformats.org/officeDocument/2006/relationships/hyperlink" Target="https://www.saintjudejoliet.net/" TargetMode="External"/><Relationship Id="rId609" Type="http://schemas.openxmlformats.org/officeDocument/2006/relationships/hyperlink" Target="https://www.miamiherald.com/sports/high-school/article262785588.html" TargetMode="External"/><Relationship Id="rId608" Type="http://schemas.openxmlformats.org/officeDocument/2006/relationships/hyperlink" Target="https://www.niche.com/k12/st-barbara-elementary-school-massillon-oh/" TargetMode="External"/><Relationship Id="rId607" Type="http://schemas.openxmlformats.org/officeDocument/2006/relationships/hyperlink" Target="https://www.starkcountycatholicschools.org/Downloads/SBS%20Handbook%20%2021-222.pdf" TargetMode="External"/><Relationship Id="rId849" Type="http://schemas.openxmlformats.org/officeDocument/2006/relationships/hyperlink" Target="https://www.olgca.org/" TargetMode="External"/><Relationship Id="rId602" Type="http://schemas.openxmlformats.org/officeDocument/2006/relationships/hyperlink" Target="https://www.niche.com/k12/st-aloysius-regional-school-springville-ny/" TargetMode="External"/><Relationship Id="rId844" Type="http://schemas.openxmlformats.org/officeDocument/2006/relationships/hyperlink" Target="https://wreg.com/news/immaculate-conception-cathedral-school-to-close-at-end-of-school-year/" TargetMode="External"/><Relationship Id="rId601" Type="http://schemas.openxmlformats.org/officeDocument/2006/relationships/hyperlink" Target="https://staloysiusregional.com/wp-content/uploads/2020/03/2020-21-K-8-Tuition-Contract.pdf" TargetMode="External"/><Relationship Id="rId843" Type="http://schemas.openxmlformats.org/officeDocument/2006/relationships/hyperlink" Target="https://www.niche.com/k12/immaculate-conception-cathedral-school-memphis-tn/" TargetMode="External"/><Relationship Id="rId600" Type="http://schemas.openxmlformats.org/officeDocument/2006/relationships/hyperlink" Target="https://buffalonews.com/news/local/education/after-143-years-in-operation-st-aloysius-catholic-school-in-springville-is-closing/article_d3e594c0-e2ac-11ec-8f1a-9f0b8f223ac5.html" TargetMode="External"/><Relationship Id="rId842" Type="http://schemas.openxmlformats.org/officeDocument/2006/relationships/hyperlink" Target="https://www.niche.com/k12/st-teresa-of-avila-school-los-angeles-ca/" TargetMode="External"/><Relationship Id="rId841" Type="http://schemas.openxmlformats.org/officeDocument/2006/relationships/hyperlink" Target="https://www.theeastsiderla.com/news/daily_digest_evening_edition/microschool-is-too-small-to-survive/article_c327a378-eb8b-11ee-ae63-7f6a3026509b.html" TargetMode="External"/><Relationship Id="rId606" Type="http://schemas.openxmlformats.org/officeDocument/2006/relationships/hyperlink" Target="https://www.cantonrep.com/story/news/local/canton/2022/06/27/st-barbara-catholic-school-massillon-closing/7744721001/" TargetMode="External"/><Relationship Id="rId848" Type="http://schemas.openxmlformats.org/officeDocument/2006/relationships/hyperlink" Target="https://qconline.com/news/local/education/our-lady-of-grace-east-moline-closing/article_e04bf4ec-f782-11ee-9ae5-0f2c7a6c0c00.html" TargetMode="External"/><Relationship Id="rId605" Type="http://schemas.openxmlformats.org/officeDocument/2006/relationships/hyperlink" Target="https://www.niche.com/k12/bishop-kelley-catholic-school-lapeer-mi/" TargetMode="External"/><Relationship Id="rId847" Type="http://schemas.openxmlformats.org/officeDocument/2006/relationships/hyperlink" Target="https://www.niche.com/k12/our-lady-of-grace-east-moline-il/" TargetMode="External"/><Relationship Id="rId604" Type="http://schemas.openxmlformats.org/officeDocument/2006/relationships/hyperlink" Target="http://www.bishopkelleylapeer.org/tuition.html" TargetMode="External"/><Relationship Id="rId846" Type="http://schemas.openxmlformats.org/officeDocument/2006/relationships/hyperlink" Target="https://school.stannelvnv.org/tuition-fees" TargetMode="External"/><Relationship Id="rId603" Type="http://schemas.openxmlformats.org/officeDocument/2006/relationships/hyperlink" Target="https://wcrz.com/emotions-high-bishop-kelly-catholic-school-in-lapeer-is-closing/" TargetMode="External"/><Relationship Id="rId845" Type="http://schemas.openxmlformats.org/officeDocument/2006/relationships/hyperlink" Target="https://www.niche.com/k12/st-anne-catholic-school-las-vegas-nv/" TargetMode="External"/><Relationship Id="rId840" Type="http://schemas.openxmlformats.org/officeDocument/2006/relationships/hyperlink" Target="https://www.syracuse.com/news/2024/03/syracuse-catholic-diocese-to-close-pre-k-6-school-at-end-of-academic-year.html" TargetMode="External"/><Relationship Id="rId839" Type="http://schemas.openxmlformats.org/officeDocument/2006/relationships/hyperlink" Target="https://www.niche.com/k12/cathedral-academy-at-pompei-syracuse-ny/" TargetMode="External"/><Relationship Id="rId838" Type="http://schemas.openxmlformats.org/officeDocument/2006/relationships/hyperlink" Target="https://www.sunjournal.com/2025/03/28/saint-dominic-academy-to-close-its-high-school-at-end-of-school-year/" TargetMode="External"/><Relationship Id="rId833" Type="http://schemas.openxmlformats.org/officeDocument/2006/relationships/hyperlink" Target="https://www.stbedeschool.com/tuition-and-fees" TargetMode="External"/><Relationship Id="rId832" Type="http://schemas.openxmlformats.org/officeDocument/2006/relationships/hyperlink" Target="https://www.cbsnews.com/chicago/news/st-bede-school-chicago-north-suburbs-closing/" TargetMode="External"/><Relationship Id="rId831" Type="http://schemas.openxmlformats.org/officeDocument/2006/relationships/hyperlink" Target="https://kauainownews.com/2024/03/15/parents-struggle-to-prevent-st-catherines-school-closure-amid-low-enrollment/" TargetMode="External"/><Relationship Id="rId830" Type="http://schemas.openxmlformats.org/officeDocument/2006/relationships/hyperlink" Target="https://www.niche.com/k12/st-odilo-elementary-school-berwyn-il/" TargetMode="External"/><Relationship Id="rId837" Type="http://schemas.openxmlformats.org/officeDocument/2006/relationships/hyperlink" Target="https://www.niche.com/k12/atlanta-girls-school-atlanta-ga/students/" TargetMode="External"/><Relationship Id="rId836" Type="http://schemas.openxmlformats.org/officeDocument/2006/relationships/hyperlink" Target="https://www.niche.com/k12/atlanta-girls-school-atlanta-ga/" TargetMode="External"/><Relationship Id="rId835" Type="http://schemas.openxmlformats.org/officeDocument/2006/relationships/hyperlink" Target="https://www.11alive.com/article/news/education/atlanta-girls-school-closing/85-9a15bf52-c2f5-4120-b677-c90369ebdfaf" TargetMode="External"/><Relationship Id="rId834" Type="http://schemas.openxmlformats.org/officeDocument/2006/relationships/hyperlink" Target="https://www.niche.com/k12/st-bede-elementary-school-ingleside-il/" TargetMode="External"/><Relationship Id="rId1059" Type="http://schemas.openxmlformats.org/officeDocument/2006/relationships/hyperlink" Target="https://www.amny.com/education/diocese-brooklyn-seven-catholic-schools-close/" TargetMode="External"/><Relationship Id="rId228" Type="http://schemas.openxmlformats.org/officeDocument/2006/relationships/hyperlink" Target="https://www.americanpress.com/news/holy-family-school-in-moss-bluff-closing/article_a2003458-8be5-581b-bf9a-3103afd7275e.html" TargetMode="External"/><Relationship Id="rId227" Type="http://schemas.openxmlformats.org/officeDocument/2006/relationships/hyperlink" Target="https://www.niche.com/k12/st-joseph-school---verona-verona-pa/" TargetMode="External"/><Relationship Id="rId469" Type="http://schemas.openxmlformats.org/officeDocument/2006/relationships/hyperlink" Target="https://www.privateschoolreview.com/trinity-catholic-high-school-profile/63138" TargetMode="External"/><Relationship Id="rId226" Type="http://schemas.openxmlformats.org/officeDocument/2006/relationships/hyperlink" Target="https://stjoeschool.opvcatholic.org/tuition" TargetMode="External"/><Relationship Id="rId468" Type="http://schemas.openxmlformats.org/officeDocument/2006/relationships/hyperlink" Target="https://www.stltoday.com/news/local/education/trinity-catholic-high-school-in-north-st-louis-county-will-close/article_d3421a86-3526-5bf4-a934-a1605a1b7a71.html" TargetMode="External"/><Relationship Id="rId225" Type="http://schemas.openxmlformats.org/officeDocument/2006/relationships/hyperlink" Target="https://pittsburgh.cbslocal.com/2020/06/12/diocese-of-pittsburgh-announces-closure-of-two-elementary-schools-merger-of-two-elementary-schools/" TargetMode="External"/><Relationship Id="rId467" Type="http://schemas.openxmlformats.org/officeDocument/2006/relationships/hyperlink" Target="https://www.niche.com/k12/our-lady-of-victory-catholic-school-fort-worth-tx/" TargetMode="External"/><Relationship Id="rId229" Type="http://schemas.openxmlformats.org/officeDocument/2006/relationships/hyperlink" Target="https://d2y1pz2y630308.cloudfront.net/21711/documents/2019/2/Registration%20Fee%202019-2020-1.pdf" TargetMode="External"/><Relationship Id="rId1050" Type="http://schemas.openxmlformats.org/officeDocument/2006/relationships/hyperlink" Target="https://www.niche.com/k12/st-robert-catholic-school-sacramento-ca/" TargetMode="External"/><Relationship Id="rId220" Type="http://schemas.openxmlformats.org/officeDocument/2006/relationships/hyperlink" Target="https://www.niche.com/k12/our-lady-of-the-most-blessed-sacrament-school-natrona-heights-pa/" TargetMode="External"/><Relationship Id="rId462" Type="http://schemas.openxmlformats.org/officeDocument/2006/relationships/hyperlink" Target="https://www.niche.com/k12/guardian-angels-catholic-school-chaska-mn/" TargetMode="External"/><Relationship Id="rId1051" Type="http://schemas.openxmlformats.org/officeDocument/2006/relationships/hyperlink" Target="https://www.cbsnews.com/sacramento/news/parents-feel-blindsided-diocese-of-sacramento-catholic-school-consolidation/" TargetMode="External"/><Relationship Id="rId461" Type="http://schemas.openxmlformats.org/officeDocument/2006/relationships/hyperlink" Target="https://www.privateschoolreview.com/guardian-angels-elementary-school-profile" TargetMode="External"/><Relationship Id="rId1052" Type="http://schemas.openxmlformats.org/officeDocument/2006/relationships/hyperlink" Target="https://strobertschool.org/admissions/" TargetMode="External"/><Relationship Id="rId460" Type="http://schemas.openxmlformats.org/officeDocument/2006/relationships/hyperlink" Target="https://thecatholicspirit.com/news/local-news/guardian-angels-catholic-school-in-chaska-wont-open-next-year-regional-school-is-discussed/" TargetMode="External"/><Relationship Id="rId1053" Type="http://schemas.openxmlformats.org/officeDocument/2006/relationships/hyperlink" Target="https://www.niche.com/k12/st-robert-catholic-school-sacramento-ca/" TargetMode="External"/><Relationship Id="rId1054" Type="http://schemas.openxmlformats.org/officeDocument/2006/relationships/hyperlink" Target="https://iobserve.org/2026/01/23/blessed-sacrament-school-holyoke-to-close-at-the-end-of-academic-year/" TargetMode="External"/><Relationship Id="rId224" Type="http://schemas.openxmlformats.org/officeDocument/2006/relationships/hyperlink" Target="https://nces.ed.gov/surveys/pss/privateschoolsearch/school_detail.asp?Search=1&amp;SchoolName=saint+joseph&amp;State=42&amp;NumOfStudentsRange=more&amp;IncGrade=-1&amp;LoGrade=-1&amp;HiGrade=-1&amp;ID=01194525" TargetMode="External"/><Relationship Id="rId466" Type="http://schemas.openxmlformats.org/officeDocument/2006/relationships/hyperlink" Target="https://olvfw.com/tuition-rates" TargetMode="External"/><Relationship Id="rId1055" Type="http://schemas.openxmlformats.org/officeDocument/2006/relationships/hyperlink" Target="https://blessedsacramentschoolholyoke.org/admissions" TargetMode="External"/><Relationship Id="rId223" Type="http://schemas.openxmlformats.org/officeDocument/2006/relationships/hyperlink" Target="https://www.niche.com/k12/st-john-the-baptist-catholic-school-honolulu-hi/" TargetMode="External"/><Relationship Id="rId465" Type="http://schemas.openxmlformats.org/officeDocument/2006/relationships/hyperlink" Target="https://www.privateschoolreview.com/our-lady-of-victory-catholic-school-profile/76110" TargetMode="External"/><Relationship Id="rId1056" Type="http://schemas.openxmlformats.org/officeDocument/2006/relationships/hyperlink" Target="https://www.amny.com/education/diocese-brooklyn-seven-catholic-schools-close/" TargetMode="External"/><Relationship Id="rId222" Type="http://schemas.openxmlformats.org/officeDocument/2006/relationships/hyperlink" Target="https://www.hais.us/Customized/Uploads/ByDate/2019/July_2019/July_31st_2019/19-20%20Tuition%20Report50601.pdf" TargetMode="External"/><Relationship Id="rId464" Type="http://schemas.openxmlformats.org/officeDocument/2006/relationships/hyperlink" Target="https://fwdioc.org/press-release-OLV-catholic-school.pdf" TargetMode="External"/><Relationship Id="rId1057" Type="http://schemas.openxmlformats.org/officeDocument/2006/relationships/hyperlink" Target="https://ny1.com/nyc/all-boroughs/news/2026/02/11/catholic-elementary-schools-close-brooklyn-queens-diocese?utm_source=chatgpt.com" TargetMode="External"/><Relationship Id="rId221" Type="http://schemas.openxmlformats.org/officeDocument/2006/relationships/hyperlink" Target="https://www.asumag.com/facilities-management/article/21134419/catholic-school-in-honolulu-is-closing-after-60-years" TargetMode="External"/><Relationship Id="rId463" Type="http://schemas.openxmlformats.org/officeDocument/2006/relationships/hyperlink" Target="https://www.niche.com/k12/guardian-angels-catholic-school-chaska-mn/" TargetMode="External"/><Relationship Id="rId1058" Type="http://schemas.openxmlformats.org/officeDocument/2006/relationships/hyperlink" Target="https://shcach.org/history" TargetMode="External"/><Relationship Id="rId1048" Type="http://schemas.openxmlformats.org/officeDocument/2006/relationships/hyperlink" Target="https://scbsac.org/prospective-families/tuition-and-fees" TargetMode="External"/><Relationship Id="rId1049" Type="http://schemas.openxmlformats.org/officeDocument/2006/relationships/hyperlink" Target="https://www.niche.com/k12/st-charles-borromeo-school-sacramento-ca/" TargetMode="External"/><Relationship Id="rId217" Type="http://schemas.openxmlformats.org/officeDocument/2006/relationships/hyperlink" Target="https://saintpatsschool.org/tuition-financial-assistance" TargetMode="External"/><Relationship Id="rId459" Type="http://schemas.openxmlformats.org/officeDocument/2006/relationships/hyperlink" Target="https://www.niche.com/k12/st-philip-school-pittsburgh-pa/" TargetMode="External"/><Relationship Id="rId216" Type="http://schemas.openxmlformats.org/officeDocument/2006/relationships/hyperlink" Target="https://observer-reporter.com/news/localnews/st-patrick-school-in-canonsburg-is-closing/article_a9dcd79a-ace6-11ea-89a8-4744a4305ddf.html" TargetMode="External"/><Relationship Id="rId458" Type="http://schemas.openxmlformats.org/officeDocument/2006/relationships/hyperlink" Target="https://www.spsangelway.org/admissions/tuition/" TargetMode="External"/><Relationship Id="rId215" Type="http://schemas.openxmlformats.org/officeDocument/2006/relationships/hyperlink" Target="https://www.niche.com/k12/sacred-heart-of-jesus-parish-school-bath-pa/" TargetMode="External"/><Relationship Id="rId457" Type="http://schemas.openxmlformats.org/officeDocument/2006/relationships/hyperlink" Target="https://www.privateschoolreview.com/st-philip-school-profile/15205" TargetMode="External"/><Relationship Id="rId699" Type="http://schemas.openxmlformats.org/officeDocument/2006/relationships/hyperlink" Target="https://www.wlwt.com/article/cincinnat-maple-knoll-montessori-child-center-losing-2023-2024/42912311" TargetMode="External"/><Relationship Id="rId214" Type="http://schemas.openxmlformats.org/officeDocument/2006/relationships/hyperlink" Target="https://d2y1pz2y630308.cloudfront.net/22567/documents/2019/9/SFA%20Tuition%20FACTS%20-%202019-2020-1.pdf" TargetMode="External"/><Relationship Id="rId456" Type="http://schemas.openxmlformats.org/officeDocument/2006/relationships/hyperlink" Target="https://www.post-gazette.com/news/faith-religion/2021/02/12/Catholic-schools-to-merge-St-Gabriel-in-Whitehall-St-Elizabeth-in-Pleasant-Hills-St-Margaret-in-Green-Tree-St-Philip-in-Crafton/stories/202102120170" TargetMode="External"/><Relationship Id="rId698" Type="http://schemas.openxmlformats.org/officeDocument/2006/relationships/hyperlink" Target="https://www.niche.com/k12/maple-knoll-child-center-springdale-oh/" TargetMode="External"/><Relationship Id="rId219" Type="http://schemas.openxmlformats.org/officeDocument/2006/relationships/hyperlink" Target="https://triblive.com/local/valley-news-dispatch/blessed-sacrament-school-in-natrona-heights-to-be-closed-by-pittsburgh-diocese/" TargetMode="External"/><Relationship Id="rId218" Type="http://schemas.openxmlformats.org/officeDocument/2006/relationships/hyperlink" Target="https://www.niche.com/k12/st-patrick-school-canonsburg-pa/" TargetMode="External"/><Relationship Id="rId451" Type="http://schemas.openxmlformats.org/officeDocument/2006/relationships/hyperlink" Target="https://www.sacredhearthighschool.org/admissions/tuition-and-fees/" TargetMode="External"/><Relationship Id="rId693" Type="http://schemas.openxmlformats.org/officeDocument/2006/relationships/hyperlink" Target="https://www.niche.com/k12/saint-joseph-prep-boston-boston-ma/" TargetMode="External"/><Relationship Id="rId1040" Type="http://schemas.openxmlformats.org/officeDocument/2006/relationships/hyperlink" Target="https://stjeromeschool.net/ourpages/auto/2024/6/19/46876174/2025-26%20Tuition%20Rates.pdf?rnd=1741195627512" TargetMode="External"/><Relationship Id="rId450" Type="http://schemas.openxmlformats.org/officeDocument/2006/relationships/hyperlink" Target="https://www.privateschoolreview.com/sacred-heart-h-s-profile" TargetMode="External"/><Relationship Id="rId692" Type="http://schemas.openxmlformats.org/officeDocument/2006/relationships/hyperlink" Target="https://www.boston25news.com/news/local/saint-joseph-prep-boston-close-doors-2023/NJUGPEWIHVGMJOR7BY5ZN4KYWA/" TargetMode="External"/><Relationship Id="rId1041" Type="http://schemas.openxmlformats.org/officeDocument/2006/relationships/hyperlink" Target="https://www.niche.com/k12/st-jerome-catholic-school-chicago-il/" TargetMode="External"/><Relationship Id="rId691" Type="http://schemas.openxmlformats.org/officeDocument/2006/relationships/hyperlink" Target="https://www.niche.com/k12/st-margaret-of-cortona-school-bronx-ny/" TargetMode="External"/><Relationship Id="rId1042" Type="http://schemas.openxmlformats.org/officeDocument/2006/relationships/hyperlink" Target="https://www.niche.com/k12/st-patrick-academy-sacramento-ca/" TargetMode="External"/><Relationship Id="rId690" Type="http://schemas.openxmlformats.org/officeDocument/2006/relationships/hyperlink" Target="https://smcsriverdale.org/tuition-amp-fees" TargetMode="External"/><Relationship Id="rId1043" Type="http://schemas.openxmlformats.org/officeDocument/2006/relationships/hyperlink" Target="https://www.cbsnews.com/sacramento/news/parents-feel-blindsided-diocese-of-sacramento-catholic-school-consolidation/" TargetMode="External"/><Relationship Id="rId213" Type="http://schemas.openxmlformats.org/officeDocument/2006/relationships/hyperlink" Target="https://www.mcall.com/coronavirus/mc-nws-coronavirus-bath-bally-catholic-schools-closing-20200610-2jk7yhhf7rgknn5lbkhloh62qe-story.html" TargetMode="External"/><Relationship Id="rId455" Type="http://schemas.openxmlformats.org/officeDocument/2006/relationships/hyperlink" Target="https://www.niche.com/k12/st-elizabeth-elementary-school-pittsburgh-pa/" TargetMode="External"/><Relationship Id="rId697" Type="http://schemas.openxmlformats.org/officeDocument/2006/relationships/hyperlink" Target="https://alvernoheightsacademy.org/admissions_home/tuition-and-fees/us-tuition-and-fees/" TargetMode="External"/><Relationship Id="rId1044" Type="http://schemas.openxmlformats.org/officeDocument/2006/relationships/hyperlink" Target="https://saintpatricksacademy.net/admissions/finances/tuition-rates" TargetMode="External"/><Relationship Id="rId212" Type="http://schemas.openxmlformats.org/officeDocument/2006/relationships/hyperlink" Target="https://www.niche.com/k12/st-francis-academy-bally-pa/" TargetMode="External"/><Relationship Id="rId454" Type="http://schemas.openxmlformats.org/officeDocument/2006/relationships/hyperlink" Target="https://www.st-elizabeth.org/our-school/enrollment-tuition.html" TargetMode="External"/><Relationship Id="rId696" Type="http://schemas.openxmlformats.org/officeDocument/2006/relationships/hyperlink" Target="https://alvernoheightsacademy.org/home/us-homepage/" TargetMode="External"/><Relationship Id="rId1045" Type="http://schemas.openxmlformats.org/officeDocument/2006/relationships/hyperlink" Target="https://www.niche.com/k12/st-patrick-academy-sacramento-ca/" TargetMode="External"/><Relationship Id="rId211" Type="http://schemas.openxmlformats.org/officeDocument/2006/relationships/hyperlink" Target="https://www.sacred-heart-school.com/tuition-fees/" TargetMode="External"/><Relationship Id="rId453" Type="http://schemas.openxmlformats.org/officeDocument/2006/relationships/hyperlink" Target="https://www.post-gazette.com/news/faith-religion/2021/02/12/Catholic-schools-to-merge-St-Gabriel-in-Whitehall-St-Elizabeth-in-Pleasant-Hills-St-Margaret-in-Green-Tree-St-Philip-in-Crafton/stories/202102120170" TargetMode="External"/><Relationship Id="rId695" Type="http://schemas.openxmlformats.org/officeDocument/2006/relationships/hyperlink" Target="https://www.pasadenastarnews.com/2023/02/23/alverno-heights-academy-is-closing-its-all-girls-catholic-high-school/" TargetMode="External"/><Relationship Id="rId1046" Type="http://schemas.openxmlformats.org/officeDocument/2006/relationships/hyperlink" Target="https://www.niche.com/k12/st-charles-borromeo-school-sacramento-ca/" TargetMode="External"/><Relationship Id="rId210" Type="http://schemas.openxmlformats.org/officeDocument/2006/relationships/hyperlink" Target="https://www.mcall.com/coronavirus/mc-nws-coronavirus-bath-bally-catholic-schools-closing-20200610-2jk7yhhf7rgknn5lbkhloh62qe-story.html" TargetMode="External"/><Relationship Id="rId452" Type="http://schemas.openxmlformats.org/officeDocument/2006/relationships/hyperlink" Target="https://www.niche.com/k12/sacred-heart-high-school-waterbury-ct/students/" TargetMode="External"/><Relationship Id="rId694" Type="http://schemas.openxmlformats.org/officeDocument/2006/relationships/hyperlink" Target="https://www.niche.com/k12/saint-joseph-prep-boston-boston-ma/students/" TargetMode="External"/><Relationship Id="rId1047" Type="http://schemas.openxmlformats.org/officeDocument/2006/relationships/hyperlink" Target="https://www.cbsnews.com/sacramento/news/parents-feel-blindsided-diocese-of-sacramento-catholic-school-consolidation/" TargetMode="External"/><Relationship Id="rId491" Type="http://schemas.openxmlformats.org/officeDocument/2006/relationships/hyperlink" Target="https://www.niche.com/k12/st-pius-x-school-baltimore-md/" TargetMode="External"/><Relationship Id="rId490" Type="http://schemas.openxmlformats.org/officeDocument/2006/relationships/hyperlink" Target="https://stpius10school.org/admissions/tuition-grant-aid" TargetMode="External"/><Relationship Id="rId249" Type="http://schemas.openxmlformats.org/officeDocument/2006/relationships/hyperlink" Target="https://www.greatschools.org/maryland/jefferson/1862-The-Jefferson-School/" TargetMode="External"/><Relationship Id="rId248" Type="http://schemas.openxmlformats.org/officeDocument/2006/relationships/hyperlink" Target="https://www.bizjournals.com/baltimore/news/2020/06/25/sheppard-pratt-to-close-jefferson-school-maryland.html" TargetMode="External"/><Relationship Id="rId247" Type="http://schemas.openxmlformats.org/officeDocument/2006/relationships/hyperlink" Target="https://www.niche.com/k12/our-lady-of-perpetual-help-school-ewa-beach-hi/" TargetMode="External"/><Relationship Id="rId489" Type="http://schemas.openxmlformats.org/officeDocument/2006/relationships/hyperlink" Target="https://catholicreview.org/hard-hit-by-pandemic-st-pius-x-montessori-catholic-school-will-close-after-current-school-year/" TargetMode="External"/><Relationship Id="rId1070" Type="http://schemas.openxmlformats.org/officeDocument/2006/relationships/hyperlink" Target="https://www.amny.com/education/diocese-brooklyn-seven-catholic-schools-close/" TargetMode="External"/><Relationship Id="rId1071" Type="http://schemas.openxmlformats.org/officeDocument/2006/relationships/hyperlink" Target="https://stelizabethca.org/about/our-academy" TargetMode="External"/><Relationship Id="rId1072" Type="http://schemas.openxmlformats.org/officeDocument/2006/relationships/hyperlink" Target="https://files.tilmaplatform.com/system/resources/W1siZiIsIjIwMjUvMDgvMjAvOTYyMHpwM3A2b19GSU5BTF8yNS4wNy4xN19BY2FkZW15X1BhcmVudF9TdHVkZW50X0hhbmRib29rXzIwMjUuMjZfMV8ucGRmIl1d/FINAL%2025.07.17%20Academy%20Parent-Student%20Handbook%202025.26%20%281%29.pdf" TargetMode="External"/><Relationship Id="rId242" Type="http://schemas.openxmlformats.org/officeDocument/2006/relationships/hyperlink" Target="https://www.niche.com/k12/our-lady-of-wisdom-regional-school-port-jefferson-ny/" TargetMode="External"/><Relationship Id="rId484" Type="http://schemas.openxmlformats.org/officeDocument/2006/relationships/hyperlink" Target="https://d2y1pz2y630308.cloudfront.net/22803/documents/2020/9/Tuition%20letter%20for%202020-2021-2.pdf" TargetMode="External"/><Relationship Id="rId1073" Type="http://schemas.openxmlformats.org/officeDocument/2006/relationships/hyperlink" Target="https://www.amny.com/education/diocese-brooklyn-seven-catholic-schools-close/" TargetMode="External"/><Relationship Id="rId241" Type="http://schemas.openxmlformats.org/officeDocument/2006/relationships/hyperlink" Target="https://olowregional.org/tuition-and-financial-aid" TargetMode="External"/><Relationship Id="rId483" Type="http://schemas.openxmlformats.org/officeDocument/2006/relationships/hyperlink" Target="http://licatholic.org/diocese-of-rockville-centre-announces-closure-of-two-schools/" TargetMode="External"/><Relationship Id="rId1074" Type="http://schemas.openxmlformats.org/officeDocument/2006/relationships/hyperlink" Target="https://ny1.com/nyc/all-boroughs/news/2026/02/11/catholic-elementary-schools-close-brooklyn-queens-diocese?utm_source=chatgpt.com" TargetMode="External"/><Relationship Id="rId240" Type="http://schemas.openxmlformats.org/officeDocument/2006/relationships/hyperlink" Target="https://www.newsday.com/long-island/religion/catholic-schools-closures-long-island-coronavirus-covid19-1.45896546" TargetMode="External"/><Relationship Id="rId482" Type="http://schemas.openxmlformats.org/officeDocument/2006/relationships/hyperlink" Target="https://www.niche.com/k12/st-thomas-the-apostle-school-west-hempstead-ny/" TargetMode="External"/><Relationship Id="rId1075" Type="http://schemas.openxmlformats.org/officeDocument/2006/relationships/hyperlink" Target="https://projects.propublica.org/private-school-demographics/schools/our-lady-of-trust-catholic-accadamy-00924339?utm_source=chatgpt.com" TargetMode="External"/><Relationship Id="rId481" Type="http://schemas.openxmlformats.org/officeDocument/2006/relationships/hyperlink" Target="https://stthomasschool.net/documents/2020/10/STA%20Handbook%202020-2021%202.pdf" TargetMode="External"/><Relationship Id="rId1076" Type="http://schemas.openxmlformats.org/officeDocument/2006/relationships/hyperlink" Target="https://www.niche.com/k12/our-lady-of-trust-catholic-academy-brooklyn-ny/" TargetMode="External"/><Relationship Id="rId246" Type="http://schemas.openxmlformats.org/officeDocument/2006/relationships/hyperlink" Target="https://www.hawaiicatholicherald.com/2020/06/24/covid-stress-closes-kalihi-and-ewa-beach-catholic-schools/" TargetMode="External"/><Relationship Id="rId488" Type="http://schemas.openxmlformats.org/officeDocument/2006/relationships/hyperlink" Target="https://www.niche.com/k12/st-christopher-elementary-school-baldwin-ny/" TargetMode="External"/><Relationship Id="rId1077" Type="http://schemas.openxmlformats.org/officeDocument/2006/relationships/hyperlink" Target="https://www.wkrg.com/northwest-florida/escambia-county/escambia-christian-school-closing/" TargetMode="External"/><Relationship Id="rId245" Type="http://schemas.openxmlformats.org/officeDocument/2006/relationships/hyperlink" Target="https://www.hawaiicatholicherald.com/2020/06/24/covid-stress-closes-kalihi-and-ewa-beach-catholic-schools/" TargetMode="External"/><Relationship Id="rId487" Type="http://schemas.openxmlformats.org/officeDocument/2006/relationships/hyperlink" Target="https://stchris-school.org/tuition-rates" TargetMode="External"/><Relationship Id="rId1078" Type="http://schemas.openxmlformats.org/officeDocument/2006/relationships/hyperlink" Target="https://www.niche.com/k12/catholic-of-academy-west-buffalo-buffalo-ny/" TargetMode="External"/><Relationship Id="rId244" Type="http://schemas.openxmlformats.org/officeDocument/2006/relationships/hyperlink" Target="https://www.niche.com/k12/st-peter-of-alcantara-school-port-washington-ny/" TargetMode="External"/><Relationship Id="rId486" Type="http://schemas.openxmlformats.org/officeDocument/2006/relationships/hyperlink" Target="https://www.newsday.com/long-island/education/st-christopher-school-baldwin-closing-diocese-of-rockville-centre-1.50191165" TargetMode="External"/><Relationship Id="rId1079" Type="http://schemas.openxmlformats.org/officeDocument/2006/relationships/hyperlink" Target="https://www.wkbw.com/news/local-news/catholic-academy-of-west-buffalo-to-be-consolidated-into-our-lady-of-victory-elementary-school" TargetMode="External"/><Relationship Id="rId243" Type="http://schemas.openxmlformats.org/officeDocument/2006/relationships/hyperlink" Target="https://www.newsday.com/long-island/religion/catholic-schools-closures-long-island-coronavirus-covid19-1.45896546" TargetMode="External"/><Relationship Id="rId485" Type="http://schemas.openxmlformats.org/officeDocument/2006/relationships/hyperlink" Target="https://www.niche.com/k12/st-raymond-elementary-school-east-rockaway-ny/" TargetMode="External"/><Relationship Id="rId480" Type="http://schemas.openxmlformats.org/officeDocument/2006/relationships/hyperlink" Target="http://licatholic.org/diocese-of-rockville-centre-announces-closure-of-two-schools/" TargetMode="External"/><Relationship Id="rId239" Type="http://schemas.openxmlformats.org/officeDocument/2006/relationships/hyperlink" Target="https://www.niche.com/k12/holy-family-regional-school-commack-ny/" TargetMode="External"/><Relationship Id="rId238" Type="http://schemas.openxmlformats.org/officeDocument/2006/relationships/hyperlink" Target="https://holyfamilyregional.com/tuition" TargetMode="External"/><Relationship Id="rId237" Type="http://schemas.openxmlformats.org/officeDocument/2006/relationships/hyperlink" Target="https://www.newsday.com/long-island/religion/catholic-schools-closures-long-island-coronavirus-covid19-1.45896546" TargetMode="External"/><Relationship Id="rId479" Type="http://schemas.openxmlformats.org/officeDocument/2006/relationships/hyperlink" Target="https://www.niche.com/k12/our-lady-of-black-rock-school-buffalo-ny/" TargetMode="External"/><Relationship Id="rId236" Type="http://schemas.openxmlformats.org/officeDocument/2006/relationships/hyperlink" Target="https://www.niche.com/k12/blessed-sacrament-elementary-school-midland-mi/" TargetMode="External"/><Relationship Id="rId478" Type="http://schemas.openxmlformats.org/officeDocument/2006/relationships/hyperlink" Target="http://www.olbrschool.org/content/Documents/Admissions/2019_20%20Reg/%20Registration%20Form%2019-20.pdf" TargetMode="External"/><Relationship Id="rId1060" Type="http://schemas.openxmlformats.org/officeDocument/2006/relationships/hyperlink" Target="https://stbartselmhurst.org/about-us/parish-history/" TargetMode="External"/><Relationship Id="rId1061" Type="http://schemas.openxmlformats.org/officeDocument/2006/relationships/hyperlink" Target="https://www.amny.com/education/diocese-brooklyn-seven-catholic-schools-close/" TargetMode="External"/><Relationship Id="rId231" Type="http://schemas.openxmlformats.org/officeDocument/2006/relationships/hyperlink" Target="https://www.loudountimes.com/news/middleburg-academy-to-close-its-doors/article_d323aa1a-b09d-11ea-8d1c-87e10516c30a.html" TargetMode="External"/><Relationship Id="rId473" Type="http://schemas.openxmlformats.org/officeDocument/2006/relationships/hyperlink" Target="https://www.privateschoolreview.com/notre-dame-catholic-school-profile/76309" TargetMode="External"/><Relationship Id="rId1062" Type="http://schemas.openxmlformats.org/officeDocument/2006/relationships/hyperlink" Target="https://www.facebook.com/sntschoolny/?utm_source=chatgpt.com" TargetMode="External"/><Relationship Id="rId230" Type="http://schemas.openxmlformats.org/officeDocument/2006/relationships/hyperlink" Target="https://www.niche.com/k12/st-theodore-holy-family-catholic-school-lake-charles-la/" TargetMode="External"/><Relationship Id="rId472" Type="http://schemas.openxmlformats.org/officeDocument/2006/relationships/hyperlink" Target="https://www.texomashomepage.com/wp-content/uploads/sites/41/2021/03/ndcs-diocese-statement.pdf" TargetMode="External"/><Relationship Id="rId1063" Type="http://schemas.openxmlformats.org/officeDocument/2006/relationships/hyperlink" Target="https://www.sntschoolny.org/uploads/3/8/8/8/38886129/st_nicholas_tuition_2026_2027__rate_schedule.pdf" TargetMode="External"/><Relationship Id="rId471" Type="http://schemas.openxmlformats.org/officeDocument/2006/relationships/hyperlink" Target="https://www.niche.com/k12/trinity-catholic-high-school-saint-louis-mo/students/" TargetMode="External"/><Relationship Id="rId1064" Type="http://schemas.openxmlformats.org/officeDocument/2006/relationships/hyperlink" Target="https://www.amny.com/education/diocese-brooklyn-seven-catholic-schools-close/" TargetMode="External"/><Relationship Id="rId470" Type="http://schemas.openxmlformats.org/officeDocument/2006/relationships/hyperlink" Target="https://www.trinitycatholichigh.org/tuition-aid.html" TargetMode="External"/><Relationship Id="rId1065" Type="http://schemas.openxmlformats.org/officeDocument/2006/relationships/hyperlink" Target="https://incarnationqv.org/about/school-history" TargetMode="External"/><Relationship Id="rId235" Type="http://schemas.openxmlformats.org/officeDocument/2006/relationships/hyperlink" Target="https://www.ourmidland.com/news/article/Blessed-Sacrament-School-closes-after-65-15347571.php" TargetMode="External"/><Relationship Id="rId477" Type="http://schemas.openxmlformats.org/officeDocument/2006/relationships/hyperlink" Target="https://www.privateschoolreview.com/our-lady-of-black-rock-school-profile" TargetMode="External"/><Relationship Id="rId1066" Type="http://schemas.openxmlformats.org/officeDocument/2006/relationships/hyperlink" Target="https://www.amny.com/education/diocese-brooklyn-seven-catholic-schools-close/" TargetMode="External"/><Relationship Id="rId234" Type="http://schemas.openxmlformats.org/officeDocument/2006/relationships/hyperlink" Target="https://www.ourmidland.com/news/article/Blessed-Sacrament-School-closes-after-65-15347571.php" TargetMode="External"/><Relationship Id="rId476" Type="http://schemas.openxmlformats.org/officeDocument/2006/relationships/hyperlink" Target="https://buffalonews.com/news/local/education/two-buffalo-catholic-schools-to-merge-next-fall/article_d4adb406-837f-11eb-860d-9f945cc34622.html" TargetMode="External"/><Relationship Id="rId1067" Type="http://schemas.openxmlformats.org/officeDocument/2006/relationships/hyperlink" Target="https://ny1.com/nyc/all-boroughs/news/2026/02/11/catholic-elementary-schools-close-brooklyn-queens-diocese?utm_source=chatgpt.com" TargetMode="External"/><Relationship Id="rId233" Type="http://schemas.openxmlformats.org/officeDocument/2006/relationships/hyperlink" Target="https://www.niche.com/k12/middleburg-academy-middleburg-va/students/" TargetMode="External"/><Relationship Id="rId475" Type="http://schemas.openxmlformats.org/officeDocument/2006/relationships/hyperlink" Target="https://www.niche.com/k12/notre-dame-catholic-school-wichita-falls-tx/students/" TargetMode="External"/><Relationship Id="rId1068" Type="http://schemas.openxmlformats.org/officeDocument/2006/relationships/hyperlink" Target="https://sta-catholicacademy.org/letter-from-the-pastor" TargetMode="External"/><Relationship Id="rId232" Type="http://schemas.openxmlformats.org/officeDocument/2006/relationships/hyperlink" Target="http://www.middleburgacademy.org/affordability-tuition" TargetMode="External"/><Relationship Id="rId474" Type="http://schemas.openxmlformats.org/officeDocument/2006/relationships/hyperlink" Target="http://notredamecatholic.org/admissions/financial-info/" TargetMode="External"/><Relationship Id="rId1069" Type="http://schemas.openxmlformats.org/officeDocument/2006/relationships/hyperlink" Target="https://files.tilmaplatform.com/system/resources/W1siZiIsIjIwMjUvMTAvMDEvNTcwcXd0MXVrZl9QYXJlbnRfU3R1ZGVudF9IYW5kYm9va18yMDI1XzIwMjYucGRmIl1d/Parent%20Student%20Handbook%202025-2026.pdf" TargetMode="External"/><Relationship Id="rId1015" Type="http://schemas.openxmlformats.org/officeDocument/2006/relationships/hyperlink" Target="https://www.post-gazette.com/news/education/2025/11/10/pittsburgh-catholic-schools-saint-cyril-north-side-academy/stories/202511100078" TargetMode="External"/><Relationship Id="rId1016" Type="http://schemas.openxmlformats.org/officeDocument/2006/relationships/hyperlink" Target="https://ncaacademynow.org/welcome/faq/" TargetMode="External"/><Relationship Id="rId1017" Type="http://schemas.openxmlformats.org/officeDocument/2006/relationships/hyperlink" Target="https://www.niche.com/k12/st-michael-school-south-sioux-city-ne/" TargetMode="External"/><Relationship Id="rId1018" Type="http://schemas.openxmlformats.org/officeDocument/2006/relationships/hyperlink" Target="https://www.ktiv.com/2025/12/08/catholic-school-south-sioux-city-close-end-school-year/" TargetMode="External"/><Relationship Id="rId1019" Type="http://schemas.openxmlformats.org/officeDocument/2006/relationships/hyperlink" Target="https://www.niche.com/k12/st-michael-school-south-sioux-city-ne/" TargetMode="External"/><Relationship Id="rId426" Type="http://schemas.openxmlformats.org/officeDocument/2006/relationships/hyperlink" Target="https://www.hawaiinewsnow.com/2021/01/24/after-years-st-anns-catholic-school-decides-close-their-doors/" TargetMode="External"/><Relationship Id="rId668" Type="http://schemas.openxmlformats.org/officeDocument/2006/relationships/hyperlink" Target="https://www.kansascity.com/news/local/education/article271933062.html" TargetMode="External"/><Relationship Id="rId425" Type="http://schemas.openxmlformats.org/officeDocument/2006/relationships/hyperlink" Target="https://www.niche.com/k12/st-ann-school-lansing-lansing-il/" TargetMode="External"/><Relationship Id="rId667" Type="http://schemas.openxmlformats.org/officeDocument/2006/relationships/hyperlink" Target="https://www.niche.com/k12/sts-peter--and--paul-school-wellston-oh/" TargetMode="External"/><Relationship Id="rId424" Type="http://schemas.openxmlformats.org/officeDocument/2006/relationships/hyperlink" Target="https://stannschoollansing.org/admissions/tuition-financial-assistance/" TargetMode="External"/><Relationship Id="rId666" Type="http://schemas.openxmlformats.org/officeDocument/2006/relationships/hyperlink" Target="https://www.stspeterandpaulwellston.com/tuition-assistance" TargetMode="External"/><Relationship Id="rId423" Type="http://schemas.openxmlformats.org/officeDocument/2006/relationships/hyperlink" Target="https://www.privateschoolreview.com/st-ann-elementary-school-profile" TargetMode="External"/><Relationship Id="rId665" Type="http://schemas.openxmlformats.org/officeDocument/2006/relationships/hyperlink" Target="https://www.wsaz.com/2023/01/24/diocese-columbus-close-sts-peter-paul-school/" TargetMode="External"/><Relationship Id="rId429" Type="http://schemas.openxmlformats.org/officeDocument/2006/relationships/hyperlink" Target="https://www.niche.com/k12/st-anns-model-schools-kaneohe-hi/" TargetMode="External"/><Relationship Id="rId428" Type="http://schemas.openxmlformats.org/officeDocument/2006/relationships/hyperlink" Target="https://www.privateschoolreview.com/st-ann-school-profile/96744" TargetMode="External"/><Relationship Id="rId427" Type="http://schemas.openxmlformats.org/officeDocument/2006/relationships/hyperlink" Target="https://www.privateschoolreview.com/st-ann-school-profile/96744" TargetMode="External"/><Relationship Id="rId669" Type="http://schemas.openxmlformats.org/officeDocument/2006/relationships/hyperlink" Target="https://www.niche.com/k12/academy-of-st-paul-and-st-ann-new-york-ny/?utm_source=google&amp;utm_medium=cpc&amp;gclid=EAIaIQobChMIu5niiI6n_QIVg5XICh02Rg6WEAAYASAAEgLTTfD_BwE" TargetMode="External"/><Relationship Id="rId660" Type="http://schemas.openxmlformats.org/officeDocument/2006/relationships/hyperlink" Target="https://www.niche.com/k12/incarnate-word-academy-brownsville-tx/" TargetMode="External"/><Relationship Id="rId1010" Type="http://schemas.openxmlformats.org/officeDocument/2006/relationships/hyperlink" Target="https://www.denvercatholic.org/archdiocese-announces-closure-of-st-louis-catholic-school-in-louisville" TargetMode="External"/><Relationship Id="rId422" Type="http://schemas.openxmlformats.org/officeDocument/2006/relationships/hyperlink" Target="https://schools.archchicago.org/en/news-release/-/article/2021/01/22/news-release-2021-school-announcements" TargetMode="External"/><Relationship Id="rId664" Type="http://schemas.openxmlformats.org/officeDocument/2006/relationships/hyperlink" Target="https://www.privateschoolreview.com/sts-peter-paul-school-profile/45692" TargetMode="External"/><Relationship Id="rId1011" Type="http://schemas.openxmlformats.org/officeDocument/2006/relationships/hyperlink" Target="https://www.niche.com/k12/stratford-school-san-francisco-14th-avenue-san-francisco-ca/" TargetMode="External"/><Relationship Id="rId421" Type="http://schemas.openxmlformats.org/officeDocument/2006/relationships/hyperlink" Target="https://www.greatschools.org/illinois/melrose-park/4411-Sacred-Heart-School/" TargetMode="External"/><Relationship Id="rId663" Type="http://schemas.openxmlformats.org/officeDocument/2006/relationships/hyperlink" Target="https://www.niche.com/k12/st-bartholomew-school-chicago-il/" TargetMode="External"/><Relationship Id="rId1012" Type="http://schemas.openxmlformats.org/officeDocument/2006/relationships/hyperlink" Target="https://www.yahoo.com/news/articles/f-families-stunned-decision-close-193232862.html" TargetMode="External"/><Relationship Id="rId420" Type="http://schemas.openxmlformats.org/officeDocument/2006/relationships/hyperlink" Target="http://www.shsmelrosepark.com/forms/Tuition_Agreement_2018_2019.pdf" TargetMode="External"/><Relationship Id="rId662" Type="http://schemas.openxmlformats.org/officeDocument/2006/relationships/hyperlink" Target="https://www.stbartsschool.net/tuition--scholarships.html" TargetMode="External"/><Relationship Id="rId1013" Type="http://schemas.openxmlformats.org/officeDocument/2006/relationships/hyperlink" Target="https://www.niche.com/k12/stratford-school-san-francisco-14th-avenue-san-francisco-ca/" TargetMode="External"/><Relationship Id="rId661" Type="http://schemas.openxmlformats.org/officeDocument/2006/relationships/hyperlink" Target="https://www.niche.com/k12/st-bartholomew-school-chicago-il/" TargetMode="External"/><Relationship Id="rId1014" Type="http://schemas.openxmlformats.org/officeDocument/2006/relationships/hyperlink" Target="https://ncaacademynow.org/welcome/faq/" TargetMode="External"/><Relationship Id="rId1004" Type="http://schemas.openxmlformats.org/officeDocument/2006/relationships/hyperlink" Target="https://www.niche.com/k12/cathedral-high-school-new-york-ny/students/" TargetMode="External"/><Relationship Id="rId1005" Type="http://schemas.openxmlformats.org/officeDocument/2006/relationships/hyperlink" Target="https://www.argusleader.com/story/news/education/2025/09/18/christ-the-king-elementary-school-closing-sioux-falls/86220734007/" TargetMode="External"/><Relationship Id="rId1006" Type="http://schemas.openxmlformats.org/officeDocument/2006/relationships/hyperlink" Target="https://www.keloland.com/news/local-news/christ-the-king-elementary-to-close-in-2026/" TargetMode="External"/><Relationship Id="rId1007" Type="http://schemas.openxmlformats.org/officeDocument/2006/relationships/hyperlink" Target="https://www.ogknights.org/page/prospective-families" TargetMode="External"/><Relationship Id="rId1008" Type="http://schemas.openxmlformats.org/officeDocument/2006/relationships/hyperlink" Target="https://www.niche.com/k12/christ-the-king-elementary-sioux-falls-sd/" TargetMode="External"/><Relationship Id="rId1009" Type="http://schemas.openxmlformats.org/officeDocument/2006/relationships/hyperlink" Target="https://www.niche.com/k12/st-elizabeths-school-denver-co/" TargetMode="External"/><Relationship Id="rId415" Type="http://schemas.openxmlformats.org/officeDocument/2006/relationships/hyperlink" Target="https://www.privateschoolreview.com/christ-our-savior-catholic-school-profile" TargetMode="External"/><Relationship Id="rId657" Type="http://schemas.openxmlformats.org/officeDocument/2006/relationships/hyperlink" Target="http://www.iw-academy.org/index.html" TargetMode="External"/><Relationship Id="rId899" Type="http://schemas.openxmlformats.org/officeDocument/2006/relationships/hyperlink" Target="https://rcan.org/st-nicholas-catholic-school-in-jersey-city-to-close/" TargetMode="External"/><Relationship Id="rId414" Type="http://schemas.openxmlformats.org/officeDocument/2006/relationships/hyperlink" Target="https://schools.archchicago.org/en/news-release/-/article/2021/01/22/news-release-2021-school-announcements" TargetMode="External"/><Relationship Id="rId656" Type="http://schemas.openxmlformats.org/officeDocument/2006/relationships/hyperlink" Target="https://www.niche.com/k12/incarnate-word-academy-brownsville-tx/" TargetMode="External"/><Relationship Id="rId898" Type="http://schemas.openxmlformats.org/officeDocument/2006/relationships/hyperlink" Target="https://www.niche.com/k12/st-nicholas-school-jersey-city-nj/" TargetMode="External"/><Relationship Id="rId413" Type="http://schemas.openxmlformats.org/officeDocument/2006/relationships/hyperlink" Target="https://www.niche.com/k12/st-gabriel-school-philadelphia-pa/" TargetMode="External"/><Relationship Id="rId655" Type="http://schemas.openxmlformats.org/officeDocument/2006/relationships/hyperlink" Target="https://www.niche.com/k12/st-mark-school-saint-louis-mo/" TargetMode="External"/><Relationship Id="rId897" Type="http://schemas.openxmlformats.org/officeDocument/2006/relationships/hyperlink" Target="https://www.bdtonline.com/news/summit-christian-academy-opening-in-august/article_3136f564-4382-11ef-8ef1-5746496bd023.html" TargetMode="External"/><Relationship Id="rId412" Type="http://schemas.openxmlformats.org/officeDocument/2006/relationships/hyperlink" Target="https://www.niche.com/k12/st-gabriel-school-philadelphia-pa/" TargetMode="External"/><Relationship Id="rId654" Type="http://schemas.openxmlformats.org/officeDocument/2006/relationships/hyperlink" Target="https://stmarkstl.com/tuition-and-fees" TargetMode="External"/><Relationship Id="rId896" Type="http://schemas.openxmlformats.org/officeDocument/2006/relationships/hyperlink" Target="https://www.niche.com/k12/bay-shore-christian-school-bay-shore-ny/" TargetMode="External"/><Relationship Id="rId419" Type="http://schemas.openxmlformats.org/officeDocument/2006/relationships/hyperlink" Target="https://www.niche.com/k12/sacred-heart-school-melrose-park-il/" TargetMode="External"/><Relationship Id="rId418" Type="http://schemas.openxmlformats.org/officeDocument/2006/relationships/hyperlink" Target="https://schools.archchicago.org/en/news-release/-/article/2021/01/22/news-release-2021-school-announcements" TargetMode="External"/><Relationship Id="rId417" Type="http://schemas.openxmlformats.org/officeDocument/2006/relationships/hyperlink" Target="https://www.niche.com/k12/christ-our-savior-catholic-school-south-holland-il/" TargetMode="External"/><Relationship Id="rId659" Type="http://schemas.openxmlformats.org/officeDocument/2006/relationships/hyperlink" Target="http://www.iw-academy.org/tuition_fees.html" TargetMode="External"/><Relationship Id="rId416" Type="http://schemas.openxmlformats.org/officeDocument/2006/relationships/hyperlink" Target="http://christoursaviorcatholicschool.org/tuition/" TargetMode="External"/><Relationship Id="rId658" Type="http://schemas.openxmlformats.org/officeDocument/2006/relationships/hyperlink" Target="https://www.privateschoolreview.com/incarnate-word-academy-profile/78520" TargetMode="External"/><Relationship Id="rId891" Type="http://schemas.openxmlformats.org/officeDocument/2006/relationships/hyperlink" Target="https://www.sfchronicle.com/bayarea/article/academy-of-thought-and-industry-19532299.php" TargetMode="External"/><Relationship Id="rId890" Type="http://schemas.openxmlformats.org/officeDocument/2006/relationships/hyperlink" Target="https://www.themarinschool.org/" TargetMode="External"/><Relationship Id="rId411" Type="http://schemas.openxmlformats.org/officeDocument/2006/relationships/hyperlink" Target="https://www.inquirer.com/news/saint-gabriel-catholic-school-closing-philadelphia-20210115.html" TargetMode="External"/><Relationship Id="rId653" Type="http://schemas.openxmlformats.org/officeDocument/2006/relationships/hyperlink" Target="https://www.stltoday.com/news/local/education/st-mark-catholic-school-in-south-st-louis-county-to-close-in-may/article_93e368bd-40cd-5dbf-b7b8-0eef93758201.html" TargetMode="External"/><Relationship Id="rId895" Type="http://schemas.openxmlformats.org/officeDocument/2006/relationships/hyperlink" Target="https://longisland.news12.com/bay-shore-assembly-of-god-school-to-close-following-summer-session" TargetMode="External"/><Relationship Id="rId1000" Type="http://schemas.openxmlformats.org/officeDocument/2006/relationships/hyperlink" Target="https://www.niche.com/k12/st-basil-school-south-haven-mi/" TargetMode="External"/><Relationship Id="rId410" Type="http://schemas.openxmlformats.org/officeDocument/2006/relationships/hyperlink" Target="https://www.niche.com/k12/st-agnes-academic-school-college-point-ny/students/" TargetMode="External"/><Relationship Id="rId652" Type="http://schemas.openxmlformats.org/officeDocument/2006/relationships/hyperlink" Target="https://www.niche.com/k12/ste-jeanne-darc-school-lowell-ma/" TargetMode="External"/><Relationship Id="rId894" Type="http://schemas.openxmlformats.org/officeDocument/2006/relationships/hyperlink" Target="https://www.niche.com/k12/bay-shore-christian-school-bay-shore-ny/" TargetMode="External"/><Relationship Id="rId1001" Type="http://schemas.openxmlformats.org/officeDocument/2006/relationships/hyperlink" Target="https://www.theintelligencer.net/news/top-headlines/2025/06/st-john-central-academy-announces-its-closing-its-doors/" TargetMode="External"/><Relationship Id="rId651" Type="http://schemas.openxmlformats.org/officeDocument/2006/relationships/hyperlink" Target="https://www.sjdarc.org/admissions/tuition.cfm" TargetMode="External"/><Relationship Id="rId893" Type="http://schemas.openxmlformats.org/officeDocument/2006/relationships/hyperlink" Target="https://www.niche.com/k12/saint-barnabas-high-school-bronx-ny/students/" TargetMode="External"/><Relationship Id="rId1002" Type="http://schemas.openxmlformats.org/officeDocument/2006/relationships/hyperlink" Target="https://oilcity.news/community/schools-community/2025/07/24/excel-academy-announces-closure-cites-declining-enrollment/" TargetMode="External"/><Relationship Id="rId650" Type="http://schemas.openxmlformats.org/officeDocument/2006/relationships/hyperlink" Target="https://www.lowellsun.com/2023/01/17/ste-jeanne-darc-announces-closure-at-end-of-academic-year-but-spirit-of-sja-to-live-on-in-students-alumni/" TargetMode="External"/><Relationship Id="rId892" Type="http://schemas.openxmlformats.org/officeDocument/2006/relationships/hyperlink" Target="https://westchester.news12.com/students-shocked-after-saint-barnabas-hs-announces-sudden-closure" TargetMode="External"/><Relationship Id="rId1003" Type="http://schemas.openxmlformats.org/officeDocument/2006/relationships/hyperlink" Target="https://eastsidefeed.com/odds-and-ends/catholic-high-school-announces-permanent-closure/" TargetMode="External"/><Relationship Id="rId1037" Type="http://schemas.openxmlformats.org/officeDocument/2006/relationships/hyperlink" Target="https://sfborgia.org/wp-content/uploads/2023/09/SFBTuition20252026.pdf" TargetMode="External"/><Relationship Id="rId1038" Type="http://schemas.openxmlformats.org/officeDocument/2006/relationships/hyperlink" Target="https://www.niche.com/k12/st-francis-borgia-school-chicago-il/" TargetMode="External"/><Relationship Id="rId1039" Type="http://schemas.openxmlformats.org/officeDocument/2006/relationships/hyperlink" Target="https://chicago.suntimes.com/education/2026/01/26/archdiocese-catholic-school-closing-jerome-bruno-richard-francis-borgia-stanislaus-kostka" TargetMode="External"/><Relationship Id="rId206" Type="http://schemas.openxmlformats.org/officeDocument/2006/relationships/hyperlink" Target="https://www.niche.com/k12/st-marys-junior-senior-high-school-worcester-ma/students/" TargetMode="External"/><Relationship Id="rId448" Type="http://schemas.openxmlformats.org/officeDocument/2006/relationships/hyperlink" Target="https://www.tri-cityherald.com/news/local/article247709415.html" TargetMode="External"/><Relationship Id="rId205" Type="http://schemas.openxmlformats.org/officeDocument/2006/relationships/hyperlink" Target="http://stmarysworcester.org/tuition/" TargetMode="External"/><Relationship Id="rId447" Type="http://schemas.openxmlformats.org/officeDocument/2006/relationships/hyperlink" Target="https://www.niche.com/k12/st-margarets-school-mattydale-ny/" TargetMode="External"/><Relationship Id="rId689" Type="http://schemas.openxmlformats.org/officeDocument/2006/relationships/hyperlink" Target="https://smcsriverdale.org/" TargetMode="External"/><Relationship Id="rId204" Type="http://schemas.openxmlformats.org/officeDocument/2006/relationships/hyperlink" Target="https://www.milforddailynews.com/news/20200609/heartbroken-families-lament-closing-of-st-marys-schools-in-worcester-catholic-schools-are-working-to-place-st-marys-students" TargetMode="External"/><Relationship Id="rId446" Type="http://schemas.openxmlformats.org/officeDocument/2006/relationships/hyperlink" Target="https://stmargaretschoolny.org/admissions/k-6-tuition/" TargetMode="External"/><Relationship Id="rId688" Type="http://schemas.openxmlformats.org/officeDocument/2006/relationships/hyperlink" Target="https://www.niche.com/k12/st-gabriel-elementary-school-bronx-ny/" TargetMode="External"/><Relationship Id="rId203" Type="http://schemas.openxmlformats.org/officeDocument/2006/relationships/hyperlink" Target="https://www.niche.com/k12/st-francis-of-assisi-school-pikeville-ky/" TargetMode="External"/><Relationship Id="rId445" Type="http://schemas.openxmlformats.org/officeDocument/2006/relationships/hyperlink" Target="https://www.syracuse.com/education/2021/02/syracuse-catholic-diocese-to-merge-2-schools-due-to-declining-enrollment.html" TargetMode="External"/><Relationship Id="rId687" Type="http://schemas.openxmlformats.org/officeDocument/2006/relationships/hyperlink" Target="https://saintgabrielschoolbronx.org/tuition-and-fees" TargetMode="External"/><Relationship Id="rId209" Type="http://schemas.openxmlformats.org/officeDocument/2006/relationships/hyperlink" Target="https://www.niche.com/k12/the-paragon-school-orlando-fl/" TargetMode="External"/><Relationship Id="rId208" Type="http://schemas.openxmlformats.org/officeDocument/2006/relationships/hyperlink" Target="https://www.paragonschool.org/admissions/tuition-fees" TargetMode="External"/><Relationship Id="rId207" Type="http://schemas.openxmlformats.org/officeDocument/2006/relationships/hyperlink" Target="https://www.redefinedonline.org/2020/06/pandemic-forces-closure-of-florida-private-school-for-students-with-autism/" TargetMode="External"/><Relationship Id="rId449" Type="http://schemas.openxmlformats.org/officeDocument/2006/relationships/hyperlink" Target="https://www.nbcconnecticut.com/news/local/sacred-heart-high-school-in-waterbury-to-close-at-end-of-school-year/2420932/" TargetMode="External"/><Relationship Id="rId440" Type="http://schemas.openxmlformats.org/officeDocument/2006/relationships/hyperlink" Target="http://stwalter.org/tuition-and-fees/" TargetMode="External"/><Relationship Id="rId682" Type="http://schemas.openxmlformats.org/officeDocument/2006/relationships/hyperlink" Target="https://sfxschool.net/tuition-and-fees" TargetMode="External"/><Relationship Id="rId681" Type="http://schemas.openxmlformats.org/officeDocument/2006/relationships/hyperlink" Target="https://sfxschool.net/" TargetMode="External"/><Relationship Id="rId1030" Type="http://schemas.openxmlformats.org/officeDocument/2006/relationships/hyperlink" Target="https://www.niche.com/k12/st-hubert-catholic-school-hoffman-estates-il/" TargetMode="External"/><Relationship Id="rId680" Type="http://schemas.openxmlformats.org/officeDocument/2006/relationships/hyperlink" Target="https://www.niche.com/k12/st-margaret-mary-school-bronx-ny/" TargetMode="External"/><Relationship Id="rId1031" Type="http://schemas.openxmlformats.org/officeDocument/2006/relationships/hyperlink" Target="https://sthubertschool.org/tuition-information" TargetMode="External"/><Relationship Id="rId1032" Type="http://schemas.openxmlformats.org/officeDocument/2006/relationships/hyperlink" Target="https://chicago.suntimes.com/education/2026/01/26/archdiocese-catholic-school-closing-jerome-bruno-richard-francis-borgia-stanislaus-kostka" TargetMode="External"/><Relationship Id="rId202" Type="http://schemas.openxmlformats.org/officeDocument/2006/relationships/hyperlink" Target="https://cdlex.org/tuition-information" TargetMode="External"/><Relationship Id="rId444" Type="http://schemas.openxmlformats.org/officeDocument/2006/relationships/hyperlink" Target="https://www.privateschoolreview.com/st-paul-mission-grade-school-profile" TargetMode="External"/><Relationship Id="rId686" Type="http://schemas.openxmlformats.org/officeDocument/2006/relationships/hyperlink" Target="https://saintgabrielschoolbronx.org/" TargetMode="External"/><Relationship Id="rId1033" Type="http://schemas.openxmlformats.org/officeDocument/2006/relationships/hyperlink" Target="https://www.niche.com/k12/our-lady-of-humility-school-beach-park-il/" TargetMode="External"/><Relationship Id="rId201" Type="http://schemas.openxmlformats.org/officeDocument/2006/relationships/hyperlink" Target="https://www.niche.com/k12/palmer-school-walnut-creek-ca/" TargetMode="External"/><Relationship Id="rId443" Type="http://schemas.openxmlformats.org/officeDocument/2006/relationships/hyperlink" Target="https://www.privateschoolreview.com/st-paul-mission-grade-school-profile" TargetMode="External"/><Relationship Id="rId685" Type="http://schemas.openxmlformats.org/officeDocument/2006/relationships/hyperlink" Target="https://www.niche.com/k12/st-clare-of-assisi-school-bronx-ny/" TargetMode="External"/><Relationship Id="rId1034" Type="http://schemas.openxmlformats.org/officeDocument/2006/relationships/hyperlink" Target="https://chicago.suntimes.com/education/2026/01/26/archdiocese-catholic-school-closing-jerome-bruno-richard-francis-borgia-stanislaus-kostka" TargetMode="External"/><Relationship Id="rId200" Type="http://schemas.openxmlformats.org/officeDocument/2006/relationships/hyperlink" Target="https://web.archive.org/web/20190914063225/https://www.palmerschool.org/admissions/tuition-and-fees/" TargetMode="External"/><Relationship Id="rId442" Type="http://schemas.openxmlformats.org/officeDocument/2006/relationships/hyperlink" Target="https://www.greatfallstribune.com/story/news/2021/01/30/st-paul-mission-grade-school-fort-belknap-reservation-close-fall/4294031001/" TargetMode="External"/><Relationship Id="rId684" Type="http://schemas.openxmlformats.org/officeDocument/2006/relationships/hyperlink" Target="https://stclareofassisischool.org/tuition-and-fees" TargetMode="External"/><Relationship Id="rId1035" Type="http://schemas.openxmlformats.org/officeDocument/2006/relationships/hyperlink" Target="https://www.niche.com/k12/saints-bruno-and-richard-school-chicago-il/" TargetMode="External"/><Relationship Id="rId441" Type="http://schemas.openxmlformats.org/officeDocument/2006/relationships/hyperlink" Target="https://www.niche.com/k12/st-walter-school-chicago-il/" TargetMode="External"/><Relationship Id="rId683" Type="http://schemas.openxmlformats.org/officeDocument/2006/relationships/hyperlink" Target="https://stclareofassisischool.org/" TargetMode="External"/><Relationship Id="rId1036" Type="http://schemas.openxmlformats.org/officeDocument/2006/relationships/hyperlink" Target="https://chicago.suntimes.com/education/2026/01/26/archdiocese-catholic-school-closing-jerome-bruno-richard-francis-borgia-stanislaus-kostka" TargetMode="External"/><Relationship Id="rId1026" Type="http://schemas.openxmlformats.org/officeDocument/2006/relationships/hyperlink" Target="https://www.niche.com/k12/st-stanislaus-kostka-academy-chicago-il/" TargetMode="External"/><Relationship Id="rId1027" Type="http://schemas.openxmlformats.org/officeDocument/2006/relationships/hyperlink" Target="https://www.asumag.com/facilities-management/article/55352118/catholic-school-in-chicago-is-closing-after-151-years" TargetMode="External"/><Relationship Id="rId1028" Type="http://schemas.openxmlformats.org/officeDocument/2006/relationships/hyperlink" Target="https://ststanschicago.org/tuition" TargetMode="External"/><Relationship Id="rId1029" Type="http://schemas.openxmlformats.org/officeDocument/2006/relationships/hyperlink" Target="https://www.niche.com/k12/st-stanislaus-kostka-academy-chicago-il/" TargetMode="External"/><Relationship Id="rId437" Type="http://schemas.openxmlformats.org/officeDocument/2006/relationships/hyperlink" Target="https://www.niche.com/k12/st-benedict-school-blue-island-il/" TargetMode="External"/><Relationship Id="rId679" Type="http://schemas.openxmlformats.org/officeDocument/2006/relationships/hyperlink" Target="https://www.privateschoolreview.com/st-christopher-school-profile/10306" TargetMode="External"/><Relationship Id="rId436" Type="http://schemas.openxmlformats.org/officeDocument/2006/relationships/hyperlink" Target="https://www.stbenbi.org/tuition-affordability" TargetMode="External"/><Relationship Id="rId678" Type="http://schemas.openxmlformats.org/officeDocument/2006/relationships/hyperlink" Target="https://www.niche.com/k12/st-brendan-school-bronx-ny/" TargetMode="External"/><Relationship Id="rId435" Type="http://schemas.openxmlformats.org/officeDocument/2006/relationships/hyperlink" Target="https://www.privateschoolreview.com/st-benedict-elementary-school-profile" TargetMode="External"/><Relationship Id="rId677" Type="http://schemas.openxmlformats.org/officeDocument/2006/relationships/hyperlink" Target="https://www.niche.com/k12/st-angela-merici-school-bronx-ny/" TargetMode="External"/><Relationship Id="rId434" Type="http://schemas.openxmlformats.org/officeDocument/2006/relationships/hyperlink" Target="https://schools.archchicago.org/en/news-release/-/article/2021/01/22/news-release-2021-school-announcements" TargetMode="External"/><Relationship Id="rId676" Type="http://schemas.openxmlformats.org/officeDocument/2006/relationships/hyperlink" Target="https://www.niche.com/k12/santa-maria-school-bronx-ny/" TargetMode="External"/><Relationship Id="rId439" Type="http://schemas.openxmlformats.org/officeDocument/2006/relationships/hyperlink" Target="https://www.privateschoolreview.com/st-walter-school-profile" TargetMode="External"/><Relationship Id="rId438" Type="http://schemas.openxmlformats.org/officeDocument/2006/relationships/hyperlink" Target="https://schools.archchicago.org/en/news-release/-/article/2021/01/22/news-release-2021-school-announcements" TargetMode="External"/><Relationship Id="rId671" Type="http://schemas.openxmlformats.org/officeDocument/2006/relationships/hyperlink" Target="https://www.niche.com/k12/guardian-angel-school-new-york-ny/" TargetMode="External"/><Relationship Id="rId670" Type="http://schemas.openxmlformats.org/officeDocument/2006/relationships/hyperlink" Target="https://www.niche.com/k12/ascension-school-new-york-ny/" TargetMode="External"/><Relationship Id="rId1020" Type="http://schemas.openxmlformats.org/officeDocument/2006/relationships/hyperlink" Target="https://www.niche.com/k12/calvary-christian-academy-charlotte-nc/" TargetMode="External"/><Relationship Id="rId1021" Type="http://schemas.openxmlformats.org/officeDocument/2006/relationships/hyperlink" Target="https://www.wfae.org/education/2025-12-22/private-christian-school-in-south-charlotte-announces-closure" TargetMode="External"/><Relationship Id="rId433" Type="http://schemas.openxmlformats.org/officeDocument/2006/relationships/hyperlink" Target="https://www.niche.com/k12/st-joseph-elementary-school-summit-il/" TargetMode="External"/><Relationship Id="rId675" Type="http://schemas.openxmlformats.org/officeDocument/2006/relationships/hyperlink" Target="https://www.niche.com/k12/our-lady-queen-of-martyrs-school-new-york-ny/" TargetMode="External"/><Relationship Id="rId1022" Type="http://schemas.openxmlformats.org/officeDocument/2006/relationships/hyperlink" Target="https://www.calvarychristianacademy.com/tuition-fees/" TargetMode="External"/><Relationship Id="rId432" Type="http://schemas.openxmlformats.org/officeDocument/2006/relationships/hyperlink" Target="https://www.stjosephsummit.com/ourpages/auto/2020/8/14/76623566/Tuition%20Schedule%20Comparison-2020-2021.pdf" TargetMode="External"/><Relationship Id="rId674" Type="http://schemas.openxmlformats.org/officeDocument/2006/relationships/hyperlink" Target="https://www.niche.com/k12/immaculate-conception-school-the-bronx-ny-00921826/" TargetMode="External"/><Relationship Id="rId1023" Type="http://schemas.openxmlformats.org/officeDocument/2006/relationships/hyperlink" Target="https://www.yahoo.com/news/articles/catholic-community-reacts-closing-longtime-040351615.html" TargetMode="External"/><Relationship Id="rId431" Type="http://schemas.openxmlformats.org/officeDocument/2006/relationships/hyperlink" Target="https://www.privateschoolreview.com/st-joseph-elementary-school-profile/60501" TargetMode="External"/><Relationship Id="rId673" Type="http://schemas.openxmlformats.org/officeDocument/2006/relationships/hyperlink" Target="https://www.niche.com/k12/immaculate-conception-school-new-york-city-ny-00920083/" TargetMode="External"/><Relationship Id="rId1024" Type="http://schemas.openxmlformats.org/officeDocument/2006/relationships/hyperlink" Target="https://www.ksdk.com/article/news/local/south-city-catholic-academy-to-close-at-end-of-school-year/63-07673619-cedf-47fe-acf0-c630e0a15ff1" TargetMode="External"/><Relationship Id="rId430" Type="http://schemas.openxmlformats.org/officeDocument/2006/relationships/hyperlink" Target="https://schools.archchicago.org/en/news-release/-/article/2021/01/22/news-release-2021-school-announcements" TargetMode="External"/><Relationship Id="rId672" Type="http://schemas.openxmlformats.org/officeDocument/2006/relationships/hyperlink" Target="https://www.niche.com/k12/holy-family-school-bronx-ny/" TargetMode="External"/><Relationship Id="rId1025" Type="http://schemas.openxmlformats.org/officeDocument/2006/relationships/hyperlink" Target="https://www.stlsouthcitycatholicacademy.org/tuition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9.0"/>
  </cols>
  <sheetData>
    <row r="1">
      <c r="A1" s="1"/>
      <c r="B1" s="2" t="s">
        <v>0</v>
      </c>
    </row>
    <row r="2">
      <c r="A2" s="1">
        <f t="shared" ref="A2:A50" si="1">IF(EDATE(DATE(2022,6,1), row(A2))&lt;TODAY(), EDATE(DATE(2022,6,1), Row(A2)), "")</f>
        <v>44774</v>
      </c>
      <c r="B2" s="3">
        <f> IF(A2="","",COUNTIFS(All_closures!$J$2:$J$1005, "&gt;="&amp; EDATE(DATE(2022,6,1), row(B2)),All_closures!$J$2:$J$1005, "&lt;"&amp; EDATE(DATE(2022,7,1), row(B2))))</f>
        <v>2</v>
      </c>
    </row>
    <row r="3">
      <c r="A3" s="1">
        <f t="shared" si="1"/>
        <v>44805</v>
      </c>
      <c r="B3" s="3">
        <f> IF(A3="","",COUNTIFS(All_closures!$J$2:$J$1005, "&gt;="&amp; EDATE(DATE(2022,6,1), row(B3)),All_closures!$J$2:$J$1005, "&lt;"&amp; EDATE(DATE(2022,7,1), row(B3))))</f>
        <v>0</v>
      </c>
    </row>
    <row r="4">
      <c r="A4" s="1">
        <f t="shared" si="1"/>
        <v>44835</v>
      </c>
      <c r="B4" s="3">
        <f> IF(A4="","",COUNTIFS(All_closures!$J$2:$J$1005, "&gt;="&amp; EDATE(DATE(2022,6,1), row(B4)),All_closures!$J$2:$J$1005, "&lt;"&amp; EDATE(DATE(2022,7,1), row(B4))))</f>
        <v>1</v>
      </c>
    </row>
    <row r="5">
      <c r="A5" s="1">
        <f t="shared" si="1"/>
        <v>44866</v>
      </c>
      <c r="B5" s="3">
        <f> IF(A5="","",COUNTIFS(All_closures!$J$2:$J$1005, "&gt;="&amp; EDATE(DATE(2022,6,1), row(B5)),All_closures!$J$2:$J$1005, "&lt;"&amp; EDATE(DATE(2022,7,1), row(B5))))</f>
        <v>1</v>
      </c>
    </row>
    <row r="6">
      <c r="A6" s="1">
        <f t="shared" si="1"/>
        <v>44896</v>
      </c>
      <c r="B6" s="3">
        <f> IF(A6="","",COUNTIFS(All_closures!$J$2:$J$1005, "&gt;="&amp; EDATE(DATE(2022,6,1), row(B6)),All_closures!$J$2:$J$1005, "&lt;"&amp; EDATE(DATE(2022,7,1), row(B6))))</f>
        <v>0</v>
      </c>
    </row>
    <row r="7">
      <c r="A7" s="1">
        <f t="shared" si="1"/>
        <v>44927</v>
      </c>
      <c r="B7" s="3">
        <f> IF(A7="","",COUNTIFS(All_closures!$J$2:$J$1005, "&gt;="&amp; EDATE(DATE(2022,6,1), row(B7)),All_closures!$J$2:$J$1005, "&lt;"&amp; EDATE(DATE(2022,7,1), row(B7))))</f>
        <v>8</v>
      </c>
    </row>
    <row r="8">
      <c r="A8" s="1">
        <f t="shared" si="1"/>
        <v>44958</v>
      </c>
      <c r="B8" s="3">
        <f> IF(A8="","",COUNTIFS(All_closures!$J$2:$J$1005, "&gt;="&amp; EDATE(DATE(2022,6,1), row(B8)),All_closures!$J$2:$J$1005, "&lt;"&amp; EDATE(DATE(2022,7,1), row(B8))))</f>
        <v>20</v>
      </c>
    </row>
    <row r="9">
      <c r="A9" s="1">
        <f t="shared" si="1"/>
        <v>44986</v>
      </c>
      <c r="B9" s="3">
        <f> IF(A9="","",COUNTIFS(All_closures!$J$2:$J$1005, "&gt;="&amp; EDATE(DATE(2022,6,1), row(B9)),All_closures!$J$2:$J$1005, "&lt;"&amp; EDATE(DATE(2022,7,1), row(B9))))</f>
        <v>5</v>
      </c>
    </row>
    <row r="10">
      <c r="A10" s="1">
        <f t="shared" si="1"/>
        <v>45017</v>
      </c>
      <c r="B10" s="3">
        <f> IF(A10="","",COUNTIFS(All_closures!$J$2:$J$1005, "&gt;="&amp; EDATE(DATE(2022,6,1), row(B10)),All_closures!$J$2:$J$1005, "&lt;"&amp; EDATE(DATE(2022,7,1), row(B10))))</f>
        <v>6</v>
      </c>
    </row>
    <row r="11">
      <c r="A11" s="1">
        <f t="shared" si="1"/>
        <v>45047</v>
      </c>
      <c r="B11" s="3">
        <f> IF(A11="","",COUNTIFS(All_closures!$J$2:$J$1005, "&gt;="&amp; EDATE(DATE(2022,6,1), row(B11)),All_closures!$J$2:$J$1005, "&lt;"&amp; EDATE(DATE(2022,7,1), row(B11))))</f>
        <v>5</v>
      </c>
    </row>
    <row r="12">
      <c r="A12" s="1">
        <f t="shared" si="1"/>
        <v>45078</v>
      </c>
      <c r="B12" s="3">
        <f> IF(A12="","",COUNTIFS(All_closures!$J$2:$J$1005, "&gt;="&amp; EDATE(DATE(2022,6,1), row(B12)),All_closures!$J$2:$J$1005, "&lt;"&amp; EDATE(DATE(2022,7,1), row(B12))))</f>
        <v>3</v>
      </c>
    </row>
    <row r="13">
      <c r="A13" s="1">
        <f t="shared" si="1"/>
        <v>45108</v>
      </c>
      <c r="B13" s="3">
        <f> IF(A13="","",COUNTIFS(All_closures!$J$2:$J$1005, "&gt;="&amp; EDATE(DATE(2022,6,1), row(B13)),All_closures!$J$2:$J$1005, "&lt;"&amp; EDATE(DATE(2022,7,1), row(B13))))</f>
        <v>3</v>
      </c>
      <c r="C13" s="3">
        <f>SUM(B2:B13)</f>
        <v>54</v>
      </c>
    </row>
    <row r="14">
      <c r="A14" s="1">
        <f t="shared" si="1"/>
        <v>45139</v>
      </c>
      <c r="B14" s="3">
        <f> IF(A14="","",COUNTIFS(All_closures!$J$2:$J$1005, "&gt;="&amp; EDATE(DATE(2022,6,1), row(B14)),All_closures!$J$2:$J$1005, "&lt;"&amp; EDATE(DATE(2022,7,1), row(B14))))</f>
        <v>2</v>
      </c>
    </row>
    <row r="15">
      <c r="A15" s="1">
        <f t="shared" si="1"/>
        <v>45170</v>
      </c>
      <c r="B15" s="3">
        <f> IF(A15="","",COUNTIFS(All_closures!$J$2:$J$1005, "&gt;="&amp; EDATE(DATE(2022,6,1), row(B15)),All_closures!$J$2:$J$1005, "&lt;"&amp; EDATE(DATE(2022,7,1), row(B15))))</f>
        <v>2</v>
      </c>
    </row>
    <row r="16">
      <c r="A16" s="1">
        <f t="shared" si="1"/>
        <v>45200</v>
      </c>
      <c r="B16" s="3">
        <f> IF(A16="","",COUNTIFS(All_closures!$J$2:$J$1005, "&gt;="&amp; EDATE(DATE(2022,6,1), row(B16)),All_closures!$J$2:$J$1005, "&lt;"&amp; EDATE(DATE(2022,7,1), row(B16))))</f>
        <v>5</v>
      </c>
    </row>
    <row r="17">
      <c r="A17" s="1">
        <f t="shared" si="1"/>
        <v>45231</v>
      </c>
      <c r="B17" s="3">
        <f> IF(A17="","",COUNTIFS(All_closures!$J$2:$J$1005, "&gt;="&amp; EDATE(DATE(2022,6,1), row(B17)),All_closures!$J$2:$J$1005, "&lt;"&amp; EDATE(DATE(2022,7,1), row(B17))))</f>
        <v>1</v>
      </c>
    </row>
    <row r="18">
      <c r="A18" s="1">
        <f t="shared" si="1"/>
        <v>45261</v>
      </c>
      <c r="B18" s="3">
        <f> IF(A18="","",COUNTIFS(All_closures!$J$2:$J$1005, "&gt;="&amp; EDATE(DATE(2022,6,1), row(B18)),All_closures!$J$2:$J$1005, "&lt;"&amp; EDATE(DATE(2022,7,1), row(B18))))</f>
        <v>3</v>
      </c>
    </row>
    <row r="19">
      <c r="A19" s="1">
        <f t="shared" si="1"/>
        <v>45292</v>
      </c>
      <c r="B19" s="3">
        <f> IF(A19="","",COUNTIFS(All_closures!$J$2:$J$1005, "&gt;="&amp; EDATE(DATE(2022,6,1), row(B19)),All_closures!$J$2:$J$1005, "&lt;"&amp; EDATE(DATE(2022,7,1), row(B19))))</f>
        <v>6</v>
      </c>
    </row>
    <row r="20">
      <c r="A20" s="1">
        <f t="shared" si="1"/>
        <v>45323</v>
      </c>
      <c r="B20" s="3">
        <f> IF(A20="","",COUNTIFS(All_closures!$J$2:$J$1005, "&gt;="&amp; EDATE(DATE(2022,6,1), row(B20)),All_closures!$J$2:$J$1005, "&lt;"&amp; EDATE(DATE(2022,7,1), row(B20))))</f>
        <v>6</v>
      </c>
    </row>
    <row r="21">
      <c r="A21" s="1">
        <f t="shared" si="1"/>
        <v>45352</v>
      </c>
      <c r="B21" s="3">
        <f> IF(A21="","",COUNTIFS(All_closures!$J$2:$J$1005, "&gt;="&amp; EDATE(DATE(2022,6,1), row(B21)),All_closures!$J$2:$J$1005, "&lt;"&amp; EDATE(DATE(2022,7,1), row(B21))))</f>
        <v>7</v>
      </c>
    </row>
    <row r="22">
      <c r="A22" s="1">
        <f t="shared" si="1"/>
        <v>45383</v>
      </c>
      <c r="B22" s="3">
        <f> IF(A22="","",COUNTIFS(All_closures!$J$2:$J$1005, "&gt;="&amp; EDATE(DATE(2022,6,1), row(B22)),All_closures!$J$2:$J$1005, "&lt;"&amp; EDATE(DATE(2022,7,1), row(B22))))</f>
        <v>10</v>
      </c>
    </row>
    <row r="23">
      <c r="A23" s="1">
        <f t="shared" si="1"/>
        <v>45413</v>
      </c>
      <c r="B23" s="3">
        <f> IF(A23="","",COUNTIFS(All_closures!$J$2:$J$1005, "&gt;="&amp; EDATE(DATE(2022,6,1), row(B23)),All_closures!$J$2:$J$1005, "&lt;"&amp; EDATE(DATE(2022,7,1), row(B23))))</f>
        <v>11</v>
      </c>
    </row>
    <row r="24">
      <c r="A24" s="1">
        <f t="shared" si="1"/>
        <v>45444</v>
      </c>
      <c r="B24" s="3">
        <f> IF(A24="","",COUNTIFS(All_closures!$J$2:$J$1005, "&gt;="&amp; EDATE(DATE(2022,6,1), row(B24)),All_closures!$J$2:$J$1005, "&lt;"&amp; EDATE(DATE(2022,7,1), row(B24))))</f>
        <v>4</v>
      </c>
    </row>
    <row r="25">
      <c r="A25" s="1">
        <f t="shared" si="1"/>
        <v>45474</v>
      </c>
      <c r="B25" s="3">
        <f> IF(A25="","",COUNTIFS(All_closures!$J$2:$J$1005, "&gt;="&amp; EDATE(DATE(2022,6,1), row(B25)),All_closures!$J$2:$J$1005, "&lt;"&amp; EDATE(DATE(2022,7,1), row(B25))))</f>
        <v>3</v>
      </c>
      <c r="C25" s="3">
        <f>SUM(B14:B25)</f>
        <v>60</v>
      </c>
    </row>
    <row r="26">
      <c r="A26" s="1">
        <f t="shared" si="1"/>
        <v>45505</v>
      </c>
      <c r="B26" s="3">
        <f> IF(A26="","",COUNTIFS(All_closures!$J$2:$J$1005, "&gt;="&amp; EDATE(DATE(2022,6,1), row(B26)),All_closures!$J$2:$J$1005, "&lt;"&amp; EDATE(DATE(2022,7,1), row(B26))))</f>
        <v>2</v>
      </c>
    </row>
    <row r="27">
      <c r="A27" s="1">
        <f t="shared" si="1"/>
        <v>45536</v>
      </c>
      <c r="B27" s="3">
        <f> IF(A27="","",COUNTIFS(All_closures!$J$2:$J$1005, "&gt;="&amp; EDATE(DATE(2022,6,1), row(B27)),All_closures!$J$2:$J$1005, "&lt;"&amp; EDATE(DATE(2022,7,1), row(B27))))</f>
        <v>4</v>
      </c>
    </row>
    <row r="28">
      <c r="A28" s="1">
        <f t="shared" si="1"/>
        <v>45566</v>
      </c>
      <c r="B28" s="3">
        <f> IF(A28="","",COUNTIFS(All_closures!$J$2:$J$1005, "&gt;="&amp; EDATE(DATE(2022,6,1), row(B28)),All_closures!$J$2:$J$1005, "&lt;"&amp; EDATE(DATE(2022,7,1), row(B28))))</f>
        <v>1</v>
      </c>
    </row>
    <row r="29">
      <c r="A29" s="1">
        <f t="shared" si="1"/>
        <v>45597</v>
      </c>
      <c r="B29" s="3">
        <f> IF(A29="","",COUNTIFS(All_closures!$J$2:$J$1005, "&gt;="&amp; EDATE(DATE(2022,6,1), row(B29)),All_closures!$J$2:$J$1005, "&lt;"&amp; EDATE(DATE(2022,7,1), row(B29))))</f>
        <v>1</v>
      </c>
    </row>
    <row r="30">
      <c r="A30" s="1">
        <f t="shared" si="1"/>
        <v>45627</v>
      </c>
      <c r="B30" s="3">
        <f> IF(A30="","",COUNTIFS(All_closures!$J$2:$J$1005, "&gt;="&amp; EDATE(DATE(2022,6,1), row(B30)),All_closures!$J$2:$J$1005, "&lt;"&amp; EDATE(DATE(2022,7,1), row(B30))))</f>
        <v>5</v>
      </c>
    </row>
    <row r="31">
      <c r="A31" s="1">
        <f t="shared" si="1"/>
        <v>45658</v>
      </c>
      <c r="B31" s="3">
        <f> IF(A31="","",COUNTIFS(All_closures!$J$2:$J$1005, "&gt;="&amp; EDATE(DATE(2022,6,1), row(B31)),All_closures!$J$2:$J$1005, "&lt;"&amp; EDATE(DATE(2022,7,1), row(B31))))</f>
        <v>9</v>
      </c>
    </row>
    <row r="32">
      <c r="A32" s="1">
        <f t="shared" si="1"/>
        <v>45689</v>
      </c>
      <c r="B32" s="3">
        <f> IF(A32="","",COUNTIFS(All_closures!$J$2:$J$1005, "&gt;="&amp; EDATE(DATE(2022,6,1), row(B32)),All_closures!$J$2:$J$1005, "&lt;"&amp; EDATE(DATE(2022,7,1), row(B32))))</f>
        <v>10</v>
      </c>
    </row>
    <row r="33">
      <c r="A33" s="1">
        <f t="shared" si="1"/>
        <v>45717</v>
      </c>
      <c r="B33" s="3">
        <f> IF(A33="","",COUNTIFS(All_closures!$J$2:$J$1005, "&gt;="&amp; EDATE(DATE(2022,6,1), row(B33)),All_closures!$J$2:$J$1005, "&lt;"&amp; EDATE(DATE(2022,7,1), row(B33))))</f>
        <v>6</v>
      </c>
    </row>
    <row r="34">
      <c r="A34" s="1">
        <f t="shared" si="1"/>
        <v>45748</v>
      </c>
      <c r="B34" s="3">
        <f> IF(A34="","",COUNTIFS(All_closures!$J$2:$J$1005, "&gt;="&amp; EDATE(DATE(2022,6,1), row(B34)),All_closures!$J$2:$J$1005, "&lt;"&amp; EDATE(DATE(2022,7,1), row(B34))))</f>
        <v>5</v>
      </c>
    </row>
    <row r="35">
      <c r="A35" s="1">
        <f t="shared" si="1"/>
        <v>45778</v>
      </c>
      <c r="B35" s="3">
        <f> IF(A35="","",COUNTIFS(All_closures!$J$2:$J$1005, "&gt;="&amp; EDATE(DATE(2022,6,1), row(B35)),All_closures!$J$2:$J$1005, "&lt;"&amp; EDATE(DATE(2022,7,1), row(B35))))</f>
        <v>4</v>
      </c>
    </row>
    <row r="36">
      <c r="A36" s="1">
        <f t="shared" si="1"/>
        <v>45809</v>
      </c>
      <c r="B36" s="3">
        <f> IF(A36="","",COUNTIFS(All_closures!$J$2:$J$1005, "&gt;="&amp; EDATE(DATE(2022,6,1), row(B36)),All_closures!$J$2:$J$1005, "&lt;"&amp; EDATE(DATE(2022,7,1), row(B36))))</f>
        <v>4</v>
      </c>
    </row>
    <row r="37">
      <c r="A37" s="1">
        <f t="shared" si="1"/>
        <v>45839</v>
      </c>
      <c r="B37" s="3">
        <f> IF(A37="","",COUNTIFS(All_closures!$J$2:$J$1005, "&gt;="&amp; EDATE(DATE(2022,6,1), row(B37)),All_closures!$J$2:$J$1005, "&lt;"&amp; EDATE(DATE(2022,7,1), row(B37))))</f>
        <v>1</v>
      </c>
    </row>
    <row r="38">
      <c r="A38" s="1">
        <f t="shared" si="1"/>
        <v>45870</v>
      </c>
      <c r="B38" s="3">
        <f> IF(A38="","",COUNTIFS(All_closures!$J$2:$J$1005, "&gt;="&amp; EDATE(DATE(2022,6,1), row(B38)),All_closures!$J$2:$J$1005, "&lt;"&amp; EDATE(DATE(2022,7,1), row(B38))))</f>
        <v>0</v>
      </c>
    </row>
    <row r="39">
      <c r="A39" s="1">
        <f t="shared" si="1"/>
        <v>45901</v>
      </c>
      <c r="B39" s="3">
        <f> IF(A39="","",COUNTIFS(All_closures!$J$2:$J$1005, "&gt;="&amp; EDATE(DATE(2022,6,1), row(B39)),All_closures!$J$2:$J$1005, "&lt;"&amp; EDATE(DATE(2022,7,1), row(B39))))</f>
        <v>2</v>
      </c>
    </row>
    <row r="40">
      <c r="A40" s="1">
        <f t="shared" si="1"/>
        <v>45931</v>
      </c>
      <c r="B40" s="3">
        <f> IF(A40="","",COUNTIFS(All_closures!$J$2:$J$1005, "&gt;="&amp; EDATE(DATE(2022,6,1), row(B40)),All_closures!$J$2:$J$1005, "&lt;"&amp; EDATE(DATE(2022,7,1), row(B40))))</f>
        <v>2</v>
      </c>
    </row>
    <row r="41">
      <c r="A41" s="1">
        <f t="shared" si="1"/>
        <v>45962</v>
      </c>
      <c r="B41" s="3">
        <f> IF(A41="","",COUNTIFS(All_closures!$J$2:$J$1005, "&gt;="&amp; EDATE(DATE(2022,6,1), row(B41)),All_closures!$J$2:$J$1005, "&lt;"&amp; EDATE(DATE(2022,7,1), row(B41))))</f>
        <v>2</v>
      </c>
    </row>
    <row r="42">
      <c r="A42" s="1">
        <f t="shared" si="1"/>
        <v>45992</v>
      </c>
      <c r="B42" s="3">
        <f> IF(A42="","",COUNTIFS(All_closures!$J$2:$J$1005, "&gt;="&amp; EDATE(DATE(2022,6,1), row(B42)),All_closures!$J$2:$J$1005, "&lt;"&amp; EDATE(DATE(2022,7,1), row(B42))))</f>
        <v>2</v>
      </c>
    </row>
    <row r="43">
      <c r="A43" s="1">
        <f t="shared" si="1"/>
        <v>46023</v>
      </c>
      <c r="B43" s="3">
        <f> IF(A43="","",COUNTIFS(All_closures!$J$2:$J$1005, "&gt;="&amp; EDATE(DATE(2022,6,1), row(B43)),All_closures!$J$2:$J$1005, "&lt;"&amp; EDATE(DATE(2022,7,1), row(B43))))</f>
        <v>11</v>
      </c>
    </row>
    <row r="44">
      <c r="A44" s="1">
        <f t="shared" si="1"/>
        <v>46054</v>
      </c>
      <c r="B44" s="3">
        <f> IF(A44="","",COUNTIFS(All_closures!$J$2:$J$1005, "&gt;="&amp; EDATE(DATE(2022,6,1), row(B44)),All_closures!$J$2:$J$1005, "&lt;"&amp; EDATE(DATE(2022,7,1), row(B44))))</f>
        <v>12</v>
      </c>
    </row>
    <row r="45">
      <c r="A45" s="1">
        <f t="shared" si="1"/>
        <v>46082</v>
      </c>
      <c r="B45" s="3">
        <f> IF(A45="","",COUNTIFS(All_closures!$J$2:$J$1005, "&gt;="&amp; EDATE(DATE(2022,6,1), row(B45)),All_closures!$J$2:$J$1005, "&lt;"&amp; EDATE(DATE(2022,7,1), row(B45))))</f>
        <v>13</v>
      </c>
    </row>
    <row r="46">
      <c r="A46" s="1">
        <f t="shared" si="1"/>
        <v>46113</v>
      </c>
      <c r="B46" s="3">
        <f> IF(A46="","",COUNTIFS(All_closures!$J$2:$J$1005, "&gt;="&amp; EDATE(DATE(2022,6,1), row(B46)),All_closures!$J$2:$J$1005, "&lt;"&amp; EDATE(DATE(2022,7,1), row(B46))))</f>
        <v>1</v>
      </c>
    </row>
    <row r="47">
      <c r="A47" s="1">
        <f t="shared" si="1"/>
        <v>46143</v>
      </c>
      <c r="B47" s="3">
        <f> IF(A47="","",COUNTIFS(All_closures!$J$2:$J$1005, "&gt;="&amp; EDATE(DATE(2022,6,1), row(B47)),All_closures!$J$2:$J$1005, "&lt;"&amp; EDATE(DATE(2022,7,1), row(B47))))</f>
        <v>6</v>
      </c>
    </row>
    <row r="48">
      <c r="A48" s="1">
        <f t="shared" si="1"/>
        <v>46174</v>
      </c>
      <c r="B48" s="3">
        <f> IF(A48="","",COUNTIFS(All_closures!$J$2:$J$1005, "&gt;="&amp; EDATE(DATE(2022,6,1), row(B48)),All_closures!$J$2:$J$1005, "&lt;"&amp; EDATE(DATE(2022,7,1), row(B48))))</f>
        <v>13</v>
      </c>
    </row>
    <row r="49">
      <c r="A49" s="1">
        <f t="shared" si="1"/>
        <v>46204</v>
      </c>
      <c r="B49" s="3">
        <f> IF(A49="","",COUNTIFS(All_closures!$J$2:$J$1005, "&gt;="&amp; EDATE(DATE(2022,6,1), row(B49)),All_closures!$J$2:$J$1005, "&lt;"&amp; EDATE(DATE(2022,7,1), row(B49))))</f>
        <v>4</v>
      </c>
    </row>
    <row r="50">
      <c r="A50" s="1" t="str">
        <f t="shared" si="1"/>
        <v/>
      </c>
      <c r="B50" s="3" t="str">
        <f> IF(A50="","",COUNTIFS(All_closures!$J$2:$J$1005, "&gt;="&amp; EDATE(DATE(2022,6,1), row(B50)),All_closures!$J$2:$J$1005, "&lt;"&amp; EDATE(DATE(2022,7,1), row(B50))))</f>
        <v/>
      </c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9.0"/>
  </cols>
  <sheetData>
    <row r="1">
      <c r="A1" s="1"/>
      <c r="B1" s="2" t="s">
        <v>0</v>
      </c>
    </row>
    <row r="2">
      <c r="A2" s="1">
        <f t="shared" ref="A2:A13" si="1">IF(EDATE(DATE(2023,6,1), row(A2))&lt;TODAY(), EDATE(DATE(2023,6,1), Row(A2)), "")</f>
        <v>45139</v>
      </c>
      <c r="B2" s="3">
        <f> IF(A2="","",COUNTIFS(All_closures!$J$2:$J$1005, "&gt;="&amp; EDATE(DATE(2023,6,1), row(B2)),All_closures!$J$2:$J$1005, "&lt;"&amp; EDATE(DATE(2023,7,1), row(B2))))</f>
        <v>2</v>
      </c>
    </row>
    <row r="3">
      <c r="A3" s="1">
        <f t="shared" si="1"/>
        <v>45170</v>
      </c>
      <c r="B3" s="3">
        <f> IF(A3="","",COUNTIFS(All_closures!$J$2:$J$1005, "&gt;="&amp; EDATE(DATE(2023,6,1), row(B3)),All_closures!$J$2:$J$1005, "&lt;"&amp; EDATE(DATE(2023,7,1), row(B3))))</f>
        <v>2</v>
      </c>
    </row>
    <row r="4">
      <c r="A4" s="1">
        <f t="shared" si="1"/>
        <v>45200</v>
      </c>
      <c r="B4" s="3">
        <f> IF(A4="","",COUNTIFS(All_closures!$J$2:$J$1005, "&gt;="&amp; EDATE(DATE(2023,6,1), row(B4)),All_closures!$J$2:$J$1005, "&lt;"&amp; EDATE(DATE(2023,7,1), row(B4))))</f>
        <v>5</v>
      </c>
    </row>
    <row r="5">
      <c r="A5" s="1">
        <f t="shared" si="1"/>
        <v>45231</v>
      </c>
      <c r="B5" s="3">
        <f> IF(A5="","",COUNTIFS(All_closures!$J$2:$J$1005, "&gt;="&amp; EDATE(DATE(2023,6,1), row(B5)),All_closures!$J$2:$J$1005, "&lt;"&amp; EDATE(DATE(2023,7,1), row(B5))))</f>
        <v>1</v>
      </c>
    </row>
    <row r="6">
      <c r="A6" s="1">
        <f t="shared" si="1"/>
        <v>45261</v>
      </c>
      <c r="B6" s="3">
        <f> IF(A6="","",COUNTIFS(All_closures!$J$2:$J$1005, "&gt;="&amp; EDATE(DATE(2023,6,1), row(B6)),All_closures!$J$2:$J$1005, "&lt;"&amp; EDATE(DATE(2023,7,1), row(B6))))</f>
        <v>3</v>
      </c>
    </row>
    <row r="7">
      <c r="A7" s="1">
        <f t="shared" si="1"/>
        <v>45292</v>
      </c>
      <c r="B7" s="3">
        <f> IF(A7="","",COUNTIFS(All_closures!$J$2:$J$1005, "&gt;="&amp; EDATE(DATE(2023,6,1), row(B7)),All_closures!$J$2:$J$1005, "&lt;"&amp; EDATE(DATE(2023,7,1), row(B7))))</f>
        <v>6</v>
      </c>
    </row>
    <row r="8">
      <c r="A8" s="1">
        <f t="shared" si="1"/>
        <v>45323</v>
      </c>
      <c r="B8" s="3">
        <f> IF(A8="","",COUNTIFS(All_closures!$J$2:$J$1005, "&gt;="&amp; EDATE(DATE(2023,6,1), row(B8)),All_closures!$J$2:$J$1005, "&lt;"&amp; EDATE(DATE(2023,7,1), row(B8))))</f>
        <v>6</v>
      </c>
    </row>
    <row r="9">
      <c r="A9" s="1">
        <f t="shared" si="1"/>
        <v>45352</v>
      </c>
      <c r="B9" s="3">
        <f> IF(A9="","",COUNTIFS(All_closures!$J$2:$J$1005, "&gt;="&amp; EDATE(DATE(2023,6,1), row(B9)),All_closures!$J$2:$J$1005, "&lt;"&amp; EDATE(DATE(2023,7,1), row(B9))))</f>
        <v>7</v>
      </c>
    </row>
    <row r="10">
      <c r="A10" s="1">
        <f t="shared" si="1"/>
        <v>45383</v>
      </c>
      <c r="B10" s="3">
        <f> IF(A10="","",COUNTIFS(All_closures!$J$2:$J$1005, "&gt;="&amp; EDATE(DATE(2023,6,1), row(B10)),All_closures!$J$2:$J$1005, "&lt;"&amp; EDATE(DATE(2023,7,1), row(B10))))</f>
        <v>10</v>
      </c>
    </row>
    <row r="11">
      <c r="A11" s="1">
        <f t="shared" si="1"/>
        <v>45413</v>
      </c>
      <c r="B11" s="3">
        <f> IF(A11="","",COUNTIFS(All_closures!$J$2:$J$1005, "&gt;="&amp; EDATE(DATE(2023,6,1), row(B11)),All_closures!$J$2:$J$1005, "&lt;"&amp; EDATE(DATE(2023,7,1), row(B11))))</f>
        <v>11</v>
      </c>
    </row>
    <row r="12">
      <c r="A12" s="1">
        <f t="shared" si="1"/>
        <v>45444</v>
      </c>
      <c r="B12" s="3">
        <f> IF(A12="","",COUNTIFS(All_closures!$J$2:$J$1005, "&gt;="&amp; EDATE(DATE(2023,6,1), row(B12)),All_closures!$J$2:$J$1005, "&lt;"&amp; EDATE(DATE(2023,7,1), row(B12))))</f>
        <v>4</v>
      </c>
    </row>
    <row r="13">
      <c r="A13" s="1">
        <f t="shared" si="1"/>
        <v>45474</v>
      </c>
      <c r="B13" s="3">
        <f> IF(A13="","",COUNTIFS(All_closures!$J$2:$J$1005, "&gt;="&amp; EDATE(DATE(2023,6,1), row(B13)),All_closures!$J$2:$J$1005, "&lt;"&amp; EDATE(DATE(2023,7,1), row(B13))))</f>
        <v>3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>
        <f t="shared" ref="A35:A61" si="2">IF(EDATE(DATE(2023,6,1), row(A35))&lt;TODAY(), EDATE(DATE(2023,6,1), Row(A35)), "")</f>
        <v>46143</v>
      </c>
    </row>
    <row r="36">
      <c r="A36" s="1">
        <f t="shared" si="2"/>
        <v>46174</v>
      </c>
    </row>
    <row r="37">
      <c r="A37" s="1">
        <f t="shared" si="2"/>
        <v>46204</v>
      </c>
    </row>
    <row r="38">
      <c r="A38" s="1" t="str">
        <f t="shared" si="2"/>
        <v/>
      </c>
    </row>
    <row r="39">
      <c r="A39" s="1" t="str">
        <f t="shared" si="2"/>
        <v/>
      </c>
    </row>
    <row r="40">
      <c r="A40" s="1" t="str">
        <f t="shared" si="2"/>
        <v/>
      </c>
    </row>
    <row r="41">
      <c r="A41" s="1" t="str">
        <f t="shared" si="2"/>
        <v/>
      </c>
      <c r="B41" s="3" t="str">
        <f> IF(A41="","",COUNTIFS(All_closures!$J$2:$J$1005, "&gt;="&amp; EDATE(DATE(2023,6,1), row(B41)),All_closures!$J$2:$J$1005, "&lt;"&amp; EDATE(DATE(2023,7,1), row(B41))))</f>
        <v/>
      </c>
    </row>
    <row r="42">
      <c r="A42" s="1" t="str">
        <f t="shared" si="2"/>
        <v/>
      </c>
      <c r="B42" s="3" t="str">
        <f> IF(A42="","",COUNTIFS(All_closures!$J$2:$J$1005, "&gt;="&amp; EDATE(DATE(2023,6,1), row(B42)),All_closures!$J$2:$J$1005, "&lt;"&amp; EDATE(DATE(2023,7,1), row(B42))))</f>
        <v/>
      </c>
    </row>
    <row r="43">
      <c r="A43" s="1" t="str">
        <f t="shared" si="2"/>
        <v/>
      </c>
      <c r="B43" s="3" t="str">
        <f> IF(A43="","",COUNTIFS(All_closures!$J$2:$J$1005, "&gt;="&amp; EDATE(DATE(2023,6,1), row(B43)),All_closures!$J$2:$J$1005, "&lt;"&amp; EDATE(DATE(2023,7,1), row(B43))))</f>
        <v/>
      </c>
    </row>
    <row r="44">
      <c r="A44" s="1" t="str">
        <f t="shared" si="2"/>
        <v/>
      </c>
      <c r="B44" s="3" t="str">
        <f> IF(A44="","",COUNTIFS(All_closures!$J$2:$J$1005, "&gt;="&amp; EDATE(DATE(2023,6,1), row(B44)),All_closures!$J$2:$J$1005, "&lt;"&amp; EDATE(DATE(2023,7,1), row(B44))))</f>
        <v/>
      </c>
    </row>
    <row r="45">
      <c r="A45" s="1" t="str">
        <f t="shared" si="2"/>
        <v/>
      </c>
      <c r="B45" s="3" t="str">
        <f> IF(A45="","",COUNTIFS(All_closures!$J$2:$J$1005, "&gt;="&amp; EDATE(DATE(2023,6,1), row(B45)),All_closures!$J$2:$J$1005, "&lt;"&amp; EDATE(DATE(2023,7,1), row(B45))))</f>
        <v/>
      </c>
    </row>
    <row r="46">
      <c r="A46" s="1" t="str">
        <f t="shared" si="2"/>
        <v/>
      </c>
      <c r="B46" s="3" t="str">
        <f> IF(A46="","",COUNTIFS(All_closures!$J$2:$J$1005, "&gt;="&amp; EDATE(DATE(2023,6,1), row(B46)),All_closures!$J$2:$J$1005, "&lt;"&amp; EDATE(DATE(2023,7,1), row(B46))))</f>
        <v/>
      </c>
    </row>
    <row r="47">
      <c r="A47" s="1" t="str">
        <f t="shared" si="2"/>
        <v/>
      </c>
      <c r="B47" s="3" t="str">
        <f> IF(A47="","",COUNTIFS(All_closures!$J$2:$J$1005, "&gt;="&amp; EDATE(DATE(2023,6,1), row(B47)),All_closures!$J$2:$J$1005, "&lt;"&amp; EDATE(DATE(2023,7,1), row(B47))))</f>
        <v/>
      </c>
    </row>
    <row r="48">
      <c r="A48" s="1" t="str">
        <f t="shared" si="2"/>
        <v/>
      </c>
      <c r="B48" s="3" t="str">
        <f> IF(A48="","",COUNTIFS(All_closures!$J$2:$J$1005, "&gt;="&amp; EDATE(DATE(2023,6,1), row(B48)),All_closures!$J$2:$J$1005, "&lt;"&amp; EDATE(DATE(2023,7,1), row(B48))))</f>
        <v/>
      </c>
    </row>
    <row r="49">
      <c r="A49" s="1" t="str">
        <f t="shared" si="2"/>
        <v/>
      </c>
      <c r="B49" s="3" t="str">
        <f> IF(A49="","",COUNTIFS(All_closures!$J$2:$J$1005, "&gt;="&amp; EDATE(DATE(2023,6,1), row(B49)),All_closures!$J$2:$J$1005, "&lt;"&amp; EDATE(DATE(2023,7,1), row(B49))))</f>
        <v/>
      </c>
    </row>
    <row r="50">
      <c r="A50" s="1" t="str">
        <f t="shared" si="2"/>
        <v/>
      </c>
      <c r="B50" s="3" t="str">
        <f> IF(A50="","",COUNTIFS(All_closures!$J$2:$J$1005, "&gt;="&amp; EDATE(DATE(2023,6,1), row(B50)),All_closures!$J$2:$J$1005, "&lt;"&amp; EDATE(DATE(2023,7,1), row(B50))))</f>
        <v/>
      </c>
    </row>
    <row r="51">
      <c r="A51" s="1" t="str">
        <f t="shared" si="2"/>
        <v/>
      </c>
      <c r="B51" s="3" t="str">
        <f> IF(A51="","",COUNTIFS(All_closures!$J$2:$J$1005, "&gt;="&amp; EDATE(DATE(2023,6,1), row(B51)),All_closures!$J$2:$J$1005, "&lt;"&amp; EDATE(DATE(2023,7,1), row(B51))))</f>
        <v/>
      </c>
    </row>
    <row r="52">
      <c r="A52" s="1" t="str">
        <f t="shared" si="2"/>
        <v/>
      </c>
      <c r="B52" s="3" t="str">
        <f> IF(A52="","",COUNTIFS(All_closures!$J$2:$J$1005, "&gt;="&amp; EDATE(DATE(2023,6,1), row(B52)),All_closures!$J$2:$J$1005, "&lt;"&amp; EDATE(DATE(2023,7,1), row(B52))))</f>
        <v/>
      </c>
    </row>
    <row r="53">
      <c r="A53" s="1" t="str">
        <f t="shared" si="2"/>
        <v/>
      </c>
      <c r="B53" s="3" t="str">
        <f> IF(A53="","",COUNTIFS(All_closures!$J$2:$J$1005, "&gt;="&amp; EDATE(DATE(2023,6,1), row(B53)),All_closures!$J$2:$J$1005, "&lt;"&amp; EDATE(DATE(2023,7,1), row(B53))))</f>
        <v/>
      </c>
    </row>
    <row r="54">
      <c r="A54" s="1" t="str">
        <f t="shared" si="2"/>
        <v/>
      </c>
      <c r="B54" s="3" t="str">
        <f> IF(A54="","",COUNTIFS(All_closures!$J$2:$J$1005, "&gt;="&amp; EDATE(DATE(2023,6,1), row(B54)),All_closures!$J$2:$J$1005, "&lt;"&amp; EDATE(DATE(2023,7,1), row(B54))))</f>
        <v/>
      </c>
    </row>
    <row r="55">
      <c r="A55" s="1" t="str">
        <f t="shared" si="2"/>
        <v/>
      </c>
      <c r="B55" s="3" t="str">
        <f> IF(A55="","",COUNTIFS(All_closures!$J$2:$J$1005, "&gt;="&amp; EDATE(DATE(2023,6,1), row(B55)),All_closures!$J$2:$J$1005, "&lt;"&amp; EDATE(DATE(2023,7,1), row(B55))))</f>
        <v/>
      </c>
    </row>
    <row r="56">
      <c r="A56" s="1" t="str">
        <f t="shared" si="2"/>
        <v/>
      </c>
      <c r="B56" s="3" t="str">
        <f> IF(A56="","",COUNTIFS(All_closures!$J$2:$J$1005, "&gt;="&amp; EDATE(DATE(2023,6,1), row(B56)),All_closures!$J$2:$J$1005, "&lt;"&amp; EDATE(DATE(2023,7,1), row(B56))))</f>
        <v/>
      </c>
    </row>
    <row r="57">
      <c r="A57" s="1" t="str">
        <f t="shared" si="2"/>
        <v/>
      </c>
      <c r="B57" s="3" t="str">
        <f> IF(A57="","",COUNTIFS(All_closures!$J$2:$J$1005, "&gt;="&amp; EDATE(DATE(2023,6,1), row(B57)),All_closures!$J$2:$J$1005, "&lt;"&amp; EDATE(DATE(2023,7,1), row(B57))))</f>
        <v/>
      </c>
    </row>
    <row r="58">
      <c r="A58" s="1" t="str">
        <f t="shared" si="2"/>
        <v/>
      </c>
      <c r="B58" s="3" t="str">
        <f> IF(A58="","",COUNTIFS(All_closures!$J$2:$J$1005, "&gt;="&amp; EDATE(DATE(2023,6,1), row(B58)),All_closures!$J$2:$J$1005, "&lt;"&amp; EDATE(DATE(2023,7,1), row(B58))))</f>
        <v/>
      </c>
    </row>
    <row r="59">
      <c r="A59" s="1" t="str">
        <f t="shared" si="2"/>
        <v/>
      </c>
      <c r="B59" s="3" t="str">
        <f> IF(A59="","",COUNTIFS(All_closures!$J$2:$J$1005, "&gt;="&amp; EDATE(DATE(2023,6,1), row(B59)),All_closures!$J$2:$J$1005, "&lt;"&amp; EDATE(DATE(2023,7,1), row(B59))))</f>
        <v/>
      </c>
    </row>
    <row r="60">
      <c r="A60" s="1" t="str">
        <f t="shared" si="2"/>
        <v/>
      </c>
      <c r="B60" s="3" t="str">
        <f> IF(A60="","",COUNTIFS(All_closures!$J$2:$J$1005, "&gt;="&amp; EDATE(DATE(2023,6,1), row(B60)),All_closures!$J$2:$J$1005, "&lt;"&amp; EDATE(DATE(2023,7,1), row(B60))))</f>
        <v/>
      </c>
    </row>
    <row r="61">
      <c r="A61" s="1" t="str">
        <f t="shared" si="2"/>
        <v/>
      </c>
      <c r="B61" s="3" t="str">
        <f> IF(A61="","",COUNTIFS(All_closures!$J$2:$J$1005, "&gt;="&amp; EDATE(DATE(2023,6,1), row(B61)),All_closures!$J$2:$J$1005, "&lt;"&amp; EDATE(DATE(2023,7,1), row(B61))))</f>
        <v/>
      </c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9.0"/>
  </cols>
  <sheetData>
    <row r="1">
      <c r="A1" s="1"/>
      <c r="B1" s="2" t="s">
        <v>0</v>
      </c>
    </row>
    <row r="2">
      <c r="A2" s="1">
        <f t="shared" ref="A2:A27" si="1">IF(EDATE(DATE(2024,6,1), row(A2))&lt;TODAY(), EDATE(DATE(2024,6,1), Row(A2)), "")</f>
        <v>45505</v>
      </c>
      <c r="B2" s="3">
        <f> IF(A2="","",COUNTIFS(All_closures!$J$2:$J$1005, "&gt;="&amp; EDATE(DATE(2024,6,1), row(B2)),All_closures!$J$2:$J$1005, "&lt;"&amp; EDATE(DATE(2024,7,1), row(B2))))</f>
        <v>2</v>
      </c>
    </row>
    <row r="3">
      <c r="A3" s="5">
        <f t="shared" si="1"/>
        <v>45536</v>
      </c>
      <c r="B3" s="3">
        <f> IF(A3="","",COUNTIFS(All_closures!$J$2:$J$1005, "&gt;="&amp; EDATE(DATE(2024,6,1), row(B3)),All_closures!$J$2:$J$1005, "&lt;"&amp; EDATE(DATE(2024,7,1), row(B3))))</f>
        <v>4</v>
      </c>
    </row>
    <row r="4">
      <c r="A4" s="1">
        <f t="shared" si="1"/>
        <v>45566</v>
      </c>
      <c r="B4" s="3">
        <f> IF(A4="","",COUNTIFS(All_closures!$J$2:$J$1005, "&gt;="&amp; EDATE(DATE(2024,6,1), row(B4)),All_closures!$J$2:$J$1005, "&lt;"&amp; EDATE(DATE(2024,7,1), row(B4))))</f>
        <v>1</v>
      </c>
    </row>
    <row r="5">
      <c r="A5" s="1">
        <f t="shared" si="1"/>
        <v>45597</v>
      </c>
      <c r="B5" s="3">
        <f> IF(A5="","",COUNTIFS(All_closures!$J$2:$J$1005, "&gt;="&amp; EDATE(DATE(2024,6,1), row(B5)),All_closures!$J$2:$J$1005, "&lt;"&amp; EDATE(DATE(2024,7,1), row(B5))))</f>
        <v>1</v>
      </c>
    </row>
    <row r="6">
      <c r="A6" s="1">
        <f t="shared" si="1"/>
        <v>45627</v>
      </c>
      <c r="B6" s="3">
        <f> IF(A6="","",COUNTIFS(All_closures!$J$2:$J$1005, "&gt;="&amp; EDATE(DATE(2024,6,1), row(B6)),All_closures!$J$2:$J$1005, "&lt;"&amp; EDATE(DATE(2024,7,1), row(B6))))</f>
        <v>5</v>
      </c>
    </row>
    <row r="7">
      <c r="A7" s="1">
        <f t="shared" si="1"/>
        <v>45658</v>
      </c>
      <c r="B7" s="3">
        <f> IF(A7="","",COUNTIFS(All_closures!$J$2:$J$1005, "&gt;="&amp; EDATE(DATE(2024,6,1), row(B7)),All_closures!$J$2:$J$1005, "&lt;"&amp; EDATE(DATE(2024,7,1), row(B7))))</f>
        <v>9</v>
      </c>
    </row>
    <row r="8">
      <c r="A8" s="1">
        <f t="shared" si="1"/>
        <v>45689</v>
      </c>
      <c r="B8" s="3">
        <f> IF(A8="","",COUNTIFS(All_closures!$J$2:$J$1005, "&gt;="&amp; EDATE(DATE(2024,6,1), row(B8)),All_closures!$J$2:$J$1005, "&lt;"&amp; EDATE(DATE(2024,7,1), row(B8))))</f>
        <v>10</v>
      </c>
    </row>
    <row r="9">
      <c r="A9" s="1">
        <f t="shared" si="1"/>
        <v>45717</v>
      </c>
      <c r="B9" s="3">
        <f> IF(A9="","",COUNTIFS(All_closures!$J$2:$J$1005, "&gt;="&amp; EDATE(DATE(2024,6,1), row(B9)),All_closures!$J$2:$J$1005, "&lt;"&amp; EDATE(DATE(2024,7,1), row(B9))))</f>
        <v>6</v>
      </c>
    </row>
    <row r="10">
      <c r="A10" s="1">
        <f t="shared" si="1"/>
        <v>45748</v>
      </c>
      <c r="B10" s="3">
        <f> IF(A10="","",COUNTIFS(All_closures!$J$2:$J$1005, "&gt;="&amp; EDATE(DATE(2024,6,1), row(B10)),All_closures!$J$2:$J$1005, "&lt;"&amp; EDATE(DATE(2024,7,1), row(B10))))</f>
        <v>5</v>
      </c>
    </row>
    <row r="11">
      <c r="A11" s="1">
        <f t="shared" si="1"/>
        <v>45778</v>
      </c>
      <c r="B11" s="3">
        <f> IF(A11="","",COUNTIFS(All_closures!$J$2:$J$1005, "&gt;="&amp; EDATE(DATE(2024,6,1), row(B11)),All_closures!$J$2:$J$1005, "&lt;"&amp; EDATE(DATE(2024,7,1), row(B11))))</f>
        <v>4</v>
      </c>
    </row>
    <row r="12">
      <c r="A12" s="1">
        <f t="shared" si="1"/>
        <v>45809</v>
      </c>
      <c r="B12" s="3">
        <f> IF(A12="","",COUNTIFS(All_closures!$J$2:$J$1005, "&gt;="&amp; EDATE(DATE(2024,6,1), row(B12)),All_closures!$J$2:$J$1005, "&lt;"&amp; EDATE(DATE(2024,7,1), row(B12))))</f>
        <v>4</v>
      </c>
    </row>
    <row r="13">
      <c r="A13" s="1">
        <f t="shared" si="1"/>
        <v>45839</v>
      </c>
      <c r="B13" s="3">
        <f> IF(A13="","",COUNTIFS(All_closures!$J$2:$J$1005, "&gt;="&amp; EDATE(DATE(2024,6,1), row(B13)),All_closures!$J$2:$J$1005, "&lt;"&amp; EDATE(DATE(2024,7,1), row(B13))))</f>
        <v>1</v>
      </c>
    </row>
    <row r="14">
      <c r="A14" s="1">
        <f t="shared" si="1"/>
        <v>45870</v>
      </c>
      <c r="B14" s="3">
        <f> IF(A14="","",COUNTIFS(All_closures!$J$2:$J$1005, "&gt;="&amp; EDATE(DATE(2024,6,1), row(B14)),All_closures!$J$2:$J$1005, "&lt;"&amp; EDATE(DATE(2024,7,1), row(B14))))</f>
        <v>0</v>
      </c>
    </row>
    <row r="15">
      <c r="A15" s="1">
        <f t="shared" si="1"/>
        <v>45901</v>
      </c>
    </row>
    <row r="16">
      <c r="A16" s="1">
        <f t="shared" si="1"/>
        <v>45931</v>
      </c>
      <c r="B16" s="3">
        <f> IF(A16="","",COUNTIFS(All_closures!$J$2:$J$1005, "&gt;="&amp; EDATE(DATE(2024,6,1), row(B16)),All_closures!$J$2:$J$1005, "&lt;"&amp; EDATE(DATE(2024,7,1), row(B16))))</f>
        <v>2</v>
      </c>
    </row>
    <row r="17">
      <c r="A17" s="1">
        <f t="shared" si="1"/>
        <v>45962</v>
      </c>
      <c r="B17" s="3">
        <f> IF(A17="","",COUNTIFS(All_closures!$J$2:$J$1005, "&gt;="&amp; EDATE(DATE(2024,6,1), row(B17)),All_closures!$J$2:$J$1005, "&lt;"&amp; EDATE(DATE(2024,7,1), row(B17))))</f>
        <v>2</v>
      </c>
    </row>
    <row r="18">
      <c r="A18" s="1">
        <f t="shared" si="1"/>
        <v>45992</v>
      </c>
      <c r="B18" s="3">
        <f> IF(A18="","",COUNTIFS(All_closures!$J$2:$J$1005, "&gt;="&amp; EDATE(DATE(2024,6,1), row(B18)),All_closures!$J$2:$J$1005, "&lt;"&amp; EDATE(DATE(2024,7,1), row(B18))))</f>
        <v>2</v>
      </c>
    </row>
    <row r="19">
      <c r="A19" s="1">
        <f t="shared" si="1"/>
        <v>46023</v>
      </c>
      <c r="B19" s="3">
        <f> IF(A19="","",COUNTIFS(All_closures!$J$2:$J$1005, "&gt;="&amp; EDATE(DATE(2024,6,1), row(B19)),All_closures!$J$2:$J$1005, "&lt;"&amp; EDATE(DATE(2024,7,1), row(B19))))</f>
        <v>11</v>
      </c>
    </row>
    <row r="20">
      <c r="A20" s="1">
        <f t="shared" si="1"/>
        <v>46054</v>
      </c>
      <c r="B20" s="3">
        <f> IF(A20="","",COUNTIFS(All_closures!$J$2:$J$1005, "&gt;="&amp; EDATE(DATE(2024,6,1), row(B20)),All_closures!$J$2:$J$1005, "&lt;"&amp; EDATE(DATE(2024,7,1), row(B20))))</f>
        <v>12</v>
      </c>
    </row>
    <row r="21">
      <c r="A21" s="1">
        <f t="shared" si="1"/>
        <v>46082</v>
      </c>
      <c r="B21" s="3">
        <f> IF(A21="","",COUNTIFS(All_closures!$J$2:$J$1005, "&gt;="&amp; EDATE(DATE(2024,6,1), row(B21)),All_closures!$J$2:$J$1005, "&lt;"&amp; EDATE(DATE(2024,7,1), row(B21))))</f>
        <v>13</v>
      </c>
    </row>
    <row r="22">
      <c r="A22" s="1">
        <f t="shared" si="1"/>
        <v>46113</v>
      </c>
      <c r="B22" s="3">
        <f> IF(A22="","",COUNTIFS(All_closures!$J$2:$J$1005, "&gt;="&amp; EDATE(DATE(2024,6,1), row(B22)),All_closures!$J$2:$J$1005, "&lt;"&amp; EDATE(DATE(2024,7,1), row(B22))))</f>
        <v>1</v>
      </c>
    </row>
    <row r="23">
      <c r="A23" s="1">
        <f t="shared" si="1"/>
        <v>46143</v>
      </c>
      <c r="B23" s="3">
        <f> IF(A23="","",COUNTIFS(All_closures!$J$2:$J$1005, "&gt;="&amp; EDATE(DATE(2024,6,1), row(B23)),All_closures!$J$2:$J$1005, "&lt;"&amp; EDATE(DATE(2024,7,1), row(B23))))</f>
        <v>6</v>
      </c>
    </row>
    <row r="24">
      <c r="A24" s="1">
        <f t="shared" si="1"/>
        <v>46174</v>
      </c>
      <c r="B24" s="3">
        <f> IF(A24="","",COUNTIFS(All_closures!$J$2:$J$1005, "&gt;="&amp; EDATE(DATE(2024,6,1), row(B24)),All_closures!$J$2:$J$1005, "&lt;"&amp; EDATE(DATE(2024,7,1), row(B24))))</f>
        <v>13</v>
      </c>
    </row>
    <row r="25">
      <c r="A25" s="1">
        <f t="shared" si="1"/>
        <v>46204</v>
      </c>
      <c r="B25" s="3">
        <f> IF(A25="","",COUNTIFS(All_closures!$J$2:$J$1005, "&gt;="&amp; EDATE(DATE(2024,6,1), row(B25)),All_closures!$J$2:$J$1005, "&lt;"&amp; EDATE(DATE(2024,7,1), row(B25))))</f>
        <v>4</v>
      </c>
    </row>
    <row r="26">
      <c r="A26" s="1" t="str">
        <f t="shared" si="1"/>
        <v/>
      </c>
      <c r="B26" s="3" t="str">
        <f> IF(A26="","",COUNTIFS(All_closures!$J$2:$J$1005, "&gt;="&amp; EDATE(DATE(2024,6,1), row(B26)),All_closures!$J$2:$J$1005, "&lt;"&amp; EDATE(DATE(2024,7,1), row(B26))))</f>
        <v/>
      </c>
    </row>
    <row r="27">
      <c r="A27" s="1" t="str">
        <f t="shared" si="1"/>
        <v/>
      </c>
      <c r="B27" s="3" t="str">
        <f> IF(A27="","",COUNTIFS(All_closures!$J$2:$J$1005, "&gt;="&amp; EDATE(DATE(2023,6,1), row(B27)),All_closures!$J$2:$J$1005, "&lt;"&amp; EDATE(DATE(2023,7,1), row(B27))))</f>
        <v/>
      </c>
    </row>
    <row r="28">
      <c r="A28" s="1">
        <f t="shared" ref="A28:A61" si="2">IF(EDATE(DATE(2023,6,1), row(A28))&lt;TODAY(), EDATE(DATE(2023,6,1), Row(A28)), "")</f>
        <v>45931</v>
      </c>
      <c r="B28" s="3">
        <f> IF(A28="","",COUNTIFS(All_closures!$J$2:$J$1005, "&gt;="&amp; EDATE(DATE(2023,6,1), row(B28)),All_closures!$J$2:$J$1005, "&lt;"&amp; EDATE(DATE(2023,7,1), row(B28))))</f>
        <v>2</v>
      </c>
    </row>
    <row r="29">
      <c r="A29" s="1">
        <f t="shared" si="2"/>
        <v>45962</v>
      </c>
      <c r="B29" s="3">
        <f> IF(A29="","",COUNTIFS(All_closures!$J$2:$J$1005, "&gt;="&amp; EDATE(DATE(2023,6,1), row(B29)),All_closures!$J$2:$J$1005, "&lt;"&amp; EDATE(DATE(2023,7,1), row(B29))))</f>
        <v>2</v>
      </c>
    </row>
    <row r="30">
      <c r="A30" s="1">
        <f t="shared" si="2"/>
        <v>45992</v>
      </c>
      <c r="B30" s="3">
        <f> IF(A30="","",COUNTIFS(All_closures!$J$2:$J$1005, "&gt;="&amp; EDATE(DATE(2023,6,1), row(B30)),All_closures!$J$2:$J$1005, "&lt;"&amp; EDATE(DATE(2023,7,1), row(B30))))</f>
        <v>2</v>
      </c>
    </row>
    <row r="31">
      <c r="A31" s="1">
        <f t="shared" si="2"/>
        <v>46023</v>
      </c>
      <c r="B31" s="3">
        <f> IF(A31="","",COUNTIFS(All_closures!$J$2:$J$1005, "&gt;="&amp; EDATE(DATE(2023,6,1), row(B31)),All_closures!$J$2:$J$1005, "&lt;"&amp; EDATE(DATE(2023,7,1), row(B31))))</f>
        <v>11</v>
      </c>
    </row>
    <row r="32">
      <c r="A32" s="1">
        <f t="shared" si="2"/>
        <v>46054</v>
      </c>
      <c r="B32" s="3">
        <f> IF(A32="","",COUNTIFS(All_closures!$J$2:$J$1005, "&gt;="&amp; EDATE(DATE(2023,6,1), row(B32)),All_closures!$J$2:$J$1005, "&lt;"&amp; EDATE(DATE(2023,7,1), row(B32))))</f>
        <v>12</v>
      </c>
    </row>
    <row r="33">
      <c r="A33" s="1">
        <f t="shared" si="2"/>
        <v>46082</v>
      </c>
      <c r="B33" s="3">
        <f> IF(A33="","",COUNTIFS(All_closures!$J$2:$J$1005, "&gt;="&amp; EDATE(DATE(2023,6,1), row(B33)),All_closures!$J$2:$J$1005, "&lt;"&amp; EDATE(DATE(2023,7,1), row(B33))))</f>
        <v>13</v>
      </c>
    </row>
    <row r="34">
      <c r="A34" s="1">
        <f t="shared" si="2"/>
        <v>46113</v>
      </c>
      <c r="B34" s="3">
        <f> IF(A34="","",COUNTIFS(All_closures!$J$2:$J$1005, "&gt;="&amp; EDATE(DATE(2023,6,1), row(B34)),All_closures!$J$2:$J$1005, "&lt;"&amp; EDATE(DATE(2023,7,1), row(B34))))</f>
        <v>1</v>
      </c>
    </row>
    <row r="35">
      <c r="A35" s="1">
        <f t="shared" si="2"/>
        <v>46143</v>
      </c>
      <c r="B35" s="3">
        <f> IF(A35="","",COUNTIFS(All_closures!$J$2:$J$1005, "&gt;="&amp; EDATE(DATE(2023,6,1), row(B35)),All_closures!$J$2:$J$1005, "&lt;"&amp; EDATE(DATE(2023,7,1), row(B35))))</f>
        <v>6</v>
      </c>
    </row>
    <row r="36">
      <c r="A36" s="1">
        <f t="shared" si="2"/>
        <v>46174</v>
      </c>
      <c r="B36" s="3">
        <f> IF(A36="","",COUNTIFS(All_closures!$J$2:$J$1005, "&gt;="&amp; EDATE(DATE(2023,6,1), row(B36)),All_closures!$J$2:$J$1005, "&lt;"&amp; EDATE(DATE(2023,7,1), row(B36))))</f>
        <v>13</v>
      </c>
    </row>
    <row r="37">
      <c r="A37" s="1">
        <f t="shared" si="2"/>
        <v>46204</v>
      </c>
      <c r="B37" s="3">
        <f> IF(A37="","",COUNTIFS(All_closures!$J$2:$J$1005, "&gt;="&amp; EDATE(DATE(2023,6,1), row(B37)),All_closures!$J$2:$J$1005, "&lt;"&amp; EDATE(DATE(2023,7,1), row(B37))))</f>
        <v>4</v>
      </c>
    </row>
    <row r="38">
      <c r="A38" s="1" t="str">
        <f t="shared" si="2"/>
        <v/>
      </c>
      <c r="B38" s="3" t="str">
        <f> IF(A38="","",COUNTIFS(All_closures!$J$2:$J$1005, "&gt;="&amp; EDATE(DATE(2023,6,1), row(B38)),All_closures!$J$2:$J$1005, "&lt;"&amp; EDATE(DATE(2023,7,1), row(B38))))</f>
        <v/>
      </c>
    </row>
    <row r="39">
      <c r="A39" s="1" t="str">
        <f t="shared" si="2"/>
        <v/>
      </c>
      <c r="B39" s="3" t="str">
        <f> IF(A39="","",COUNTIFS(All_closures!$J$2:$J$1005, "&gt;="&amp; EDATE(DATE(2023,6,1), row(B39)),All_closures!$J$2:$J$1005, "&lt;"&amp; EDATE(DATE(2023,7,1), row(B39))))</f>
        <v/>
      </c>
    </row>
    <row r="40">
      <c r="A40" s="1" t="str">
        <f t="shared" si="2"/>
        <v/>
      </c>
      <c r="B40" s="3" t="str">
        <f> IF(A40="","",COUNTIFS(All_closures!$J$2:$J$1005, "&gt;="&amp; EDATE(DATE(2023,6,1), row(B40)),All_closures!$J$2:$J$1005, "&lt;"&amp; EDATE(DATE(2023,7,1), row(B40))))</f>
        <v/>
      </c>
    </row>
    <row r="41">
      <c r="A41" s="1" t="str">
        <f t="shared" si="2"/>
        <v/>
      </c>
      <c r="B41" s="3" t="str">
        <f> IF(A41="","",COUNTIFS(All_closures!$J$2:$J$1005, "&gt;="&amp; EDATE(DATE(2023,6,1), row(B41)),All_closures!$J$2:$J$1005, "&lt;"&amp; EDATE(DATE(2023,7,1), row(B41))))</f>
        <v/>
      </c>
    </row>
    <row r="42">
      <c r="A42" s="1" t="str">
        <f t="shared" si="2"/>
        <v/>
      </c>
      <c r="B42" s="3" t="str">
        <f> IF(A42="","",COUNTIFS(All_closures!$J$2:$J$1005, "&gt;="&amp; EDATE(DATE(2023,6,1), row(B42)),All_closures!$J$2:$J$1005, "&lt;"&amp; EDATE(DATE(2023,7,1), row(B42))))</f>
        <v/>
      </c>
    </row>
    <row r="43">
      <c r="A43" s="1" t="str">
        <f t="shared" si="2"/>
        <v/>
      </c>
      <c r="B43" s="3" t="str">
        <f> IF(A43="","",COUNTIFS(All_closures!$J$2:$J$1005, "&gt;="&amp; EDATE(DATE(2023,6,1), row(B43)),All_closures!$J$2:$J$1005, "&lt;"&amp; EDATE(DATE(2023,7,1), row(B43))))</f>
        <v/>
      </c>
    </row>
    <row r="44">
      <c r="A44" s="1" t="str">
        <f t="shared" si="2"/>
        <v/>
      </c>
      <c r="B44" s="3" t="str">
        <f> IF(A44="","",COUNTIFS(All_closures!$J$2:$J$1005, "&gt;="&amp; EDATE(DATE(2023,6,1), row(B44)),All_closures!$J$2:$J$1005, "&lt;"&amp; EDATE(DATE(2023,7,1), row(B44))))</f>
        <v/>
      </c>
    </row>
    <row r="45">
      <c r="A45" s="1" t="str">
        <f t="shared" si="2"/>
        <v/>
      </c>
      <c r="B45" s="3" t="str">
        <f> IF(A45="","",COUNTIFS(All_closures!$J$2:$J$1005, "&gt;="&amp; EDATE(DATE(2023,6,1), row(B45)),All_closures!$J$2:$J$1005, "&lt;"&amp; EDATE(DATE(2023,7,1), row(B45))))</f>
        <v/>
      </c>
    </row>
    <row r="46">
      <c r="A46" s="1" t="str">
        <f t="shared" si="2"/>
        <v/>
      </c>
      <c r="B46" s="3" t="str">
        <f> IF(A46="","",COUNTIFS(All_closures!$J$2:$J$1005, "&gt;="&amp; EDATE(DATE(2023,6,1), row(B46)),All_closures!$J$2:$J$1005, "&lt;"&amp; EDATE(DATE(2023,7,1), row(B46))))</f>
        <v/>
      </c>
    </row>
    <row r="47">
      <c r="A47" s="1" t="str">
        <f t="shared" si="2"/>
        <v/>
      </c>
      <c r="B47" s="3" t="str">
        <f> IF(A47="","",COUNTIFS(All_closures!$J$2:$J$1005, "&gt;="&amp; EDATE(DATE(2023,6,1), row(B47)),All_closures!$J$2:$J$1005, "&lt;"&amp; EDATE(DATE(2023,7,1), row(B47))))</f>
        <v/>
      </c>
    </row>
    <row r="48">
      <c r="A48" s="1" t="str">
        <f t="shared" si="2"/>
        <v/>
      </c>
      <c r="B48" s="3" t="str">
        <f> IF(A48="","",COUNTIFS(All_closures!$J$2:$J$1005, "&gt;="&amp; EDATE(DATE(2023,6,1), row(B48)),All_closures!$J$2:$J$1005, "&lt;"&amp; EDATE(DATE(2023,7,1), row(B48))))</f>
        <v/>
      </c>
    </row>
    <row r="49">
      <c r="A49" s="1" t="str">
        <f t="shared" si="2"/>
        <v/>
      </c>
      <c r="B49" s="3" t="str">
        <f> IF(A49="","",COUNTIFS(All_closures!$J$2:$J$1005, "&gt;="&amp; EDATE(DATE(2023,6,1), row(B49)),All_closures!$J$2:$J$1005, "&lt;"&amp; EDATE(DATE(2023,7,1), row(B49))))</f>
        <v/>
      </c>
    </row>
    <row r="50">
      <c r="A50" s="1" t="str">
        <f t="shared" si="2"/>
        <v/>
      </c>
      <c r="B50" s="3" t="str">
        <f> IF(A50="","",COUNTIFS(All_closures!$J$2:$J$1005, "&gt;="&amp; EDATE(DATE(2023,6,1), row(B50)),All_closures!$J$2:$J$1005, "&lt;"&amp; EDATE(DATE(2023,7,1), row(B50))))</f>
        <v/>
      </c>
    </row>
    <row r="51">
      <c r="A51" s="1" t="str">
        <f t="shared" si="2"/>
        <v/>
      </c>
      <c r="B51" s="3" t="str">
        <f> IF(A51="","",COUNTIFS(All_closures!$J$2:$J$1005, "&gt;="&amp; EDATE(DATE(2023,6,1), row(B51)),All_closures!$J$2:$J$1005, "&lt;"&amp; EDATE(DATE(2023,7,1), row(B51))))</f>
        <v/>
      </c>
    </row>
    <row r="52">
      <c r="A52" s="1" t="str">
        <f t="shared" si="2"/>
        <v/>
      </c>
      <c r="B52" s="3" t="str">
        <f> IF(A52="","",COUNTIFS(All_closures!$J$2:$J$1005, "&gt;="&amp; EDATE(DATE(2023,6,1), row(B52)),All_closures!$J$2:$J$1005, "&lt;"&amp; EDATE(DATE(2023,7,1), row(B52))))</f>
        <v/>
      </c>
    </row>
    <row r="53">
      <c r="A53" s="1" t="str">
        <f t="shared" si="2"/>
        <v/>
      </c>
      <c r="B53" s="3" t="str">
        <f> IF(A53="","",COUNTIFS(All_closures!$J$2:$J$1005, "&gt;="&amp; EDATE(DATE(2023,6,1), row(B53)),All_closures!$J$2:$J$1005, "&lt;"&amp; EDATE(DATE(2023,7,1), row(B53))))</f>
        <v/>
      </c>
    </row>
    <row r="54">
      <c r="A54" s="1" t="str">
        <f t="shared" si="2"/>
        <v/>
      </c>
      <c r="B54" s="3" t="str">
        <f> IF(A54="","",COUNTIFS(All_closures!$J$2:$J$1005, "&gt;="&amp; EDATE(DATE(2023,6,1), row(B54)),All_closures!$J$2:$J$1005, "&lt;"&amp; EDATE(DATE(2023,7,1), row(B54))))</f>
        <v/>
      </c>
    </row>
    <row r="55">
      <c r="A55" s="1" t="str">
        <f t="shared" si="2"/>
        <v/>
      </c>
      <c r="B55" s="3" t="str">
        <f> IF(A55="","",COUNTIFS(All_closures!$J$2:$J$1005, "&gt;="&amp; EDATE(DATE(2023,6,1), row(B55)),All_closures!$J$2:$J$1005, "&lt;"&amp; EDATE(DATE(2023,7,1), row(B55))))</f>
        <v/>
      </c>
    </row>
    <row r="56">
      <c r="A56" s="1" t="str">
        <f t="shared" si="2"/>
        <v/>
      </c>
      <c r="B56" s="3" t="str">
        <f> IF(A56="","",COUNTIFS(All_closures!$J$2:$J$1005, "&gt;="&amp; EDATE(DATE(2023,6,1), row(B56)),All_closures!$J$2:$J$1005, "&lt;"&amp; EDATE(DATE(2023,7,1), row(B56))))</f>
        <v/>
      </c>
    </row>
    <row r="57">
      <c r="A57" s="1" t="str">
        <f t="shared" si="2"/>
        <v/>
      </c>
      <c r="B57" s="3" t="str">
        <f> IF(A57="","",COUNTIFS(All_closures!$J$2:$J$1005, "&gt;="&amp; EDATE(DATE(2023,6,1), row(B57)),All_closures!$J$2:$J$1005, "&lt;"&amp; EDATE(DATE(2023,7,1), row(B57))))</f>
        <v/>
      </c>
    </row>
    <row r="58">
      <c r="A58" s="1" t="str">
        <f t="shared" si="2"/>
        <v/>
      </c>
      <c r="B58" s="3" t="str">
        <f> IF(A58="","",COUNTIFS(All_closures!$J$2:$J$1005, "&gt;="&amp; EDATE(DATE(2023,6,1), row(B58)),All_closures!$J$2:$J$1005, "&lt;"&amp; EDATE(DATE(2023,7,1), row(B58))))</f>
        <v/>
      </c>
    </row>
    <row r="59">
      <c r="A59" s="1" t="str">
        <f t="shared" si="2"/>
        <v/>
      </c>
      <c r="B59" s="3" t="str">
        <f> IF(A59="","",COUNTIFS(All_closures!$J$2:$J$1005, "&gt;="&amp; EDATE(DATE(2023,6,1), row(B59)),All_closures!$J$2:$J$1005, "&lt;"&amp; EDATE(DATE(2023,7,1), row(B59))))</f>
        <v/>
      </c>
    </row>
    <row r="60">
      <c r="A60" s="1" t="str">
        <f t="shared" si="2"/>
        <v/>
      </c>
      <c r="B60" s="3" t="str">
        <f> IF(A60="","",COUNTIFS(All_closures!$J$2:$J$1005, "&gt;="&amp; EDATE(DATE(2023,6,1), row(B60)),All_closures!$J$2:$J$1005, "&lt;"&amp; EDATE(DATE(2023,7,1), row(B60))))</f>
        <v/>
      </c>
    </row>
    <row r="61">
      <c r="A61" s="1" t="str">
        <f t="shared" si="2"/>
        <v/>
      </c>
      <c r="B61" s="3" t="str">
        <f> IF(A61="","",COUNTIFS(All_closures!$J$2:$J$1005, "&gt;="&amp; EDATE(DATE(2023,6,1), row(B61)),All_closures!$J$2:$J$1005, "&lt;"&amp; EDATE(DATE(2023,7,1), row(B61))))</f>
        <v/>
      </c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0.63"/>
    <col customWidth="1" min="3" max="3" width="16.13"/>
    <col customWidth="1" min="4" max="4" width="13.13"/>
    <col customWidth="1" min="5" max="5" width="7.75"/>
    <col customWidth="1" min="6" max="6" width="11.5"/>
    <col customWidth="1" min="7" max="7" width="17.5"/>
    <col customWidth="1" min="8" max="8" width="12.0"/>
    <col customWidth="1" min="9" max="9" width="11.25"/>
    <col customWidth="1" min="10" max="10" width="11.88"/>
    <col customWidth="1" min="11" max="11" width="19.63"/>
    <col customWidth="1" min="12" max="12" width="16.38"/>
    <col customWidth="1" min="13" max="13" width="14.5"/>
    <col customWidth="1" min="14" max="14" width="10.5"/>
    <col customWidth="1" min="15" max="15" width="7.75"/>
    <col customWidth="1" min="16" max="16" width="17.75"/>
    <col customWidth="1" min="17" max="17" width="17.0"/>
    <col customWidth="1" min="18" max="30" width="7.75"/>
  </cols>
  <sheetData>
    <row r="1">
      <c r="A1" s="6"/>
      <c r="B1" s="7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7" t="s">
        <v>7</v>
      </c>
      <c r="I1" s="11" t="s">
        <v>8</v>
      </c>
      <c r="J1" s="7" t="s">
        <v>9</v>
      </c>
      <c r="K1" s="7" t="s">
        <v>10</v>
      </c>
      <c r="L1" s="12" t="s">
        <v>11</v>
      </c>
      <c r="M1" s="13" t="s">
        <v>12</v>
      </c>
      <c r="N1" s="7" t="s">
        <v>13</v>
      </c>
      <c r="O1" s="7" t="s">
        <v>2</v>
      </c>
      <c r="P1" s="14" t="s">
        <v>14</v>
      </c>
      <c r="Q1" s="15" t="s">
        <v>15</v>
      </c>
      <c r="R1" s="14" t="s">
        <v>16</v>
      </c>
      <c r="S1" s="16" t="s">
        <v>17</v>
      </c>
      <c r="T1" s="17"/>
      <c r="U1" s="18"/>
      <c r="V1" s="18"/>
      <c r="W1" s="18"/>
      <c r="X1" s="18"/>
      <c r="Y1" s="18"/>
      <c r="Z1" s="12"/>
      <c r="AA1" s="17"/>
      <c r="AB1" s="17"/>
      <c r="AC1" s="17"/>
      <c r="AD1" s="17"/>
    </row>
    <row r="2">
      <c r="A2" s="19">
        <f t="shared" ref="A2:A329" si="1">row()-1</f>
        <v>1</v>
      </c>
      <c r="B2" s="20" t="s">
        <v>18</v>
      </c>
      <c r="C2" s="21" t="s">
        <v>19</v>
      </c>
      <c r="D2" s="20" t="s">
        <v>20</v>
      </c>
      <c r="E2" s="20" t="s">
        <v>21</v>
      </c>
      <c r="F2" s="20" t="s">
        <v>22</v>
      </c>
      <c r="G2" s="20" t="s">
        <v>23</v>
      </c>
      <c r="H2" s="22">
        <v>43556.0</v>
      </c>
      <c r="I2" s="20" t="s">
        <v>24</v>
      </c>
      <c r="J2" s="20"/>
      <c r="K2" s="21" t="s">
        <v>25</v>
      </c>
      <c r="L2" s="20"/>
      <c r="M2" s="23">
        <v>57500.0</v>
      </c>
      <c r="N2" s="24"/>
      <c r="O2" s="21" t="s">
        <v>26</v>
      </c>
      <c r="P2" s="25" t="s">
        <v>27</v>
      </c>
      <c r="Q2" s="26">
        <v>107689.0</v>
      </c>
      <c r="R2" s="20">
        <v>2021.0</v>
      </c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>
      <c r="A3" s="19">
        <f t="shared" si="1"/>
        <v>2</v>
      </c>
      <c r="B3" s="28" t="s">
        <v>28</v>
      </c>
      <c r="C3" s="29" t="s">
        <v>29</v>
      </c>
      <c r="D3" s="28" t="s">
        <v>30</v>
      </c>
      <c r="E3" s="28" t="s">
        <v>31</v>
      </c>
      <c r="F3" s="20" t="s">
        <v>32</v>
      </c>
      <c r="G3" s="20" t="s">
        <v>33</v>
      </c>
      <c r="H3" s="30">
        <v>43900.0</v>
      </c>
      <c r="I3" s="31" t="s">
        <v>34</v>
      </c>
      <c r="J3" s="32">
        <v>100.0</v>
      </c>
      <c r="K3" s="33" t="s">
        <v>35</v>
      </c>
      <c r="L3" s="28"/>
      <c r="M3" s="23">
        <v>700.0</v>
      </c>
      <c r="N3" s="20" t="s">
        <v>36</v>
      </c>
      <c r="O3" s="21" t="s">
        <v>37</v>
      </c>
      <c r="P3" s="20" t="s">
        <v>38</v>
      </c>
      <c r="Q3" s="26">
        <v>100474.0</v>
      </c>
      <c r="R3" s="20">
        <v>2020.0</v>
      </c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>
      <c r="A4" s="19">
        <f t="shared" si="1"/>
        <v>3</v>
      </c>
      <c r="B4" s="28" t="s">
        <v>39</v>
      </c>
      <c r="C4" s="34" t="s">
        <v>40</v>
      </c>
      <c r="D4" s="28" t="s">
        <v>41</v>
      </c>
      <c r="E4" s="28" t="s">
        <v>42</v>
      </c>
      <c r="F4" s="20" t="s">
        <v>43</v>
      </c>
      <c r="G4" s="20" t="s">
        <v>33</v>
      </c>
      <c r="H4" s="30">
        <v>43959.0</v>
      </c>
      <c r="I4" s="31" t="s">
        <v>34</v>
      </c>
      <c r="J4" s="32"/>
      <c r="K4" s="21" t="s">
        <v>44</v>
      </c>
      <c r="L4" s="28" t="s">
        <v>45</v>
      </c>
      <c r="M4" s="23">
        <v>4350.0</v>
      </c>
      <c r="N4" s="20" t="s">
        <v>46</v>
      </c>
      <c r="O4" s="29" t="s">
        <v>47</v>
      </c>
      <c r="P4" s="20" t="s">
        <v>48</v>
      </c>
      <c r="Q4" s="26">
        <v>91800.0</v>
      </c>
      <c r="R4" s="20">
        <v>2020.0</v>
      </c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>
      <c r="A5" s="19">
        <f t="shared" si="1"/>
        <v>4</v>
      </c>
      <c r="B5" s="28" t="s">
        <v>49</v>
      </c>
      <c r="C5" s="34" t="s">
        <v>50</v>
      </c>
      <c r="D5" s="28" t="s">
        <v>51</v>
      </c>
      <c r="E5" s="28" t="s">
        <v>52</v>
      </c>
      <c r="F5" s="20" t="s">
        <v>22</v>
      </c>
      <c r="G5" s="20" t="s">
        <v>33</v>
      </c>
      <c r="H5" s="30">
        <v>43963.0</v>
      </c>
      <c r="I5" s="31" t="s">
        <v>53</v>
      </c>
      <c r="J5" s="32">
        <v>160.0</v>
      </c>
      <c r="K5" s="21" t="s">
        <v>54</v>
      </c>
      <c r="L5" s="27"/>
      <c r="M5" s="35">
        <v>7500.0</v>
      </c>
      <c r="N5" s="27"/>
      <c r="O5" s="34" t="s">
        <v>55</v>
      </c>
      <c r="P5" s="20" t="s">
        <v>56</v>
      </c>
      <c r="Q5" s="26">
        <v>48986.0</v>
      </c>
      <c r="R5" s="20">
        <v>2020.0</v>
      </c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>
      <c r="A6" s="19">
        <f t="shared" si="1"/>
        <v>5</v>
      </c>
      <c r="B6" s="36" t="s">
        <v>57</v>
      </c>
      <c r="C6" s="34" t="s">
        <v>58</v>
      </c>
      <c r="D6" s="28" t="s">
        <v>59</v>
      </c>
      <c r="E6" s="28" t="s">
        <v>21</v>
      </c>
      <c r="F6" s="20" t="s">
        <v>22</v>
      </c>
      <c r="G6" s="20" t="s">
        <v>23</v>
      </c>
      <c r="H6" s="30">
        <v>43965.0</v>
      </c>
      <c r="I6" s="31" t="s">
        <v>53</v>
      </c>
      <c r="J6" s="31">
        <v>850.0</v>
      </c>
      <c r="K6" s="21" t="s">
        <v>60</v>
      </c>
      <c r="L6" s="27"/>
      <c r="M6" s="35">
        <v>22470.0</v>
      </c>
      <c r="N6" s="27"/>
      <c r="O6" s="34" t="s">
        <v>61</v>
      </c>
      <c r="P6" s="20" t="s">
        <v>62</v>
      </c>
      <c r="Q6" s="26">
        <v>52839.0</v>
      </c>
      <c r="R6" s="20">
        <v>2020.0</v>
      </c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>
      <c r="A7" s="19">
        <f t="shared" si="1"/>
        <v>6</v>
      </c>
      <c r="B7" s="36" t="s">
        <v>63</v>
      </c>
      <c r="C7" s="37" t="s">
        <v>64</v>
      </c>
      <c r="D7" s="36" t="s">
        <v>65</v>
      </c>
      <c r="E7" s="36" t="s">
        <v>66</v>
      </c>
      <c r="F7" s="20" t="s">
        <v>67</v>
      </c>
      <c r="G7" s="20" t="s">
        <v>68</v>
      </c>
      <c r="H7" s="38">
        <v>43970.0</v>
      </c>
      <c r="I7" s="31" t="s">
        <v>53</v>
      </c>
      <c r="J7" s="32"/>
      <c r="K7" s="33" t="s">
        <v>69</v>
      </c>
      <c r="L7" s="28"/>
      <c r="M7" s="23">
        <v>2880.0</v>
      </c>
      <c r="N7" s="20" t="s">
        <v>70</v>
      </c>
      <c r="O7" s="21" t="s">
        <v>71</v>
      </c>
      <c r="P7" s="39" t="s">
        <v>72</v>
      </c>
      <c r="Q7" s="26">
        <v>71238.0</v>
      </c>
      <c r="R7" s="20">
        <v>2020.0</v>
      </c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>
      <c r="A8" s="19">
        <f t="shared" si="1"/>
        <v>7</v>
      </c>
      <c r="B8" s="36" t="s">
        <v>73</v>
      </c>
      <c r="C8" s="34" t="s">
        <v>74</v>
      </c>
      <c r="D8" s="36" t="s">
        <v>75</v>
      </c>
      <c r="E8" s="28" t="s">
        <v>76</v>
      </c>
      <c r="F8" s="20" t="s">
        <v>43</v>
      </c>
      <c r="G8" s="20" t="s">
        <v>23</v>
      </c>
      <c r="H8" s="30">
        <v>43979.0</v>
      </c>
      <c r="I8" s="31" t="s">
        <v>53</v>
      </c>
      <c r="J8" s="32">
        <v>150.0</v>
      </c>
      <c r="K8" s="21" t="s">
        <v>77</v>
      </c>
      <c r="L8" s="20" t="s">
        <v>78</v>
      </c>
      <c r="M8" s="35">
        <v>48000.0</v>
      </c>
      <c r="N8" s="27"/>
      <c r="O8" s="34" t="s">
        <v>74</v>
      </c>
      <c r="P8" s="20" t="s">
        <v>79</v>
      </c>
      <c r="Q8" s="26">
        <v>268819.0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>
      <c r="A9" s="19">
        <f t="shared" si="1"/>
        <v>8</v>
      </c>
      <c r="B9" s="36" t="s">
        <v>80</v>
      </c>
      <c r="C9" s="37" t="s">
        <v>81</v>
      </c>
      <c r="D9" s="36" t="s">
        <v>82</v>
      </c>
      <c r="E9" s="36" t="s">
        <v>83</v>
      </c>
      <c r="F9" s="20" t="s">
        <v>43</v>
      </c>
      <c r="G9" s="20" t="s">
        <v>23</v>
      </c>
      <c r="H9" s="38">
        <v>43999.0</v>
      </c>
      <c r="I9" s="31" t="s">
        <v>53</v>
      </c>
      <c r="J9" s="31">
        <v>60.0</v>
      </c>
      <c r="K9" s="33" t="s">
        <v>84</v>
      </c>
      <c r="L9" s="28"/>
      <c r="M9" s="23">
        <v>54150.0</v>
      </c>
      <c r="N9" s="40" t="s">
        <v>85</v>
      </c>
      <c r="O9" s="41" t="s">
        <v>86</v>
      </c>
      <c r="P9" s="39" t="s">
        <v>87</v>
      </c>
      <c r="Q9" s="26">
        <v>181357.0</v>
      </c>
      <c r="R9" s="20">
        <v>2020.0</v>
      </c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>
      <c r="A10" s="19">
        <f t="shared" si="1"/>
        <v>9</v>
      </c>
      <c r="B10" s="36" t="s">
        <v>88</v>
      </c>
      <c r="C10" s="21" t="s">
        <v>89</v>
      </c>
      <c r="D10" s="42" t="s">
        <v>90</v>
      </c>
      <c r="E10" s="42" t="s">
        <v>91</v>
      </c>
      <c r="F10" s="20" t="s">
        <v>43</v>
      </c>
      <c r="G10" s="20" t="s">
        <v>33</v>
      </c>
      <c r="H10" s="43">
        <v>43999.0</v>
      </c>
      <c r="I10" s="25" t="s">
        <v>53</v>
      </c>
      <c r="J10" s="32"/>
      <c r="K10" s="33" t="s">
        <v>92</v>
      </c>
      <c r="L10" s="42" t="s">
        <v>93</v>
      </c>
      <c r="M10" s="23">
        <v>4945.0</v>
      </c>
      <c r="N10" s="20" t="s">
        <v>94</v>
      </c>
      <c r="O10" s="21" t="s">
        <v>95</v>
      </c>
      <c r="P10" s="20" t="s">
        <v>96</v>
      </c>
      <c r="Q10" s="26">
        <v>88277.0</v>
      </c>
      <c r="R10" s="20">
        <v>2020.0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>
      <c r="A11" s="19">
        <f t="shared" si="1"/>
        <v>10</v>
      </c>
      <c r="B11" s="36" t="s">
        <v>97</v>
      </c>
      <c r="C11" s="44" t="s">
        <v>98</v>
      </c>
      <c r="D11" s="25" t="s">
        <v>99</v>
      </c>
      <c r="E11" s="25" t="s">
        <v>100</v>
      </c>
      <c r="F11" s="20" t="s">
        <v>43</v>
      </c>
      <c r="G11" s="20" t="s">
        <v>33</v>
      </c>
      <c r="H11" s="38">
        <v>44089.0</v>
      </c>
      <c r="I11" s="25" t="s">
        <v>53</v>
      </c>
      <c r="J11" s="31">
        <v>150.0</v>
      </c>
      <c r="K11" s="45" t="s">
        <v>101</v>
      </c>
      <c r="L11" s="36" t="s">
        <v>102</v>
      </c>
      <c r="M11" s="23">
        <v>11000.0</v>
      </c>
      <c r="N11" s="24"/>
      <c r="O11" s="20"/>
      <c r="P11" s="25" t="s">
        <v>103</v>
      </c>
      <c r="Q11" s="46">
        <v>119663.0</v>
      </c>
      <c r="R11" s="25">
        <v>2020.0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>
      <c r="A12" s="19">
        <f t="shared" si="1"/>
        <v>11</v>
      </c>
      <c r="B12" s="36" t="s">
        <v>104</v>
      </c>
      <c r="C12" s="37" t="s">
        <v>105</v>
      </c>
      <c r="D12" s="36" t="s">
        <v>106</v>
      </c>
      <c r="E12" s="36" t="s">
        <v>107</v>
      </c>
      <c r="F12" s="20" t="s">
        <v>67</v>
      </c>
      <c r="G12" s="20" t="s">
        <v>23</v>
      </c>
      <c r="H12" s="38">
        <v>44095.0</v>
      </c>
      <c r="I12" s="31" t="s">
        <v>53</v>
      </c>
      <c r="J12" s="31">
        <v>12.0</v>
      </c>
      <c r="K12" s="47" t="s">
        <v>108</v>
      </c>
      <c r="L12" s="28"/>
      <c r="M12" s="23">
        <v>7900.0</v>
      </c>
      <c r="N12" s="24" t="s">
        <v>109</v>
      </c>
      <c r="O12" s="21" t="s">
        <v>110</v>
      </c>
      <c r="P12" s="20" t="s">
        <v>111</v>
      </c>
      <c r="Q12" s="48">
        <v>97776.0</v>
      </c>
      <c r="R12" s="20">
        <v>2020.0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>
      <c r="A13" s="19">
        <f t="shared" si="1"/>
        <v>12</v>
      </c>
      <c r="B13" s="36" t="s">
        <v>112</v>
      </c>
      <c r="C13" s="49" t="s">
        <v>113</v>
      </c>
      <c r="D13" s="36" t="s">
        <v>114</v>
      </c>
      <c r="E13" s="36" t="s">
        <v>115</v>
      </c>
      <c r="F13" s="20" t="s">
        <v>32</v>
      </c>
      <c r="G13" s="20" t="s">
        <v>23</v>
      </c>
      <c r="H13" s="38">
        <v>44209.0</v>
      </c>
      <c r="I13" s="31" t="s">
        <v>34</v>
      </c>
      <c r="J13" s="32"/>
      <c r="K13" s="33" t="s">
        <v>116</v>
      </c>
      <c r="L13" s="28"/>
      <c r="M13" s="23">
        <v>12500.0</v>
      </c>
      <c r="N13" s="20"/>
      <c r="O13" s="21" t="s">
        <v>117</v>
      </c>
      <c r="P13" s="50" t="s">
        <v>118</v>
      </c>
      <c r="Q13" s="48">
        <v>75291.0</v>
      </c>
      <c r="R13" s="20">
        <v>2020.0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>
      <c r="A14" s="19">
        <f t="shared" si="1"/>
        <v>13</v>
      </c>
      <c r="B14" s="51" t="s">
        <v>119</v>
      </c>
      <c r="C14" s="37" t="s">
        <v>120</v>
      </c>
      <c r="D14" s="36" t="s">
        <v>121</v>
      </c>
      <c r="E14" s="36" t="s">
        <v>122</v>
      </c>
      <c r="F14" s="20" t="s">
        <v>32</v>
      </c>
      <c r="G14" s="20" t="s">
        <v>23</v>
      </c>
      <c r="H14" s="38">
        <v>44222.0</v>
      </c>
      <c r="I14" s="31" t="s">
        <v>24</v>
      </c>
      <c r="J14" s="32"/>
      <c r="K14" s="33" t="s">
        <v>123</v>
      </c>
      <c r="L14" s="36" t="s">
        <v>124</v>
      </c>
      <c r="M14" s="23">
        <v>12000.0</v>
      </c>
      <c r="N14" s="20"/>
      <c r="O14" s="52" t="s">
        <v>120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>
      <c r="A15" s="19">
        <f t="shared" si="1"/>
        <v>14</v>
      </c>
      <c r="B15" s="20" t="s">
        <v>125</v>
      </c>
      <c r="C15" s="21" t="s">
        <v>126</v>
      </c>
      <c r="D15" s="20" t="s">
        <v>127</v>
      </c>
      <c r="E15" s="20" t="s">
        <v>31</v>
      </c>
      <c r="F15" s="20" t="s">
        <v>32</v>
      </c>
      <c r="G15" s="20" t="s">
        <v>23</v>
      </c>
      <c r="H15" s="22">
        <v>44265.0</v>
      </c>
      <c r="I15" s="20" t="s">
        <v>34</v>
      </c>
      <c r="J15" s="27"/>
      <c r="K15" s="21" t="s">
        <v>128</v>
      </c>
      <c r="L15" s="27"/>
      <c r="M15" s="35"/>
      <c r="N15" s="27"/>
      <c r="O15" s="27"/>
      <c r="P15" s="20" t="s">
        <v>129</v>
      </c>
      <c r="Q15" s="26">
        <v>73582.0</v>
      </c>
      <c r="R15" s="20">
        <v>2020.0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>
      <c r="A16" s="19">
        <f t="shared" si="1"/>
        <v>15</v>
      </c>
      <c r="B16" s="20" t="s">
        <v>130</v>
      </c>
      <c r="C16" s="21" t="s">
        <v>131</v>
      </c>
      <c r="D16" s="20" t="s">
        <v>132</v>
      </c>
      <c r="E16" s="20" t="s">
        <v>133</v>
      </c>
      <c r="F16" s="20" t="s">
        <v>32</v>
      </c>
      <c r="G16" s="20" t="s">
        <v>33</v>
      </c>
      <c r="H16" s="22">
        <v>44271.0</v>
      </c>
      <c r="I16" s="20" t="s">
        <v>34</v>
      </c>
      <c r="J16" s="20">
        <v>25.0</v>
      </c>
      <c r="K16" s="21" t="s">
        <v>134</v>
      </c>
      <c r="L16" s="27"/>
      <c r="M16" s="23">
        <v>8500.0</v>
      </c>
      <c r="N16" s="27"/>
      <c r="O16" s="21" t="s">
        <v>134</v>
      </c>
      <c r="P16" s="20" t="s">
        <v>135</v>
      </c>
      <c r="Q16" s="26">
        <v>105672.0</v>
      </c>
      <c r="R16" s="20">
        <v>2020.0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>
      <c r="A17" s="19">
        <f t="shared" si="1"/>
        <v>16</v>
      </c>
      <c r="B17" s="20" t="s">
        <v>136</v>
      </c>
      <c r="C17" s="41" t="s">
        <v>137</v>
      </c>
      <c r="D17" s="20" t="s">
        <v>138</v>
      </c>
      <c r="E17" s="20" t="s">
        <v>21</v>
      </c>
      <c r="F17" s="20" t="s">
        <v>22</v>
      </c>
      <c r="G17" s="20"/>
      <c r="H17" s="22">
        <v>44284.0</v>
      </c>
      <c r="I17" s="20" t="s">
        <v>34</v>
      </c>
      <c r="J17" s="27"/>
      <c r="K17" s="27"/>
      <c r="L17" s="27"/>
      <c r="M17" s="35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>
      <c r="A18" s="19">
        <f t="shared" si="1"/>
        <v>17</v>
      </c>
      <c r="B18" s="20" t="s">
        <v>139</v>
      </c>
      <c r="C18" s="41" t="s">
        <v>140</v>
      </c>
      <c r="D18" s="20" t="s">
        <v>141</v>
      </c>
      <c r="E18" s="20" t="s">
        <v>142</v>
      </c>
      <c r="F18" s="20" t="s">
        <v>67</v>
      </c>
      <c r="G18" s="20" t="s">
        <v>23</v>
      </c>
      <c r="H18" s="22">
        <v>44291.0</v>
      </c>
      <c r="I18" s="20" t="s">
        <v>34</v>
      </c>
      <c r="J18" s="27"/>
      <c r="K18" s="21" t="s">
        <v>143</v>
      </c>
      <c r="L18" s="27"/>
      <c r="M18" s="23">
        <v>7700.0</v>
      </c>
      <c r="N18" s="20" t="s">
        <v>144</v>
      </c>
      <c r="O18" s="21" t="s">
        <v>145</v>
      </c>
      <c r="P18" s="20" t="s">
        <v>146</v>
      </c>
      <c r="Q18" s="26">
        <v>91665.0</v>
      </c>
      <c r="R18" s="20">
        <v>2020.0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>
      <c r="A19" s="19">
        <f t="shared" si="1"/>
        <v>18</v>
      </c>
      <c r="B19" s="20" t="s">
        <v>147</v>
      </c>
      <c r="C19" s="21" t="s">
        <v>148</v>
      </c>
      <c r="D19" s="20" t="s">
        <v>149</v>
      </c>
      <c r="E19" s="20" t="s">
        <v>31</v>
      </c>
      <c r="F19" s="20" t="s">
        <v>32</v>
      </c>
      <c r="G19" s="20" t="s">
        <v>23</v>
      </c>
      <c r="H19" s="22">
        <v>44291.0</v>
      </c>
      <c r="I19" s="20" t="s">
        <v>24</v>
      </c>
      <c r="J19" s="20"/>
      <c r="K19" s="21" t="s">
        <v>150</v>
      </c>
      <c r="L19" s="20" t="s">
        <v>151</v>
      </c>
      <c r="M19" s="23">
        <v>5400.0</v>
      </c>
      <c r="N19" s="20" t="s">
        <v>152</v>
      </c>
      <c r="O19" s="21" t="s">
        <v>153</v>
      </c>
      <c r="P19" s="25" t="s">
        <v>154</v>
      </c>
      <c r="Q19" s="26">
        <v>97566.0</v>
      </c>
      <c r="R19" s="20">
        <v>2021.0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>
      <c r="A20" s="19">
        <f t="shared" si="1"/>
        <v>19</v>
      </c>
      <c r="B20" s="20" t="s">
        <v>155</v>
      </c>
      <c r="C20" s="21" t="s">
        <v>156</v>
      </c>
      <c r="D20" s="20" t="s">
        <v>157</v>
      </c>
      <c r="E20" s="20" t="s">
        <v>115</v>
      </c>
      <c r="F20" s="20" t="s">
        <v>32</v>
      </c>
      <c r="G20" s="20" t="s">
        <v>23</v>
      </c>
      <c r="H20" s="22">
        <v>44292.0</v>
      </c>
      <c r="I20" s="20" t="s">
        <v>34</v>
      </c>
      <c r="J20" s="27"/>
      <c r="K20" s="21" t="s">
        <v>158</v>
      </c>
      <c r="L20" s="27"/>
      <c r="M20" s="23">
        <v>28500.0</v>
      </c>
      <c r="N20" s="20"/>
      <c r="O20" s="21" t="s">
        <v>159</v>
      </c>
      <c r="P20" s="20" t="s">
        <v>160</v>
      </c>
      <c r="Q20" s="20" t="s">
        <v>161</v>
      </c>
      <c r="R20" s="20">
        <v>2020.0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>
      <c r="A21" s="19">
        <f t="shared" si="1"/>
        <v>20</v>
      </c>
      <c r="B21" s="20" t="s">
        <v>162</v>
      </c>
      <c r="C21" s="21" t="s">
        <v>163</v>
      </c>
      <c r="D21" s="20" t="s">
        <v>164</v>
      </c>
      <c r="E21" s="20" t="s">
        <v>165</v>
      </c>
      <c r="F21" s="20" t="s">
        <v>22</v>
      </c>
      <c r="G21" s="20" t="s">
        <v>68</v>
      </c>
      <c r="H21" s="22">
        <v>44296.0</v>
      </c>
      <c r="I21" s="20" t="s">
        <v>34</v>
      </c>
      <c r="J21" s="20">
        <v>144.0</v>
      </c>
      <c r="K21" s="21" t="s">
        <v>166</v>
      </c>
      <c r="L21" s="20"/>
      <c r="M21" s="35"/>
      <c r="N21" s="52"/>
      <c r="O21" s="52" t="s">
        <v>167</v>
      </c>
      <c r="P21" s="20" t="s">
        <v>168</v>
      </c>
      <c r="Q21" s="26">
        <v>72237.0</v>
      </c>
      <c r="R21" s="20">
        <v>2020.0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>
      <c r="A22" s="19">
        <f t="shared" si="1"/>
        <v>21</v>
      </c>
      <c r="B22" s="20" t="s">
        <v>169</v>
      </c>
      <c r="C22" s="21" t="s">
        <v>170</v>
      </c>
      <c r="D22" s="20" t="s">
        <v>171</v>
      </c>
      <c r="E22" s="20" t="s">
        <v>31</v>
      </c>
      <c r="F22" s="20" t="s">
        <v>32</v>
      </c>
      <c r="G22" s="20" t="s">
        <v>23</v>
      </c>
      <c r="H22" s="22">
        <v>44314.0</v>
      </c>
      <c r="I22" s="20" t="s">
        <v>172</v>
      </c>
      <c r="J22" s="27"/>
      <c r="K22" s="21" t="s">
        <v>173</v>
      </c>
      <c r="L22" s="20" t="s">
        <v>174</v>
      </c>
      <c r="M22" s="23">
        <v>6000.0</v>
      </c>
      <c r="N22" s="20"/>
      <c r="O22" s="21" t="s">
        <v>173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19">
        <f t="shared" si="1"/>
        <v>22</v>
      </c>
      <c r="B23" s="20" t="s">
        <v>175</v>
      </c>
      <c r="C23" s="21" t="s">
        <v>176</v>
      </c>
      <c r="D23" s="20" t="s">
        <v>177</v>
      </c>
      <c r="E23" s="20" t="s">
        <v>100</v>
      </c>
      <c r="F23" s="20" t="s">
        <v>43</v>
      </c>
      <c r="G23" s="20" t="s">
        <v>23</v>
      </c>
      <c r="H23" s="22">
        <v>44320.0</v>
      </c>
      <c r="I23" s="20" t="s">
        <v>34</v>
      </c>
      <c r="J23" s="20" t="s">
        <v>178</v>
      </c>
      <c r="K23" s="21" t="s">
        <v>179</v>
      </c>
      <c r="L23" s="27"/>
      <c r="M23" s="23">
        <v>19500.0</v>
      </c>
      <c r="N23" s="24"/>
      <c r="O23" s="21" t="s">
        <v>180</v>
      </c>
      <c r="P23" s="20" t="s">
        <v>181</v>
      </c>
      <c r="Q23" s="26">
        <v>152395.0</v>
      </c>
      <c r="R23" s="20">
        <v>2020.0</v>
      </c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19">
        <f t="shared" si="1"/>
        <v>23</v>
      </c>
      <c r="B24" s="20" t="s">
        <v>182</v>
      </c>
      <c r="C24" s="21" t="s">
        <v>183</v>
      </c>
      <c r="D24" s="20" t="s">
        <v>184</v>
      </c>
      <c r="E24" s="20" t="s">
        <v>91</v>
      </c>
      <c r="F24" s="20" t="s">
        <v>43</v>
      </c>
      <c r="G24" s="20" t="s">
        <v>33</v>
      </c>
      <c r="H24" s="22">
        <v>44335.0</v>
      </c>
      <c r="I24" s="20" t="s">
        <v>34</v>
      </c>
      <c r="J24" s="20"/>
      <c r="K24" s="53" t="s">
        <v>185</v>
      </c>
      <c r="L24" s="27"/>
      <c r="M24" s="23"/>
      <c r="N24" s="20"/>
      <c r="O24" s="20"/>
      <c r="P24" s="20" t="s">
        <v>186</v>
      </c>
      <c r="Q24" s="26">
        <v>93081.0</v>
      </c>
      <c r="R24" s="20">
        <v>2020.0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>
      <c r="A25" s="19">
        <f t="shared" si="1"/>
        <v>24</v>
      </c>
      <c r="B25" s="20" t="s">
        <v>187</v>
      </c>
      <c r="C25" s="21" t="s">
        <v>188</v>
      </c>
      <c r="D25" s="20" t="s">
        <v>189</v>
      </c>
      <c r="E25" s="20" t="s">
        <v>21</v>
      </c>
      <c r="F25" s="20" t="s">
        <v>22</v>
      </c>
      <c r="G25" s="20" t="s">
        <v>23</v>
      </c>
      <c r="H25" s="22">
        <v>44342.0</v>
      </c>
      <c r="I25" s="20" t="s">
        <v>34</v>
      </c>
      <c r="J25" s="20">
        <v>16.0</v>
      </c>
      <c r="K25" s="21" t="s">
        <v>190</v>
      </c>
      <c r="L25" s="27"/>
      <c r="M25" s="23">
        <v>16000.0</v>
      </c>
      <c r="N25" s="20" t="s">
        <v>191</v>
      </c>
      <c r="O25" s="21" t="s">
        <v>192</v>
      </c>
      <c r="P25" s="20" t="s">
        <v>193</v>
      </c>
      <c r="Q25" s="26">
        <v>156963.0</v>
      </c>
      <c r="R25" s="20">
        <v>2020.0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19">
        <f t="shared" si="1"/>
        <v>25</v>
      </c>
      <c r="B26" s="20" t="s">
        <v>194</v>
      </c>
      <c r="C26" s="21" t="s">
        <v>195</v>
      </c>
      <c r="D26" s="20" t="s">
        <v>196</v>
      </c>
      <c r="E26" s="20" t="s">
        <v>197</v>
      </c>
      <c r="F26" s="20" t="s">
        <v>67</v>
      </c>
      <c r="G26" s="20" t="s">
        <v>68</v>
      </c>
      <c r="H26" s="22">
        <v>44348.0</v>
      </c>
      <c r="I26" s="27"/>
      <c r="J26" s="20" t="s">
        <v>198</v>
      </c>
      <c r="K26" s="52" t="s">
        <v>199</v>
      </c>
      <c r="L26" s="27"/>
      <c r="M26" s="23">
        <v>6750.0</v>
      </c>
      <c r="N26" s="24" t="s">
        <v>200</v>
      </c>
      <c r="O26" s="52" t="s">
        <v>195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>
      <c r="A27" s="19">
        <f t="shared" si="1"/>
        <v>26</v>
      </c>
      <c r="B27" s="20" t="s">
        <v>201</v>
      </c>
      <c r="C27" s="21" t="s">
        <v>195</v>
      </c>
      <c r="D27" s="20" t="s">
        <v>196</v>
      </c>
      <c r="E27" s="20" t="s">
        <v>197</v>
      </c>
      <c r="F27" s="20" t="s">
        <v>67</v>
      </c>
      <c r="G27" s="20" t="s">
        <v>23</v>
      </c>
      <c r="H27" s="22">
        <v>44348.0</v>
      </c>
      <c r="I27" s="27"/>
      <c r="J27" s="20" t="s">
        <v>202</v>
      </c>
      <c r="K27" s="53" t="s">
        <v>203</v>
      </c>
      <c r="L27" s="27"/>
      <c r="M27" s="23">
        <v>7000.0</v>
      </c>
      <c r="N27" s="27"/>
      <c r="O27" s="27"/>
      <c r="P27" s="20" t="s">
        <v>204</v>
      </c>
      <c r="Q27" s="26">
        <v>25313.0</v>
      </c>
      <c r="R27" s="20">
        <v>2020.0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>
      <c r="A28" s="19">
        <f t="shared" si="1"/>
        <v>27</v>
      </c>
      <c r="B28" s="20" t="s">
        <v>205</v>
      </c>
      <c r="C28" s="21" t="s">
        <v>206</v>
      </c>
      <c r="D28" s="20" t="s">
        <v>207</v>
      </c>
      <c r="E28" s="20" t="s">
        <v>83</v>
      </c>
      <c r="F28" s="20" t="s">
        <v>43</v>
      </c>
      <c r="G28" s="20" t="s">
        <v>33</v>
      </c>
      <c r="H28" s="22">
        <v>44348.0</v>
      </c>
      <c r="I28" s="20" t="s">
        <v>34</v>
      </c>
      <c r="J28" s="20" t="s">
        <v>208</v>
      </c>
      <c r="K28" s="21" t="s">
        <v>209</v>
      </c>
      <c r="L28" s="27"/>
      <c r="M28" s="23">
        <v>14750.0</v>
      </c>
      <c r="N28" s="27"/>
      <c r="O28" s="27"/>
      <c r="P28" s="20" t="s">
        <v>210</v>
      </c>
      <c r="Q28" s="26">
        <v>123020.0</v>
      </c>
      <c r="R28" s="20">
        <v>2020.0</v>
      </c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19">
        <f t="shared" si="1"/>
        <v>28</v>
      </c>
      <c r="B29" s="20" t="s">
        <v>211</v>
      </c>
      <c r="C29" s="21" t="s">
        <v>212</v>
      </c>
      <c r="D29" s="20" t="s">
        <v>213</v>
      </c>
      <c r="E29" s="20" t="s">
        <v>83</v>
      </c>
      <c r="F29" s="20" t="s">
        <v>43</v>
      </c>
      <c r="G29" s="20" t="s">
        <v>23</v>
      </c>
      <c r="H29" s="22">
        <v>44349.0</v>
      </c>
      <c r="I29" s="20" t="s">
        <v>34</v>
      </c>
      <c r="J29" s="20" t="s">
        <v>214</v>
      </c>
      <c r="K29" s="21" t="s">
        <v>215</v>
      </c>
      <c r="L29" s="27"/>
      <c r="M29" s="35"/>
      <c r="N29" s="20" t="s">
        <v>216</v>
      </c>
      <c r="O29" s="21" t="s">
        <v>215</v>
      </c>
      <c r="P29" s="20" t="s">
        <v>217</v>
      </c>
      <c r="Q29" s="26">
        <v>41723.0</v>
      </c>
      <c r="R29" s="20">
        <v>2020.0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>
      <c r="A30" s="19">
        <f t="shared" si="1"/>
        <v>29</v>
      </c>
      <c r="B30" s="20" t="s">
        <v>218</v>
      </c>
      <c r="C30" s="21" t="s">
        <v>219</v>
      </c>
      <c r="D30" s="20" t="s">
        <v>220</v>
      </c>
      <c r="E30" s="20" t="s">
        <v>66</v>
      </c>
      <c r="F30" s="20" t="s">
        <v>67</v>
      </c>
      <c r="G30" s="20" t="s">
        <v>68</v>
      </c>
      <c r="H30" s="22">
        <v>44354.0</v>
      </c>
      <c r="I30" s="20" t="s">
        <v>34</v>
      </c>
      <c r="J30" s="27"/>
      <c r="K30" s="27"/>
      <c r="L30" s="27"/>
      <c r="M30" s="35"/>
      <c r="N30" s="20" t="s">
        <v>221</v>
      </c>
      <c r="O30" s="21" t="s">
        <v>222</v>
      </c>
      <c r="P30" s="20" t="s">
        <v>223</v>
      </c>
      <c r="Q30" s="26">
        <v>41083.0</v>
      </c>
      <c r="R30" s="20">
        <v>2020.0</v>
      </c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>
      <c r="A31" s="19">
        <f t="shared" si="1"/>
        <v>30</v>
      </c>
      <c r="B31" s="20" t="s">
        <v>224</v>
      </c>
      <c r="C31" s="21" t="s">
        <v>225</v>
      </c>
      <c r="D31" s="20" t="s">
        <v>226</v>
      </c>
      <c r="E31" s="20" t="s">
        <v>115</v>
      </c>
      <c r="F31" s="20" t="s">
        <v>32</v>
      </c>
      <c r="G31" s="20" t="s">
        <v>23</v>
      </c>
      <c r="H31" s="22">
        <v>44354.0</v>
      </c>
      <c r="I31" s="20" t="s">
        <v>34</v>
      </c>
      <c r="J31" s="27"/>
      <c r="K31" s="27"/>
      <c r="L31" s="20" t="s">
        <v>227</v>
      </c>
      <c r="M31" s="23">
        <v>0.0</v>
      </c>
      <c r="N31" s="20" t="s">
        <v>228</v>
      </c>
      <c r="O31" s="21" t="s">
        <v>229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>
      <c r="A32" s="19">
        <f t="shared" si="1"/>
        <v>31</v>
      </c>
      <c r="B32" s="20" t="s">
        <v>230</v>
      </c>
      <c r="C32" s="21" t="s">
        <v>231</v>
      </c>
      <c r="D32" s="20" t="s">
        <v>232</v>
      </c>
      <c r="E32" s="20" t="s">
        <v>115</v>
      </c>
      <c r="F32" s="20" t="s">
        <v>32</v>
      </c>
      <c r="G32" s="20" t="s">
        <v>68</v>
      </c>
      <c r="H32" s="22">
        <v>44357.0</v>
      </c>
      <c r="I32" s="20" t="s">
        <v>34</v>
      </c>
      <c r="J32" s="27"/>
      <c r="K32" s="27"/>
      <c r="L32" s="27"/>
      <c r="M32" s="23">
        <v>17000.0</v>
      </c>
      <c r="N32" s="27"/>
      <c r="O32" s="27"/>
      <c r="P32" s="20" t="s">
        <v>233</v>
      </c>
      <c r="Q32" s="26">
        <v>209779.0</v>
      </c>
      <c r="R32" s="20">
        <v>2020.0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>
      <c r="A33" s="19">
        <f t="shared" si="1"/>
        <v>32</v>
      </c>
      <c r="B33" s="20" t="s">
        <v>234</v>
      </c>
      <c r="C33" s="21" t="s">
        <v>235</v>
      </c>
      <c r="D33" s="20" t="s">
        <v>236</v>
      </c>
      <c r="E33" s="20" t="s">
        <v>42</v>
      </c>
      <c r="F33" s="20" t="s">
        <v>43</v>
      </c>
      <c r="G33" s="20" t="s">
        <v>237</v>
      </c>
      <c r="H33" s="22">
        <v>44358.0</v>
      </c>
      <c r="I33" s="20" t="s">
        <v>34</v>
      </c>
      <c r="J33" s="20" t="s">
        <v>238</v>
      </c>
      <c r="K33" s="21" t="s">
        <v>239</v>
      </c>
      <c r="L33" s="24" t="s">
        <v>240</v>
      </c>
      <c r="M33" s="23">
        <v>47000.0</v>
      </c>
      <c r="N33" s="20"/>
      <c r="O33" s="21" t="s">
        <v>241</v>
      </c>
      <c r="P33" s="20" t="s">
        <v>242</v>
      </c>
      <c r="Q33" s="26">
        <v>122440.0</v>
      </c>
      <c r="R33" s="20">
        <v>2020.0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>
      <c r="A34" s="19">
        <f t="shared" si="1"/>
        <v>33</v>
      </c>
      <c r="B34" s="20" t="s">
        <v>243</v>
      </c>
      <c r="C34" s="21" t="s">
        <v>244</v>
      </c>
      <c r="D34" s="20" t="s">
        <v>245</v>
      </c>
      <c r="E34" s="20" t="s">
        <v>246</v>
      </c>
      <c r="F34" s="20" t="s">
        <v>67</v>
      </c>
      <c r="G34" s="20" t="s">
        <v>68</v>
      </c>
      <c r="H34" s="22">
        <v>44358.0</v>
      </c>
      <c r="I34" s="20" t="s">
        <v>34</v>
      </c>
      <c r="J34" s="20" t="s">
        <v>247</v>
      </c>
      <c r="K34" s="52" t="s">
        <v>248</v>
      </c>
      <c r="L34" s="27"/>
      <c r="M34" s="23">
        <v>6630.0</v>
      </c>
      <c r="N34" s="52"/>
      <c r="O34" s="52" t="s">
        <v>249</v>
      </c>
      <c r="P34" s="20" t="s">
        <v>250</v>
      </c>
      <c r="Q34" s="26">
        <v>58103.0</v>
      </c>
      <c r="R34" s="20">
        <v>2020.0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>
      <c r="A35" s="19">
        <f t="shared" si="1"/>
        <v>34</v>
      </c>
      <c r="B35" s="20" t="s">
        <v>251</v>
      </c>
      <c r="C35" s="21" t="s">
        <v>252</v>
      </c>
      <c r="D35" s="20" t="s">
        <v>253</v>
      </c>
      <c r="E35" s="20" t="s">
        <v>122</v>
      </c>
      <c r="F35" s="20" t="s">
        <v>32</v>
      </c>
      <c r="G35" s="20" t="s">
        <v>23</v>
      </c>
      <c r="H35" s="22">
        <v>44362.0</v>
      </c>
      <c r="I35" s="20" t="s">
        <v>34</v>
      </c>
      <c r="J35" s="27"/>
      <c r="K35" s="21" t="s">
        <v>254</v>
      </c>
      <c r="L35" s="27"/>
      <c r="M35" s="23">
        <v>8700.0</v>
      </c>
      <c r="N35" s="20"/>
      <c r="O35" s="21" t="s">
        <v>255</v>
      </c>
      <c r="P35" s="54" t="s">
        <v>256</v>
      </c>
      <c r="Q35" s="26">
        <v>84688.0</v>
      </c>
      <c r="R35" s="20">
        <v>2020.0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>
      <c r="A36" s="19">
        <f t="shared" si="1"/>
        <v>35</v>
      </c>
      <c r="B36" s="20" t="s">
        <v>257</v>
      </c>
      <c r="C36" s="21" t="s">
        <v>258</v>
      </c>
      <c r="D36" s="20" t="s">
        <v>259</v>
      </c>
      <c r="E36" s="20" t="s">
        <v>260</v>
      </c>
      <c r="F36" s="20" t="s">
        <v>32</v>
      </c>
      <c r="G36" s="20" t="s">
        <v>23</v>
      </c>
      <c r="H36" s="22">
        <v>44369.0</v>
      </c>
      <c r="I36" s="20" t="s">
        <v>34</v>
      </c>
      <c r="J36" s="27"/>
      <c r="K36" s="21" t="s">
        <v>261</v>
      </c>
      <c r="L36" s="27"/>
      <c r="M36" s="23">
        <v>7500.0</v>
      </c>
      <c r="N36" s="20"/>
      <c r="O36" s="21" t="s">
        <v>262</v>
      </c>
      <c r="P36" s="20" t="s">
        <v>263</v>
      </c>
      <c r="Q36" s="26">
        <v>27447.0</v>
      </c>
      <c r="R36" s="20">
        <v>2020.0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>
      <c r="A37" s="19">
        <f t="shared" si="1"/>
        <v>36</v>
      </c>
      <c r="B37" s="20" t="s">
        <v>264</v>
      </c>
      <c r="C37" s="21" t="s">
        <v>265</v>
      </c>
      <c r="D37" s="20" t="s">
        <v>266</v>
      </c>
      <c r="E37" s="20" t="s">
        <v>76</v>
      </c>
      <c r="F37" s="20" t="s">
        <v>43</v>
      </c>
      <c r="G37" s="20" t="s">
        <v>23</v>
      </c>
      <c r="H37" s="22">
        <v>44370.0</v>
      </c>
      <c r="I37" s="20" t="s">
        <v>34</v>
      </c>
      <c r="J37" s="20">
        <v>36.0</v>
      </c>
      <c r="K37" s="21" t="s">
        <v>267</v>
      </c>
      <c r="L37" s="27"/>
      <c r="M37" s="23">
        <v>9000.0</v>
      </c>
      <c r="N37" s="20" t="s">
        <v>268</v>
      </c>
      <c r="O37" s="53" t="s">
        <v>269</v>
      </c>
      <c r="P37" s="20" t="s">
        <v>270</v>
      </c>
      <c r="Q37" s="26">
        <v>70264.0</v>
      </c>
      <c r="R37" s="20">
        <v>2020.0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>
      <c r="A38" s="19">
        <f t="shared" si="1"/>
        <v>37</v>
      </c>
      <c r="B38" s="20" t="s">
        <v>271</v>
      </c>
      <c r="C38" s="21" t="s">
        <v>272</v>
      </c>
      <c r="D38" s="20" t="s">
        <v>273</v>
      </c>
      <c r="E38" s="20" t="s">
        <v>76</v>
      </c>
      <c r="F38" s="20" t="s">
        <v>43</v>
      </c>
      <c r="G38" s="20" t="s">
        <v>33</v>
      </c>
      <c r="H38" s="22">
        <v>44370.0</v>
      </c>
      <c r="I38" s="20" t="s">
        <v>34</v>
      </c>
      <c r="J38" s="27"/>
      <c r="K38" s="21" t="s">
        <v>274</v>
      </c>
      <c r="L38" s="27"/>
      <c r="M38" s="23">
        <v>4000.0</v>
      </c>
      <c r="N38" s="20"/>
      <c r="O38" s="21" t="s">
        <v>275</v>
      </c>
      <c r="P38" s="20" t="s">
        <v>276</v>
      </c>
      <c r="Q38" s="26">
        <v>83093.0</v>
      </c>
      <c r="R38" s="20">
        <v>2020.0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>
      <c r="A39" s="19">
        <f t="shared" si="1"/>
        <v>38</v>
      </c>
      <c r="B39" s="39" t="s">
        <v>277</v>
      </c>
      <c r="C39" s="21" t="s">
        <v>278</v>
      </c>
      <c r="D39" s="20" t="s">
        <v>220</v>
      </c>
      <c r="E39" s="20" t="s">
        <v>66</v>
      </c>
      <c r="F39" s="20" t="s">
        <v>67</v>
      </c>
      <c r="G39" s="20" t="s">
        <v>23</v>
      </c>
      <c r="H39" s="22">
        <v>44384.0</v>
      </c>
      <c r="I39" s="20" t="s">
        <v>34</v>
      </c>
      <c r="J39" s="27"/>
      <c r="K39" s="21" t="s">
        <v>279</v>
      </c>
      <c r="L39" s="27"/>
      <c r="M39" s="23">
        <v>1406.0</v>
      </c>
      <c r="N39" s="20" t="s">
        <v>280</v>
      </c>
      <c r="O39" s="21" t="s">
        <v>281</v>
      </c>
      <c r="P39" s="20" t="s">
        <v>282</v>
      </c>
      <c r="Q39" s="26">
        <v>68446.0</v>
      </c>
      <c r="R39" s="20">
        <v>2020.0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>
      <c r="A40" s="19">
        <f t="shared" si="1"/>
        <v>39</v>
      </c>
      <c r="B40" s="39" t="s">
        <v>283</v>
      </c>
      <c r="C40" s="21" t="s">
        <v>284</v>
      </c>
      <c r="D40" s="20" t="s">
        <v>285</v>
      </c>
      <c r="E40" s="20" t="s">
        <v>286</v>
      </c>
      <c r="F40" s="20" t="s">
        <v>32</v>
      </c>
      <c r="G40" s="20" t="s">
        <v>23</v>
      </c>
      <c r="H40" s="22">
        <v>44402.0</v>
      </c>
      <c r="I40" s="20" t="s">
        <v>34</v>
      </c>
      <c r="J40" s="20" t="s">
        <v>287</v>
      </c>
      <c r="K40" s="21" t="s">
        <v>288</v>
      </c>
      <c r="L40" s="27"/>
      <c r="M40" s="23">
        <v>9125.0</v>
      </c>
      <c r="N40" s="20" t="s">
        <v>289</v>
      </c>
      <c r="O40" s="21" t="s">
        <v>290</v>
      </c>
      <c r="P40" s="20" t="s">
        <v>291</v>
      </c>
      <c r="Q40" s="26">
        <v>78190.0</v>
      </c>
      <c r="R40" s="20">
        <v>2020.0</v>
      </c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>
      <c r="A41" s="19">
        <f t="shared" si="1"/>
        <v>40</v>
      </c>
      <c r="B41" s="39" t="s">
        <v>292</v>
      </c>
      <c r="C41" s="21" t="s">
        <v>293</v>
      </c>
      <c r="D41" s="20" t="s">
        <v>294</v>
      </c>
      <c r="E41" s="20" t="s">
        <v>133</v>
      </c>
      <c r="F41" s="20" t="s">
        <v>32</v>
      </c>
      <c r="G41" s="20" t="s">
        <v>23</v>
      </c>
      <c r="H41" s="22">
        <v>44404.0</v>
      </c>
      <c r="I41" s="20" t="s">
        <v>34</v>
      </c>
      <c r="J41" s="27"/>
      <c r="K41" s="21" t="s">
        <v>295</v>
      </c>
      <c r="L41" s="27"/>
      <c r="M41" s="23">
        <v>0.0</v>
      </c>
      <c r="N41" s="24" t="s">
        <v>296</v>
      </c>
      <c r="O41" s="21" t="s">
        <v>295</v>
      </c>
      <c r="P41" s="20" t="s">
        <v>297</v>
      </c>
      <c r="Q41" s="26">
        <v>47757.0</v>
      </c>
      <c r="R41" s="20">
        <v>2020.0</v>
      </c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>
      <c r="A42" s="19">
        <f t="shared" si="1"/>
        <v>41</v>
      </c>
      <c r="B42" s="39" t="s">
        <v>298</v>
      </c>
      <c r="C42" s="21" t="s">
        <v>299</v>
      </c>
      <c r="D42" s="20" t="s">
        <v>300</v>
      </c>
      <c r="E42" s="20" t="s">
        <v>133</v>
      </c>
      <c r="F42" s="20" t="s">
        <v>32</v>
      </c>
      <c r="G42" s="20" t="s">
        <v>33</v>
      </c>
      <c r="H42" s="22">
        <v>44415.0</v>
      </c>
      <c r="I42" s="20" t="s">
        <v>34</v>
      </c>
      <c r="J42" s="20" t="s">
        <v>301</v>
      </c>
      <c r="K42" s="21" t="s">
        <v>302</v>
      </c>
      <c r="L42" s="27"/>
      <c r="M42" s="23">
        <v>6000.0</v>
      </c>
      <c r="N42" s="20"/>
      <c r="O42" s="21" t="s">
        <v>303</v>
      </c>
      <c r="P42" s="20" t="s">
        <v>304</v>
      </c>
      <c r="Q42" s="26">
        <v>18793.0</v>
      </c>
      <c r="R42" s="20">
        <v>2020.0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>
      <c r="A43" s="19">
        <f t="shared" si="1"/>
        <v>42</v>
      </c>
      <c r="B43" s="20" t="s">
        <v>305</v>
      </c>
      <c r="C43" s="21" t="s">
        <v>306</v>
      </c>
      <c r="D43" s="27"/>
      <c r="E43" s="20" t="s">
        <v>307</v>
      </c>
      <c r="F43" s="20" t="s">
        <v>22</v>
      </c>
      <c r="G43" s="20" t="s">
        <v>23</v>
      </c>
      <c r="H43" s="22">
        <v>44416.0</v>
      </c>
      <c r="I43" s="20" t="s">
        <v>34</v>
      </c>
      <c r="J43" s="27"/>
      <c r="K43" s="52" t="s">
        <v>308</v>
      </c>
      <c r="L43" s="20" t="s">
        <v>309</v>
      </c>
      <c r="M43" s="23">
        <v>1990.0</v>
      </c>
      <c r="N43" s="20" t="s">
        <v>310</v>
      </c>
      <c r="O43" s="21" t="s">
        <v>311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>
      <c r="A44" s="19">
        <f t="shared" si="1"/>
        <v>43</v>
      </c>
      <c r="B44" s="20" t="s">
        <v>312</v>
      </c>
      <c r="C44" s="21" t="s">
        <v>313</v>
      </c>
      <c r="D44" s="20" t="s">
        <v>314</v>
      </c>
      <c r="E44" s="20" t="s">
        <v>83</v>
      </c>
      <c r="F44" s="20" t="s">
        <v>43</v>
      </c>
      <c r="G44" s="20" t="s">
        <v>23</v>
      </c>
      <c r="H44" s="22">
        <v>44419.0</v>
      </c>
      <c r="I44" s="20" t="s">
        <v>34</v>
      </c>
      <c r="J44" s="27"/>
      <c r="K44" s="21" t="s">
        <v>315</v>
      </c>
      <c r="L44" s="27"/>
      <c r="M44" s="23">
        <v>19800.0</v>
      </c>
      <c r="N44" s="27"/>
      <c r="O44" s="21" t="s">
        <v>316</v>
      </c>
      <c r="P44" s="20" t="s">
        <v>317</v>
      </c>
      <c r="Q44" s="26">
        <v>225397.0</v>
      </c>
      <c r="R44" s="20">
        <v>2020.0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>
      <c r="A45" s="19">
        <f t="shared" si="1"/>
        <v>44</v>
      </c>
      <c r="B45" s="39" t="s">
        <v>318</v>
      </c>
      <c r="C45" s="21" t="s">
        <v>319</v>
      </c>
      <c r="D45" s="20" t="s">
        <v>320</v>
      </c>
      <c r="E45" s="20" t="s">
        <v>321</v>
      </c>
      <c r="F45" s="20" t="s">
        <v>22</v>
      </c>
      <c r="G45" s="20" t="s">
        <v>33</v>
      </c>
      <c r="H45" s="22">
        <v>44428.0</v>
      </c>
      <c r="I45" s="20" t="s">
        <v>34</v>
      </c>
      <c r="J45" s="20">
        <v>26.0</v>
      </c>
      <c r="K45" s="21" t="s">
        <v>319</v>
      </c>
      <c r="L45" s="27"/>
      <c r="M45" s="23">
        <v>7400.0</v>
      </c>
      <c r="N45" s="20"/>
      <c r="O45" s="21" t="s">
        <v>322</v>
      </c>
      <c r="P45" s="39" t="s">
        <v>323</v>
      </c>
      <c r="Q45" s="26">
        <v>152101.0</v>
      </c>
      <c r="R45" s="20">
        <v>2020.0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>
      <c r="A46" s="19">
        <f t="shared" si="1"/>
        <v>45</v>
      </c>
      <c r="B46" s="20" t="s">
        <v>324</v>
      </c>
      <c r="C46" s="21" t="s">
        <v>325</v>
      </c>
      <c r="D46" s="20" t="s">
        <v>326</v>
      </c>
      <c r="E46" s="20" t="s">
        <v>327</v>
      </c>
      <c r="F46" s="20" t="s">
        <v>67</v>
      </c>
      <c r="G46" s="20" t="s">
        <v>23</v>
      </c>
      <c r="H46" s="22">
        <v>44433.0</v>
      </c>
      <c r="I46" s="20" t="s">
        <v>34</v>
      </c>
      <c r="J46" s="20" t="s">
        <v>328</v>
      </c>
      <c r="K46" s="21" t="s">
        <v>329</v>
      </c>
      <c r="L46" s="27"/>
      <c r="M46" s="23">
        <v>7500.0</v>
      </c>
      <c r="N46" s="20"/>
      <c r="O46" s="21" t="s">
        <v>330</v>
      </c>
      <c r="P46" s="20" t="s">
        <v>331</v>
      </c>
      <c r="Q46" s="26">
        <v>64236.0</v>
      </c>
      <c r="R46" s="20">
        <v>2020.0</v>
      </c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>
      <c r="A47" s="19">
        <f t="shared" si="1"/>
        <v>46</v>
      </c>
      <c r="B47" s="20" t="s">
        <v>332</v>
      </c>
      <c r="C47" s="21" t="s">
        <v>333</v>
      </c>
      <c r="D47" s="20" t="s">
        <v>75</v>
      </c>
      <c r="E47" s="20" t="s">
        <v>76</v>
      </c>
      <c r="F47" s="20" t="s">
        <v>43</v>
      </c>
      <c r="G47" s="20" t="s">
        <v>23</v>
      </c>
      <c r="H47" s="22">
        <v>44438.0</v>
      </c>
      <c r="I47" s="20" t="s">
        <v>34</v>
      </c>
      <c r="J47" s="27"/>
      <c r="K47" s="21" t="s">
        <v>334</v>
      </c>
      <c r="L47" s="27"/>
      <c r="M47" s="23">
        <v>38833.0</v>
      </c>
      <c r="N47" s="20" t="s">
        <v>335</v>
      </c>
      <c r="O47" s="21" t="s">
        <v>336</v>
      </c>
      <c r="P47" s="20" t="s">
        <v>337</v>
      </c>
      <c r="Q47" s="26">
        <v>181833.0</v>
      </c>
      <c r="R47" s="20">
        <v>2020.0</v>
      </c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>
      <c r="A48" s="19">
        <f t="shared" si="1"/>
        <v>47</v>
      </c>
      <c r="B48" s="20" t="s">
        <v>338</v>
      </c>
      <c r="C48" s="21" t="s">
        <v>333</v>
      </c>
      <c r="D48" s="20" t="s">
        <v>20</v>
      </c>
      <c r="E48" s="20" t="s">
        <v>21</v>
      </c>
      <c r="F48" s="20" t="s">
        <v>22</v>
      </c>
      <c r="G48" s="20" t="s">
        <v>23</v>
      </c>
      <c r="H48" s="22">
        <v>44438.0</v>
      </c>
      <c r="I48" s="20" t="s">
        <v>34</v>
      </c>
      <c r="J48" s="27"/>
      <c r="K48" s="21" t="s">
        <v>339</v>
      </c>
      <c r="L48" s="27"/>
      <c r="M48" s="23">
        <v>19542.0</v>
      </c>
      <c r="N48" s="20" t="s">
        <v>340</v>
      </c>
      <c r="O48" s="21" t="s">
        <v>341</v>
      </c>
      <c r="P48" s="20" t="s">
        <v>342</v>
      </c>
      <c r="Q48" s="26">
        <v>115810.0</v>
      </c>
      <c r="R48" s="20">
        <v>2020.0</v>
      </c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>
      <c r="A49" s="19">
        <f t="shared" si="1"/>
        <v>48</v>
      </c>
      <c r="B49" s="20" t="s">
        <v>343</v>
      </c>
      <c r="C49" s="21" t="s">
        <v>333</v>
      </c>
      <c r="D49" s="20" t="s">
        <v>344</v>
      </c>
      <c r="E49" s="20" t="s">
        <v>21</v>
      </c>
      <c r="F49" s="20" t="s">
        <v>22</v>
      </c>
      <c r="G49" s="20" t="s">
        <v>23</v>
      </c>
      <c r="H49" s="22">
        <v>44438.0</v>
      </c>
      <c r="I49" s="20" t="s">
        <v>34</v>
      </c>
      <c r="J49" s="27"/>
      <c r="K49" s="21" t="s">
        <v>345</v>
      </c>
      <c r="L49" s="27"/>
      <c r="M49" s="23">
        <v>22634.0</v>
      </c>
      <c r="N49" s="20" t="s">
        <v>346</v>
      </c>
      <c r="O49" s="21" t="s">
        <v>347</v>
      </c>
      <c r="P49" s="20" t="s">
        <v>348</v>
      </c>
      <c r="Q49" s="26">
        <v>143854.0</v>
      </c>
      <c r="R49" s="20">
        <v>2020.0</v>
      </c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>
      <c r="A50" s="19">
        <f t="shared" si="1"/>
        <v>49</v>
      </c>
      <c r="B50" s="20" t="s">
        <v>349</v>
      </c>
      <c r="C50" s="21" t="s">
        <v>333</v>
      </c>
      <c r="D50" s="27"/>
      <c r="E50" s="20" t="s">
        <v>21</v>
      </c>
      <c r="F50" s="20" t="s">
        <v>22</v>
      </c>
      <c r="G50" s="20" t="s">
        <v>23</v>
      </c>
      <c r="H50" s="22">
        <v>44438.0</v>
      </c>
      <c r="I50" s="20" t="s">
        <v>34</v>
      </c>
      <c r="J50" s="27"/>
      <c r="K50" s="21" t="s">
        <v>350</v>
      </c>
      <c r="L50" s="20" t="s">
        <v>309</v>
      </c>
      <c r="M50" s="23">
        <v>20878.0</v>
      </c>
      <c r="N50" s="20" t="s">
        <v>351</v>
      </c>
      <c r="O50" s="21" t="s">
        <v>352</v>
      </c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>
      <c r="A51" s="19">
        <f t="shared" si="1"/>
        <v>50</v>
      </c>
      <c r="B51" s="20" t="s">
        <v>353</v>
      </c>
      <c r="C51" s="21" t="s">
        <v>333</v>
      </c>
      <c r="D51" s="20" t="s">
        <v>138</v>
      </c>
      <c r="E51" s="20" t="s">
        <v>21</v>
      </c>
      <c r="F51" s="20" t="s">
        <v>22</v>
      </c>
      <c r="G51" s="20" t="s">
        <v>23</v>
      </c>
      <c r="H51" s="22">
        <v>44438.0</v>
      </c>
      <c r="I51" s="20" t="s">
        <v>34</v>
      </c>
      <c r="J51" s="27"/>
      <c r="K51" s="21" t="s">
        <v>354</v>
      </c>
      <c r="L51" s="27"/>
      <c r="M51" s="23">
        <v>25501.0</v>
      </c>
      <c r="N51" s="27"/>
      <c r="O51" s="21" t="s">
        <v>355</v>
      </c>
      <c r="P51" s="20" t="s">
        <v>356</v>
      </c>
      <c r="Q51" s="26">
        <v>235849.0</v>
      </c>
      <c r="R51" s="20">
        <v>2020.0</v>
      </c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>
      <c r="A52" s="19">
        <f t="shared" si="1"/>
        <v>51</v>
      </c>
      <c r="B52" s="20" t="s">
        <v>357</v>
      </c>
      <c r="C52" s="21" t="s">
        <v>358</v>
      </c>
      <c r="D52" s="20" t="s">
        <v>359</v>
      </c>
      <c r="E52" s="20" t="s">
        <v>31</v>
      </c>
      <c r="F52" s="20" t="s">
        <v>32</v>
      </c>
      <c r="G52" s="20" t="s">
        <v>68</v>
      </c>
      <c r="H52" s="22">
        <v>44440.0</v>
      </c>
      <c r="I52" s="20" t="s">
        <v>34</v>
      </c>
      <c r="J52" s="27"/>
      <c r="K52" s="21" t="s">
        <v>360</v>
      </c>
      <c r="L52" s="27"/>
      <c r="M52" s="23">
        <v>6000.0</v>
      </c>
      <c r="N52" s="20"/>
      <c r="O52" s="21" t="s">
        <v>361</v>
      </c>
      <c r="P52" s="20" t="s">
        <v>362</v>
      </c>
      <c r="Q52" s="26">
        <v>92968.0</v>
      </c>
      <c r="R52" s="20">
        <v>2020.0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>
      <c r="A53" s="19">
        <f t="shared" si="1"/>
        <v>52</v>
      </c>
      <c r="B53" s="39" t="s">
        <v>363</v>
      </c>
      <c r="C53" s="21" t="s">
        <v>364</v>
      </c>
      <c r="D53" s="20" t="s">
        <v>365</v>
      </c>
      <c r="E53" s="20" t="s">
        <v>307</v>
      </c>
      <c r="F53" s="20" t="s">
        <v>22</v>
      </c>
      <c r="G53" s="20" t="s">
        <v>68</v>
      </c>
      <c r="H53" s="22">
        <v>44447.0</v>
      </c>
      <c r="I53" s="20" t="s">
        <v>24</v>
      </c>
      <c r="J53" s="27"/>
      <c r="K53" s="21" t="s">
        <v>366</v>
      </c>
      <c r="L53" s="27"/>
      <c r="M53" s="23">
        <v>4500.0</v>
      </c>
      <c r="N53" s="20" t="s">
        <v>367</v>
      </c>
      <c r="O53" s="21" t="s">
        <v>366</v>
      </c>
      <c r="P53" s="20" t="s">
        <v>368</v>
      </c>
      <c r="Q53" s="26">
        <v>79978.0</v>
      </c>
      <c r="R53" s="20">
        <v>2020.0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>
      <c r="A54" s="19">
        <f t="shared" si="1"/>
        <v>53</v>
      </c>
      <c r="B54" s="20" t="s">
        <v>369</v>
      </c>
      <c r="C54" s="21" t="s">
        <v>370</v>
      </c>
      <c r="D54" s="20" t="s">
        <v>371</v>
      </c>
      <c r="E54" s="20" t="s">
        <v>52</v>
      </c>
      <c r="F54" s="20" t="s">
        <v>22</v>
      </c>
      <c r="G54" s="20" t="s">
        <v>23</v>
      </c>
      <c r="H54" s="22">
        <v>44449.0</v>
      </c>
      <c r="I54" s="20" t="s">
        <v>24</v>
      </c>
      <c r="J54" s="20" t="s">
        <v>372</v>
      </c>
      <c r="K54" s="21" t="s">
        <v>373</v>
      </c>
      <c r="L54" s="27"/>
      <c r="M54" s="23">
        <v>27150.0</v>
      </c>
      <c r="N54" s="20" t="s">
        <v>374</v>
      </c>
      <c r="O54" s="21" t="s">
        <v>375</v>
      </c>
      <c r="P54" s="20" t="s">
        <v>376</v>
      </c>
      <c r="Q54" s="26">
        <v>76308.0</v>
      </c>
      <c r="R54" s="20">
        <v>2020.0</v>
      </c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>
      <c r="A55" s="19">
        <f t="shared" si="1"/>
        <v>54</v>
      </c>
      <c r="B55" s="20" t="s">
        <v>377</v>
      </c>
      <c r="C55" s="21" t="s">
        <v>378</v>
      </c>
      <c r="D55" s="20" t="s">
        <v>379</v>
      </c>
      <c r="E55" s="20" t="s">
        <v>76</v>
      </c>
      <c r="F55" s="20" t="s">
        <v>43</v>
      </c>
      <c r="G55" s="20" t="s">
        <v>23</v>
      </c>
      <c r="H55" s="22">
        <v>44456.0</v>
      </c>
      <c r="I55" s="20" t="s">
        <v>34</v>
      </c>
      <c r="J55" s="27"/>
      <c r="K55" s="21" t="s">
        <v>380</v>
      </c>
      <c r="L55" s="27"/>
      <c r="M55" s="23">
        <v>36200.0</v>
      </c>
      <c r="N55" s="20"/>
      <c r="O55" s="21" t="s">
        <v>381</v>
      </c>
      <c r="P55" s="20" t="s">
        <v>382</v>
      </c>
      <c r="Q55" s="26">
        <v>109342.0</v>
      </c>
      <c r="R55" s="20">
        <v>2020.0</v>
      </c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>
      <c r="A56" s="19">
        <f t="shared" si="1"/>
        <v>55</v>
      </c>
      <c r="B56" s="20" t="s">
        <v>383</v>
      </c>
      <c r="C56" s="21" t="s">
        <v>384</v>
      </c>
      <c r="D56" s="20" t="s">
        <v>385</v>
      </c>
      <c r="E56" s="20" t="s">
        <v>21</v>
      </c>
      <c r="F56" s="20" t="s">
        <v>22</v>
      </c>
      <c r="G56" s="20" t="s">
        <v>23</v>
      </c>
      <c r="H56" s="22">
        <v>44460.0</v>
      </c>
      <c r="I56" s="27"/>
      <c r="J56" s="20">
        <v>60.0</v>
      </c>
      <c r="K56" s="21" t="s">
        <v>386</v>
      </c>
      <c r="L56" s="27"/>
      <c r="M56" s="23">
        <v>0.0</v>
      </c>
      <c r="N56" s="20" t="s">
        <v>387</v>
      </c>
      <c r="O56" s="27"/>
      <c r="P56" s="20" t="s">
        <v>388</v>
      </c>
      <c r="Q56" s="26">
        <v>154025.0</v>
      </c>
      <c r="R56" s="20">
        <v>2020.0</v>
      </c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>
      <c r="A57" s="19">
        <f t="shared" si="1"/>
        <v>56</v>
      </c>
      <c r="B57" s="20" t="s">
        <v>389</v>
      </c>
      <c r="C57" s="21" t="s">
        <v>390</v>
      </c>
      <c r="D57" s="20" t="s">
        <v>391</v>
      </c>
      <c r="E57" s="20" t="s">
        <v>21</v>
      </c>
      <c r="F57" s="20" t="s">
        <v>22</v>
      </c>
      <c r="G57" s="20" t="s">
        <v>23</v>
      </c>
      <c r="H57" s="22">
        <v>44467.0</v>
      </c>
      <c r="I57" s="20" t="s">
        <v>24</v>
      </c>
      <c r="J57" s="27"/>
      <c r="K57" s="27"/>
      <c r="L57" s="20"/>
      <c r="M57" s="35"/>
      <c r="N57" s="27"/>
      <c r="O57" s="27"/>
      <c r="P57" s="20" t="s">
        <v>392</v>
      </c>
      <c r="Q57" s="26">
        <v>190589.0</v>
      </c>
      <c r="R57" s="20">
        <v>2020.0</v>
      </c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>
      <c r="A58" s="19">
        <f t="shared" si="1"/>
        <v>57</v>
      </c>
      <c r="B58" s="39" t="s">
        <v>393</v>
      </c>
      <c r="C58" s="21" t="s">
        <v>394</v>
      </c>
      <c r="D58" s="20" t="s">
        <v>395</v>
      </c>
      <c r="E58" s="20" t="s">
        <v>396</v>
      </c>
      <c r="F58" s="20" t="s">
        <v>32</v>
      </c>
      <c r="G58" s="20" t="s">
        <v>23</v>
      </c>
      <c r="H58" s="22">
        <v>44470.0</v>
      </c>
      <c r="I58" s="20" t="s">
        <v>34</v>
      </c>
      <c r="J58" s="20">
        <v>78.0</v>
      </c>
      <c r="K58" s="21" t="s">
        <v>397</v>
      </c>
      <c r="L58" s="27"/>
      <c r="M58" s="23"/>
      <c r="N58" s="20" t="s">
        <v>398</v>
      </c>
      <c r="O58" s="21" t="s">
        <v>399</v>
      </c>
      <c r="P58" s="20" t="s">
        <v>400</v>
      </c>
      <c r="Q58" s="26">
        <v>34832.0</v>
      </c>
      <c r="R58" s="20">
        <v>2020.0</v>
      </c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>
      <c r="A59" s="19">
        <f t="shared" si="1"/>
        <v>58</v>
      </c>
      <c r="B59" s="20" t="s">
        <v>401</v>
      </c>
      <c r="C59" s="21" t="s">
        <v>402</v>
      </c>
      <c r="D59" s="20" t="s">
        <v>403</v>
      </c>
      <c r="E59" s="20" t="s">
        <v>321</v>
      </c>
      <c r="F59" s="20" t="s">
        <v>22</v>
      </c>
      <c r="G59" s="20" t="s">
        <v>33</v>
      </c>
      <c r="H59" s="22">
        <v>44484.0</v>
      </c>
      <c r="I59" s="20" t="s">
        <v>24</v>
      </c>
      <c r="J59" s="20" t="s">
        <v>404</v>
      </c>
      <c r="K59" s="21" t="s">
        <v>405</v>
      </c>
      <c r="L59" s="27"/>
      <c r="M59" s="35"/>
      <c r="N59" s="20"/>
      <c r="O59" s="21" t="s">
        <v>406</v>
      </c>
      <c r="P59" s="20" t="s">
        <v>407</v>
      </c>
      <c r="Q59" s="26">
        <v>111700.0</v>
      </c>
      <c r="R59" s="20">
        <v>2020.0</v>
      </c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>
      <c r="A60" s="19">
        <f t="shared" si="1"/>
        <v>59</v>
      </c>
      <c r="B60" s="20" t="s">
        <v>408</v>
      </c>
      <c r="C60" s="21" t="s">
        <v>409</v>
      </c>
      <c r="D60" s="20" t="s">
        <v>410</v>
      </c>
      <c r="E60" s="20" t="s">
        <v>411</v>
      </c>
      <c r="F60" s="20" t="s">
        <v>67</v>
      </c>
      <c r="G60" s="20" t="s">
        <v>23</v>
      </c>
      <c r="H60" s="22">
        <v>44497.0</v>
      </c>
      <c r="I60" s="20" t="s">
        <v>24</v>
      </c>
      <c r="J60" s="20" t="s">
        <v>412</v>
      </c>
      <c r="K60" s="21" t="s">
        <v>413</v>
      </c>
      <c r="L60" s="27"/>
      <c r="M60" s="23">
        <v>14875.0</v>
      </c>
      <c r="N60" s="27"/>
      <c r="O60" s="21" t="s">
        <v>414</v>
      </c>
      <c r="P60" s="20" t="s">
        <v>415</v>
      </c>
      <c r="Q60" s="26">
        <v>133749.0</v>
      </c>
      <c r="R60" s="20">
        <v>2020.0</v>
      </c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>
      <c r="A61" s="19">
        <f t="shared" si="1"/>
        <v>60</v>
      </c>
      <c r="B61" s="20" t="s">
        <v>416</v>
      </c>
      <c r="C61" s="21" t="s">
        <v>417</v>
      </c>
      <c r="D61" s="20" t="s">
        <v>395</v>
      </c>
      <c r="E61" s="20" t="s">
        <v>396</v>
      </c>
      <c r="F61" s="20" t="s">
        <v>32</v>
      </c>
      <c r="G61" s="20" t="s">
        <v>33</v>
      </c>
      <c r="H61" s="22">
        <v>44502.0</v>
      </c>
      <c r="I61" s="20" t="s">
        <v>24</v>
      </c>
      <c r="J61" s="20"/>
      <c r="K61" s="21" t="s">
        <v>418</v>
      </c>
      <c r="L61" s="27"/>
      <c r="M61" s="26">
        <v>6200.0</v>
      </c>
      <c r="N61" s="27"/>
      <c r="O61" s="21" t="s">
        <v>419</v>
      </c>
      <c r="P61" s="20" t="s">
        <v>420</v>
      </c>
      <c r="Q61" s="26">
        <v>36001.0</v>
      </c>
      <c r="R61" s="20">
        <v>2020.0</v>
      </c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>
      <c r="A62" s="19">
        <f t="shared" si="1"/>
        <v>61</v>
      </c>
      <c r="B62" s="20" t="s">
        <v>421</v>
      </c>
      <c r="C62" s="21" t="s">
        <v>422</v>
      </c>
      <c r="D62" s="20" t="s">
        <v>51</v>
      </c>
      <c r="E62" s="20" t="s">
        <v>52</v>
      </c>
      <c r="F62" s="20" t="s">
        <v>22</v>
      </c>
      <c r="G62" s="20" t="s">
        <v>237</v>
      </c>
      <c r="H62" s="22">
        <v>44529.0</v>
      </c>
      <c r="I62" s="20" t="s">
        <v>423</v>
      </c>
      <c r="J62" s="20">
        <v>20.0</v>
      </c>
      <c r="K62" s="21" t="s">
        <v>424</v>
      </c>
      <c r="L62" s="27"/>
      <c r="M62" s="23">
        <v>0.0</v>
      </c>
      <c r="N62" s="20" t="s">
        <v>425</v>
      </c>
      <c r="O62" s="21" t="s">
        <v>426</v>
      </c>
      <c r="P62" s="20" t="s">
        <v>427</v>
      </c>
      <c r="Q62" s="26">
        <v>56536.0</v>
      </c>
      <c r="R62" s="20">
        <v>2020.0</v>
      </c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>
      <c r="A63" s="19">
        <f t="shared" si="1"/>
        <v>62</v>
      </c>
      <c r="B63" s="20" t="s">
        <v>428</v>
      </c>
      <c r="C63" s="21" t="s">
        <v>429</v>
      </c>
      <c r="D63" s="20" t="s">
        <v>430</v>
      </c>
      <c r="E63" s="20" t="s">
        <v>21</v>
      </c>
      <c r="F63" s="20" t="s">
        <v>22</v>
      </c>
      <c r="G63" s="20" t="s">
        <v>33</v>
      </c>
      <c r="H63" s="22">
        <v>44536.0</v>
      </c>
      <c r="I63" s="20" t="s">
        <v>24</v>
      </c>
      <c r="J63" s="20"/>
      <c r="K63" s="21" t="s">
        <v>431</v>
      </c>
      <c r="L63" s="27"/>
      <c r="M63" s="23"/>
      <c r="N63" s="27"/>
      <c r="O63" s="20"/>
      <c r="P63" s="20" t="s">
        <v>432</v>
      </c>
      <c r="Q63" s="26">
        <v>58738.0</v>
      </c>
      <c r="R63" s="20">
        <v>2020.0</v>
      </c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>
      <c r="A64" s="19">
        <f t="shared" si="1"/>
        <v>63</v>
      </c>
      <c r="B64" s="20" t="s">
        <v>433</v>
      </c>
      <c r="C64" s="21" t="s">
        <v>434</v>
      </c>
      <c r="D64" s="20" t="s">
        <v>435</v>
      </c>
      <c r="E64" s="20" t="s">
        <v>436</v>
      </c>
      <c r="F64" s="20" t="s">
        <v>32</v>
      </c>
      <c r="G64" s="20" t="s">
        <v>33</v>
      </c>
      <c r="H64" s="22">
        <v>44536.0</v>
      </c>
      <c r="I64" s="20" t="s">
        <v>437</v>
      </c>
      <c r="J64" s="20">
        <v>100.0</v>
      </c>
      <c r="K64" s="21" t="s">
        <v>438</v>
      </c>
      <c r="L64" s="20" t="s">
        <v>439</v>
      </c>
      <c r="M64" s="23">
        <v>625.0</v>
      </c>
      <c r="N64" s="24" t="s">
        <v>440</v>
      </c>
      <c r="O64" s="21" t="s">
        <v>438</v>
      </c>
      <c r="P64" s="25" t="s">
        <v>441</v>
      </c>
      <c r="Q64" s="26">
        <v>63971.0</v>
      </c>
      <c r="R64" s="20">
        <v>2021.0</v>
      </c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>
      <c r="A65" s="19">
        <f t="shared" si="1"/>
        <v>64</v>
      </c>
      <c r="B65" s="20" t="s">
        <v>442</v>
      </c>
      <c r="C65" s="21" t="s">
        <v>443</v>
      </c>
      <c r="D65" s="20" t="s">
        <v>157</v>
      </c>
      <c r="E65" s="20" t="s">
        <v>115</v>
      </c>
      <c r="F65" s="20" t="s">
        <v>32</v>
      </c>
      <c r="G65" s="20" t="s">
        <v>23</v>
      </c>
      <c r="H65" s="22">
        <v>44539.0</v>
      </c>
      <c r="I65" s="20"/>
      <c r="J65" s="20">
        <v>15.0</v>
      </c>
      <c r="K65" s="21" t="s">
        <v>444</v>
      </c>
      <c r="L65" s="20" t="s">
        <v>445</v>
      </c>
      <c r="M65" s="23"/>
      <c r="N65" s="20"/>
      <c r="O65" s="20"/>
      <c r="P65" s="20" t="s">
        <v>446</v>
      </c>
      <c r="Q65" s="26">
        <v>203523.0</v>
      </c>
      <c r="R65" s="20">
        <v>2020.0</v>
      </c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>
      <c r="A66" s="19">
        <f t="shared" si="1"/>
        <v>65</v>
      </c>
      <c r="B66" s="20" t="s">
        <v>447</v>
      </c>
      <c r="C66" s="21" t="s">
        <v>448</v>
      </c>
      <c r="D66" s="20" t="s">
        <v>449</v>
      </c>
      <c r="E66" s="20" t="s">
        <v>436</v>
      </c>
      <c r="F66" s="20" t="s">
        <v>32</v>
      </c>
      <c r="G66" s="20" t="s">
        <v>23</v>
      </c>
      <c r="H66" s="22">
        <v>44559.0</v>
      </c>
      <c r="I66" s="20" t="s">
        <v>24</v>
      </c>
      <c r="J66" s="20">
        <v>10.0</v>
      </c>
      <c r="K66" s="21" t="s">
        <v>450</v>
      </c>
      <c r="L66" s="20"/>
      <c r="M66" s="23"/>
      <c r="N66" s="20"/>
      <c r="O66" s="20"/>
      <c r="P66" s="20" t="s">
        <v>451</v>
      </c>
      <c r="Q66" s="26">
        <v>102270.0</v>
      </c>
      <c r="R66" s="20">
        <v>2020.0</v>
      </c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>
      <c r="A67" s="19">
        <f t="shared" si="1"/>
        <v>66</v>
      </c>
      <c r="B67" s="20" t="s">
        <v>452</v>
      </c>
      <c r="C67" s="21" t="s">
        <v>453</v>
      </c>
      <c r="D67" s="20" t="s">
        <v>454</v>
      </c>
      <c r="E67" s="20" t="s">
        <v>455</v>
      </c>
      <c r="F67" s="20" t="s">
        <v>22</v>
      </c>
      <c r="G67" s="20" t="s">
        <v>68</v>
      </c>
      <c r="H67" s="22">
        <v>44566.0</v>
      </c>
      <c r="I67" s="20" t="s">
        <v>423</v>
      </c>
      <c r="J67" s="20"/>
      <c r="K67" s="21" t="s">
        <v>456</v>
      </c>
      <c r="L67" s="20" t="s">
        <v>457</v>
      </c>
      <c r="M67" s="23">
        <v>6000.0</v>
      </c>
      <c r="N67" s="20" t="s">
        <v>458</v>
      </c>
      <c r="O67" s="21" t="s">
        <v>459</v>
      </c>
      <c r="P67" s="20" t="s">
        <v>460</v>
      </c>
      <c r="Q67" s="26">
        <v>61163.0</v>
      </c>
      <c r="R67" s="20">
        <v>2021.0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>
      <c r="A68" s="19">
        <f t="shared" si="1"/>
        <v>67</v>
      </c>
      <c r="B68" s="20" t="s">
        <v>461</v>
      </c>
      <c r="C68" s="21" t="s">
        <v>462</v>
      </c>
      <c r="D68" s="20" t="s">
        <v>463</v>
      </c>
      <c r="E68" s="20" t="s">
        <v>66</v>
      </c>
      <c r="F68" s="20" t="s">
        <v>67</v>
      </c>
      <c r="G68" s="20" t="s">
        <v>23</v>
      </c>
      <c r="H68" s="22">
        <v>44568.0</v>
      </c>
      <c r="I68" s="20" t="s">
        <v>24</v>
      </c>
      <c r="J68" s="20"/>
      <c r="K68" s="21" t="s">
        <v>464</v>
      </c>
      <c r="L68" s="20"/>
      <c r="M68" s="23"/>
      <c r="N68" s="20"/>
      <c r="O68" s="20"/>
      <c r="P68" s="20"/>
      <c r="Q68" s="26"/>
      <c r="R68" s="20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>
      <c r="A69" s="19">
        <f t="shared" si="1"/>
        <v>68</v>
      </c>
      <c r="B69" s="20" t="s">
        <v>465</v>
      </c>
      <c r="C69" s="21" t="s">
        <v>466</v>
      </c>
      <c r="D69" s="20" t="s">
        <v>467</v>
      </c>
      <c r="E69" s="20" t="s">
        <v>468</v>
      </c>
      <c r="F69" s="20" t="s">
        <v>67</v>
      </c>
      <c r="G69" s="20" t="s">
        <v>68</v>
      </c>
      <c r="H69" s="22">
        <v>44578.0</v>
      </c>
      <c r="I69" s="55">
        <v>44562.0</v>
      </c>
      <c r="J69" s="20">
        <v>11.0</v>
      </c>
      <c r="K69" s="21" t="s">
        <v>466</v>
      </c>
      <c r="L69" s="20" t="s">
        <v>469</v>
      </c>
      <c r="M69" s="23">
        <v>6000.0</v>
      </c>
      <c r="N69" s="20" t="s">
        <v>470</v>
      </c>
      <c r="O69" s="21" t="s">
        <v>471</v>
      </c>
      <c r="P69" s="20" t="s">
        <v>472</v>
      </c>
      <c r="Q69" s="26">
        <v>39773.0</v>
      </c>
      <c r="R69" s="20">
        <v>2021.0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>
      <c r="A70" s="19">
        <f t="shared" si="1"/>
        <v>69</v>
      </c>
      <c r="B70" s="20" t="s">
        <v>473</v>
      </c>
      <c r="C70" s="21" t="s">
        <v>474</v>
      </c>
      <c r="D70" s="20" t="s">
        <v>475</v>
      </c>
      <c r="E70" s="20" t="s">
        <v>476</v>
      </c>
      <c r="F70" s="20" t="s">
        <v>67</v>
      </c>
      <c r="G70" s="20" t="s">
        <v>68</v>
      </c>
      <c r="H70" s="22">
        <v>44581.0</v>
      </c>
      <c r="I70" s="20" t="s">
        <v>24</v>
      </c>
      <c r="J70" s="20">
        <v>560.0</v>
      </c>
      <c r="K70" s="21" t="s">
        <v>477</v>
      </c>
      <c r="L70" s="20" t="s">
        <v>478</v>
      </c>
      <c r="M70" s="23">
        <v>8950.0</v>
      </c>
      <c r="N70" s="20"/>
      <c r="O70" s="21" t="s">
        <v>479</v>
      </c>
      <c r="P70" s="20" t="s">
        <v>480</v>
      </c>
      <c r="Q70" s="26">
        <v>167353.0</v>
      </c>
      <c r="R70" s="20">
        <v>2021.0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>
      <c r="A71" s="19">
        <f t="shared" si="1"/>
        <v>70</v>
      </c>
      <c r="B71" s="20" t="s">
        <v>481</v>
      </c>
      <c r="C71" s="21" t="s">
        <v>482</v>
      </c>
      <c r="D71" s="20" t="s">
        <v>483</v>
      </c>
      <c r="E71" s="20" t="s">
        <v>115</v>
      </c>
      <c r="F71" s="20" t="s">
        <v>32</v>
      </c>
      <c r="G71" s="20" t="s">
        <v>68</v>
      </c>
      <c r="H71" s="22">
        <v>44599.0</v>
      </c>
      <c r="I71" s="20" t="s">
        <v>172</v>
      </c>
      <c r="J71" s="20"/>
      <c r="K71" s="21" t="s">
        <v>484</v>
      </c>
      <c r="L71" s="20" t="s">
        <v>485</v>
      </c>
      <c r="M71" s="23"/>
      <c r="N71" s="20" t="s">
        <v>486</v>
      </c>
      <c r="O71" s="21" t="s">
        <v>484</v>
      </c>
      <c r="P71" s="25" t="s">
        <v>487</v>
      </c>
      <c r="Q71" s="26">
        <v>170867.0</v>
      </c>
      <c r="R71" s="20">
        <v>2021.0</v>
      </c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>
      <c r="A72" s="19">
        <f t="shared" si="1"/>
        <v>71</v>
      </c>
      <c r="B72" s="20" t="s">
        <v>488</v>
      </c>
      <c r="C72" s="21" t="s">
        <v>489</v>
      </c>
      <c r="D72" s="20" t="s">
        <v>490</v>
      </c>
      <c r="E72" s="20" t="s">
        <v>115</v>
      </c>
      <c r="F72" s="20" t="s">
        <v>32</v>
      </c>
      <c r="G72" s="20" t="s">
        <v>68</v>
      </c>
      <c r="H72" s="22">
        <v>44601.0</v>
      </c>
      <c r="I72" s="20" t="s">
        <v>24</v>
      </c>
      <c r="J72" s="20"/>
      <c r="K72" s="21" t="s">
        <v>491</v>
      </c>
      <c r="L72" s="20"/>
      <c r="M72" s="23"/>
      <c r="N72" s="20"/>
      <c r="O72" s="20"/>
      <c r="P72" s="25" t="s">
        <v>492</v>
      </c>
      <c r="Q72" s="26">
        <v>206557.0</v>
      </c>
      <c r="R72" s="20">
        <v>2021.0</v>
      </c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>
      <c r="A73" s="19">
        <f t="shared" si="1"/>
        <v>72</v>
      </c>
      <c r="B73" s="20" t="s">
        <v>493</v>
      </c>
      <c r="C73" s="21" t="s">
        <v>494</v>
      </c>
      <c r="D73" s="20" t="s">
        <v>495</v>
      </c>
      <c r="E73" s="20" t="s">
        <v>307</v>
      </c>
      <c r="F73" s="20" t="s">
        <v>22</v>
      </c>
      <c r="G73" s="20" t="s">
        <v>68</v>
      </c>
      <c r="H73" s="22">
        <v>44601.0</v>
      </c>
      <c r="I73" s="20" t="s">
        <v>24</v>
      </c>
      <c r="J73" s="20">
        <v>122.0</v>
      </c>
      <c r="K73" s="21" t="s">
        <v>494</v>
      </c>
      <c r="L73" s="20"/>
      <c r="M73" s="23"/>
      <c r="N73" s="20"/>
      <c r="O73" s="21" t="s">
        <v>496</v>
      </c>
      <c r="P73" s="25" t="s">
        <v>497</v>
      </c>
      <c r="Q73" s="26">
        <v>35909.0</v>
      </c>
      <c r="R73" s="20">
        <v>2021.0</v>
      </c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>
      <c r="A74" s="19">
        <f t="shared" si="1"/>
        <v>73</v>
      </c>
      <c r="B74" s="20" t="s">
        <v>498</v>
      </c>
      <c r="C74" s="21" t="s">
        <v>499</v>
      </c>
      <c r="D74" s="20" t="s">
        <v>285</v>
      </c>
      <c r="E74" s="20" t="s">
        <v>286</v>
      </c>
      <c r="F74" s="20" t="s">
        <v>32</v>
      </c>
      <c r="G74" s="20" t="s">
        <v>23</v>
      </c>
      <c r="H74" s="22">
        <v>44602.0</v>
      </c>
      <c r="I74" s="20" t="s">
        <v>24</v>
      </c>
      <c r="J74" s="20"/>
      <c r="K74" s="21" t="s">
        <v>500</v>
      </c>
      <c r="L74" s="20"/>
      <c r="M74" s="23">
        <v>6000.0</v>
      </c>
      <c r="N74" s="20"/>
      <c r="O74" s="21" t="s">
        <v>501</v>
      </c>
      <c r="P74" s="25" t="s">
        <v>502</v>
      </c>
      <c r="Q74" s="26">
        <v>62316.0</v>
      </c>
      <c r="R74" s="20">
        <v>2021.0</v>
      </c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>
      <c r="A75" s="19">
        <f t="shared" si="1"/>
        <v>74</v>
      </c>
      <c r="B75" s="20" t="s">
        <v>503</v>
      </c>
      <c r="C75" s="21" t="s">
        <v>504</v>
      </c>
      <c r="D75" s="20" t="s">
        <v>505</v>
      </c>
      <c r="E75" s="20" t="s">
        <v>327</v>
      </c>
      <c r="F75" s="20" t="s">
        <v>67</v>
      </c>
      <c r="G75" s="20" t="s">
        <v>506</v>
      </c>
      <c r="H75" s="22">
        <v>44614.0</v>
      </c>
      <c r="I75" s="20" t="s">
        <v>172</v>
      </c>
      <c r="J75" s="20"/>
      <c r="K75" s="21" t="s">
        <v>507</v>
      </c>
      <c r="L75" s="20"/>
      <c r="M75" s="23"/>
      <c r="N75" s="20"/>
      <c r="O75" s="20"/>
      <c r="P75" s="25" t="s">
        <v>508</v>
      </c>
      <c r="Q75" s="26">
        <v>74019.0</v>
      </c>
      <c r="R75" s="20">
        <v>2021.0</v>
      </c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>
      <c r="A76" s="19">
        <f t="shared" si="1"/>
        <v>75</v>
      </c>
      <c r="B76" s="20" t="s">
        <v>509</v>
      </c>
      <c r="C76" s="21" t="s">
        <v>510</v>
      </c>
      <c r="D76" s="20" t="s">
        <v>511</v>
      </c>
      <c r="E76" s="20" t="s">
        <v>122</v>
      </c>
      <c r="F76" s="20" t="s">
        <v>32</v>
      </c>
      <c r="G76" s="20" t="s">
        <v>23</v>
      </c>
      <c r="H76" s="22">
        <v>44614.0</v>
      </c>
      <c r="I76" s="20"/>
      <c r="J76" s="20"/>
      <c r="K76" s="20"/>
      <c r="L76" s="20" t="s">
        <v>512</v>
      </c>
      <c r="M76" s="23"/>
      <c r="N76" s="20"/>
      <c r="O76" s="20"/>
      <c r="P76" s="25" t="s">
        <v>513</v>
      </c>
      <c r="Q76" s="26">
        <v>97597.0</v>
      </c>
      <c r="R76" s="20">
        <v>2021.0</v>
      </c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>
      <c r="A77" s="19">
        <f t="shared" si="1"/>
        <v>76</v>
      </c>
      <c r="B77" s="20" t="s">
        <v>514</v>
      </c>
      <c r="C77" s="21" t="s">
        <v>515</v>
      </c>
      <c r="D77" s="20" t="s">
        <v>516</v>
      </c>
      <c r="E77" s="20" t="s">
        <v>246</v>
      </c>
      <c r="F77" s="20" t="s">
        <v>67</v>
      </c>
      <c r="G77" s="20" t="s">
        <v>23</v>
      </c>
      <c r="H77" s="22">
        <v>44623.0</v>
      </c>
      <c r="I77" s="20" t="s">
        <v>24</v>
      </c>
      <c r="J77" s="20">
        <v>36.0</v>
      </c>
      <c r="K77" s="21" t="s">
        <v>517</v>
      </c>
      <c r="L77" s="20" t="s">
        <v>518</v>
      </c>
      <c r="M77" s="23"/>
      <c r="N77" s="20"/>
      <c r="O77" s="20"/>
      <c r="P77" s="25" t="s">
        <v>519</v>
      </c>
      <c r="Q77" s="26">
        <v>77402.0</v>
      </c>
      <c r="R77" s="20">
        <v>2021.0</v>
      </c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>
      <c r="A78" s="19">
        <f t="shared" si="1"/>
        <v>77</v>
      </c>
      <c r="B78" s="20" t="s">
        <v>520</v>
      </c>
      <c r="C78" s="21" t="s">
        <v>521</v>
      </c>
      <c r="D78" s="20" t="s">
        <v>522</v>
      </c>
      <c r="E78" s="20" t="s">
        <v>436</v>
      </c>
      <c r="F78" s="20" t="s">
        <v>32</v>
      </c>
      <c r="G78" s="20" t="s">
        <v>23</v>
      </c>
      <c r="H78" s="22">
        <v>44634.0</v>
      </c>
      <c r="I78" s="20" t="s">
        <v>423</v>
      </c>
      <c r="J78" s="20"/>
      <c r="K78" s="21" t="s">
        <v>523</v>
      </c>
      <c r="L78" s="20"/>
      <c r="M78" s="23">
        <v>49920.0</v>
      </c>
      <c r="N78" s="24" t="s">
        <v>524</v>
      </c>
      <c r="O78" s="21" t="s">
        <v>525</v>
      </c>
      <c r="P78" s="25" t="s">
        <v>526</v>
      </c>
      <c r="Q78" s="26">
        <v>94018.0</v>
      </c>
      <c r="R78" s="20">
        <v>2021.0</v>
      </c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>
      <c r="A79" s="19">
        <f t="shared" si="1"/>
        <v>78</v>
      </c>
      <c r="B79" s="20" t="s">
        <v>527</v>
      </c>
      <c r="C79" s="21" t="s">
        <v>521</v>
      </c>
      <c r="D79" s="20" t="s">
        <v>528</v>
      </c>
      <c r="E79" s="20" t="s">
        <v>21</v>
      </c>
      <c r="F79" s="20" t="s">
        <v>22</v>
      </c>
      <c r="G79" s="20" t="s">
        <v>23</v>
      </c>
      <c r="H79" s="22">
        <v>44634.0</v>
      </c>
      <c r="I79" s="20" t="s">
        <v>423</v>
      </c>
      <c r="J79" s="20"/>
      <c r="K79" s="21" t="s">
        <v>529</v>
      </c>
      <c r="L79" s="20"/>
      <c r="M79" s="23">
        <v>47700.0</v>
      </c>
      <c r="N79" s="24" t="s">
        <v>530</v>
      </c>
      <c r="O79" s="21" t="s">
        <v>531</v>
      </c>
      <c r="P79" s="25" t="s">
        <v>532</v>
      </c>
      <c r="Q79" s="26">
        <v>50393.0</v>
      </c>
      <c r="R79" s="20">
        <v>2021.0</v>
      </c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>
      <c r="A80" s="19">
        <f t="shared" si="1"/>
        <v>79</v>
      </c>
      <c r="B80" s="20" t="s">
        <v>533</v>
      </c>
      <c r="C80" s="21" t="s">
        <v>521</v>
      </c>
      <c r="D80" s="20" t="s">
        <v>534</v>
      </c>
      <c r="E80" s="20" t="s">
        <v>286</v>
      </c>
      <c r="F80" s="20" t="s">
        <v>32</v>
      </c>
      <c r="G80" s="20" t="s">
        <v>23</v>
      </c>
      <c r="H80" s="22">
        <v>44634.0</v>
      </c>
      <c r="I80" s="20" t="s">
        <v>437</v>
      </c>
      <c r="J80" s="20"/>
      <c r="K80" s="21" t="s">
        <v>535</v>
      </c>
      <c r="L80" s="20"/>
      <c r="M80" s="23">
        <v>53100.0</v>
      </c>
      <c r="N80" s="24" t="s">
        <v>536</v>
      </c>
      <c r="O80" s="21" t="s">
        <v>537</v>
      </c>
      <c r="P80" s="25" t="s">
        <v>538</v>
      </c>
      <c r="Q80" s="26">
        <v>170906.0</v>
      </c>
      <c r="R80" s="20">
        <v>2021.0</v>
      </c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>
      <c r="A81" s="19">
        <f t="shared" si="1"/>
        <v>80</v>
      </c>
      <c r="B81" s="20" t="s">
        <v>539</v>
      </c>
      <c r="C81" s="21" t="s">
        <v>521</v>
      </c>
      <c r="D81" s="20" t="s">
        <v>540</v>
      </c>
      <c r="E81" s="20" t="s">
        <v>321</v>
      </c>
      <c r="F81" s="20" t="s">
        <v>22</v>
      </c>
      <c r="G81" s="20" t="s">
        <v>23</v>
      </c>
      <c r="H81" s="22">
        <v>44634.0</v>
      </c>
      <c r="I81" s="20" t="s">
        <v>437</v>
      </c>
      <c r="J81" s="20"/>
      <c r="K81" s="21" t="s">
        <v>541</v>
      </c>
      <c r="L81" s="20"/>
      <c r="M81" s="23">
        <v>48756.0</v>
      </c>
      <c r="N81" s="24" t="s">
        <v>542</v>
      </c>
      <c r="O81" s="21" t="s">
        <v>543</v>
      </c>
      <c r="P81" s="25" t="s">
        <v>544</v>
      </c>
      <c r="Q81" s="26">
        <v>168394.0</v>
      </c>
      <c r="R81" s="20">
        <v>2021.0</v>
      </c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>
      <c r="A82" s="19">
        <f t="shared" si="1"/>
        <v>81</v>
      </c>
      <c r="B82" s="20" t="s">
        <v>545</v>
      </c>
      <c r="C82" s="21" t="s">
        <v>546</v>
      </c>
      <c r="D82" s="20" t="s">
        <v>547</v>
      </c>
      <c r="E82" s="20" t="s">
        <v>115</v>
      </c>
      <c r="F82" s="20" t="s">
        <v>32</v>
      </c>
      <c r="G82" s="20" t="s">
        <v>68</v>
      </c>
      <c r="H82" s="22">
        <v>44635.0</v>
      </c>
      <c r="I82" s="20" t="s">
        <v>24</v>
      </c>
      <c r="J82" s="20">
        <v>12.0</v>
      </c>
      <c r="K82" s="21" t="s">
        <v>546</v>
      </c>
      <c r="L82" s="20"/>
      <c r="M82" s="23"/>
      <c r="N82" s="24"/>
      <c r="O82" s="27"/>
      <c r="P82" s="25" t="s">
        <v>548</v>
      </c>
      <c r="Q82" s="26">
        <v>59571.0</v>
      </c>
      <c r="R82" s="20">
        <v>2021.0</v>
      </c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>
      <c r="A83" s="19">
        <f t="shared" si="1"/>
        <v>82</v>
      </c>
      <c r="B83" s="20" t="s">
        <v>549</v>
      </c>
      <c r="C83" s="21" t="s">
        <v>550</v>
      </c>
      <c r="D83" s="20" t="s">
        <v>551</v>
      </c>
      <c r="E83" s="20" t="s">
        <v>197</v>
      </c>
      <c r="F83" s="20" t="s">
        <v>67</v>
      </c>
      <c r="G83" s="20" t="s">
        <v>33</v>
      </c>
      <c r="H83" s="22">
        <v>44642.0</v>
      </c>
      <c r="I83" s="20" t="s">
        <v>24</v>
      </c>
      <c r="J83" s="20"/>
      <c r="K83" s="21" t="s">
        <v>552</v>
      </c>
      <c r="L83" s="20"/>
      <c r="M83" s="23">
        <v>7500.0</v>
      </c>
      <c r="N83" s="24"/>
      <c r="O83" s="21" t="s">
        <v>553</v>
      </c>
      <c r="P83" s="25" t="s">
        <v>554</v>
      </c>
      <c r="Q83" s="26">
        <v>49542.0</v>
      </c>
      <c r="R83" s="20">
        <v>2021.0</v>
      </c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>
      <c r="A84" s="19">
        <f t="shared" si="1"/>
        <v>83</v>
      </c>
      <c r="B84" s="20" t="s">
        <v>555</v>
      </c>
      <c r="C84" s="53" t="s">
        <v>556</v>
      </c>
      <c r="D84" s="20" t="s">
        <v>557</v>
      </c>
      <c r="E84" s="20" t="s">
        <v>91</v>
      </c>
      <c r="F84" s="20" t="s">
        <v>43</v>
      </c>
      <c r="G84" s="20" t="s">
        <v>558</v>
      </c>
      <c r="H84" s="56">
        <v>44643.0</v>
      </c>
      <c r="I84" s="20" t="s">
        <v>24</v>
      </c>
      <c r="J84" s="20"/>
      <c r="K84" s="20"/>
      <c r="L84" s="20" t="s">
        <v>559</v>
      </c>
      <c r="M84" s="23">
        <v>8250.0</v>
      </c>
      <c r="N84" s="20" t="s">
        <v>560</v>
      </c>
      <c r="O84" s="21" t="s">
        <v>561</v>
      </c>
      <c r="P84" s="20" t="s">
        <v>562</v>
      </c>
      <c r="Q84" s="26">
        <v>111642.0</v>
      </c>
      <c r="R84" s="20">
        <v>2022.0</v>
      </c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>
      <c r="A85" s="19">
        <f t="shared" si="1"/>
        <v>84</v>
      </c>
      <c r="B85" s="20" t="s">
        <v>563</v>
      </c>
      <c r="C85" s="21" t="s">
        <v>564</v>
      </c>
      <c r="D85" s="20" t="s">
        <v>565</v>
      </c>
      <c r="E85" s="20" t="s">
        <v>436</v>
      </c>
      <c r="F85" s="20" t="s">
        <v>32</v>
      </c>
      <c r="G85" s="20" t="s">
        <v>33</v>
      </c>
      <c r="H85" s="56">
        <v>44646.0</v>
      </c>
      <c r="I85" s="20" t="s">
        <v>172</v>
      </c>
      <c r="J85" s="20">
        <v>180.0</v>
      </c>
      <c r="K85" s="21" t="s">
        <v>564</v>
      </c>
      <c r="L85" s="20" t="s">
        <v>566</v>
      </c>
      <c r="M85" s="35"/>
      <c r="N85" s="27"/>
      <c r="O85" s="27"/>
      <c r="P85" s="20" t="s">
        <v>567</v>
      </c>
      <c r="Q85" s="26">
        <v>64154.0</v>
      </c>
      <c r="R85" s="20">
        <v>2021.0</v>
      </c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>
      <c r="A86" s="19">
        <f t="shared" si="1"/>
        <v>85</v>
      </c>
      <c r="B86" s="20" t="s">
        <v>568</v>
      </c>
      <c r="C86" s="21" t="s">
        <v>569</v>
      </c>
      <c r="D86" s="20" t="s">
        <v>570</v>
      </c>
      <c r="E86" s="20" t="s">
        <v>286</v>
      </c>
      <c r="F86" s="20" t="s">
        <v>32</v>
      </c>
      <c r="G86" s="20" t="s">
        <v>23</v>
      </c>
      <c r="H86" s="22">
        <v>44659.0</v>
      </c>
      <c r="I86" s="20" t="s">
        <v>24</v>
      </c>
      <c r="J86" s="20">
        <v>350.0</v>
      </c>
      <c r="K86" s="21" t="s">
        <v>569</v>
      </c>
      <c r="L86" s="20" t="s">
        <v>571</v>
      </c>
      <c r="M86" s="23">
        <v>0.0</v>
      </c>
      <c r="N86" s="24" t="s">
        <v>572</v>
      </c>
      <c r="O86" s="21" t="s">
        <v>573</v>
      </c>
      <c r="P86" s="25" t="s">
        <v>574</v>
      </c>
      <c r="Q86" s="26">
        <v>28433.0</v>
      </c>
      <c r="R86" s="20">
        <v>2021.0</v>
      </c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>
      <c r="A87" s="19">
        <f t="shared" si="1"/>
        <v>86</v>
      </c>
      <c r="B87" s="20" t="s">
        <v>575</v>
      </c>
      <c r="C87" s="21" t="s">
        <v>576</v>
      </c>
      <c r="D87" s="20" t="s">
        <v>577</v>
      </c>
      <c r="E87" s="20" t="s">
        <v>578</v>
      </c>
      <c r="F87" s="20" t="s">
        <v>22</v>
      </c>
      <c r="G87" s="20" t="s">
        <v>23</v>
      </c>
      <c r="H87" s="22">
        <v>44666.0</v>
      </c>
      <c r="I87" s="20" t="s">
        <v>24</v>
      </c>
      <c r="J87" s="20"/>
      <c r="K87" s="20"/>
      <c r="L87" s="20"/>
      <c r="M87" s="23">
        <v>5000.0</v>
      </c>
      <c r="N87" s="24"/>
      <c r="O87" s="21" t="s">
        <v>579</v>
      </c>
      <c r="P87" s="25" t="s">
        <v>580</v>
      </c>
      <c r="Q87" s="26">
        <v>63371.0</v>
      </c>
      <c r="R87" s="20">
        <v>2021.0</v>
      </c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>
      <c r="A88" s="19">
        <f t="shared" si="1"/>
        <v>87</v>
      </c>
      <c r="B88" s="20" t="s">
        <v>581</v>
      </c>
      <c r="C88" s="21" t="s">
        <v>582</v>
      </c>
      <c r="D88" s="20" t="s">
        <v>583</v>
      </c>
      <c r="E88" s="20" t="s">
        <v>584</v>
      </c>
      <c r="F88" s="20" t="s">
        <v>32</v>
      </c>
      <c r="G88" s="20" t="s">
        <v>23</v>
      </c>
      <c r="H88" s="22">
        <v>44668.0</v>
      </c>
      <c r="I88" s="20" t="s">
        <v>24</v>
      </c>
      <c r="J88" s="20">
        <v>50.0</v>
      </c>
      <c r="K88" s="21" t="s">
        <v>582</v>
      </c>
      <c r="L88" s="20" t="s">
        <v>585</v>
      </c>
      <c r="M88" s="23">
        <v>4298.0</v>
      </c>
      <c r="N88" s="24"/>
      <c r="O88" s="21" t="s">
        <v>586</v>
      </c>
      <c r="P88" s="25" t="s">
        <v>587</v>
      </c>
      <c r="Q88" s="26"/>
      <c r="R88" s="20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>
      <c r="A89" s="19">
        <f t="shared" si="1"/>
        <v>88</v>
      </c>
      <c r="B89" s="20" t="s">
        <v>588</v>
      </c>
      <c r="C89" s="21" t="s">
        <v>589</v>
      </c>
      <c r="D89" s="20" t="s">
        <v>590</v>
      </c>
      <c r="E89" s="20" t="s">
        <v>591</v>
      </c>
      <c r="F89" s="20" t="s">
        <v>32</v>
      </c>
      <c r="G89" s="20" t="s">
        <v>68</v>
      </c>
      <c r="H89" s="56">
        <v>44670.0</v>
      </c>
      <c r="I89" s="20" t="s">
        <v>24</v>
      </c>
      <c r="J89" s="20">
        <v>50.0</v>
      </c>
      <c r="K89" s="21" t="s">
        <v>592</v>
      </c>
      <c r="L89" s="20" t="s">
        <v>593</v>
      </c>
      <c r="M89" s="23">
        <v>4000.0</v>
      </c>
      <c r="N89" s="20"/>
      <c r="O89" s="21" t="s">
        <v>594</v>
      </c>
      <c r="P89" s="20" t="s">
        <v>595</v>
      </c>
      <c r="Q89" s="26">
        <v>79410.0</v>
      </c>
      <c r="R89" s="20">
        <v>2021.0</v>
      </c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>
      <c r="A90" s="19">
        <f t="shared" si="1"/>
        <v>89</v>
      </c>
      <c r="B90" s="20" t="s">
        <v>596</v>
      </c>
      <c r="C90" s="21" t="s">
        <v>597</v>
      </c>
      <c r="D90" s="20" t="s">
        <v>598</v>
      </c>
      <c r="E90" s="20" t="s">
        <v>599</v>
      </c>
      <c r="F90" s="20" t="s">
        <v>67</v>
      </c>
      <c r="G90" s="20" t="s">
        <v>68</v>
      </c>
      <c r="H90" s="56">
        <v>44671.0</v>
      </c>
      <c r="I90" s="20" t="s">
        <v>24</v>
      </c>
      <c r="J90" s="20">
        <v>150.0</v>
      </c>
      <c r="K90" s="21" t="s">
        <v>597</v>
      </c>
      <c r="L90" s="20" t="s">
        <v>600</v>
      </c>
      <c r="M90" s="35"/>
      <c r="N90" s="20" t="s">
        <v>601</v>
      </c>
      <c r="O90" s="21" t="s">
        <v>602</v>
      </c>
      <c r="P90" s="20" t="s">
        <v>603</v>
      </c>
      <c r="Q90" s="26">
        <v>113343.0</v>
      </c>
      <c r="R90" s="20">
        <v>2021.0</v>
      </c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>
      <c r="A91" s="19">
        <f t="shared" si="1"/>
        <v>90</v>
      </c>
      <c r="B91" s="20" t="s">
        <v>604</v>
      </c>
      <c r="C91" s="21" t="s">
        <v>605</v>
      </c>
      <c r="D91" s="20" t="s">
        <v>467</v>
      </c>
      <c r="E91" s="20" t="s">
        <v>468</v>
      </c>
      <c r="F91" s="20" t="s">
        <v>32</v>
      </c>
      <c r="G91" s="20" t="s">
        <v>68</v>
      </c>
      <c r="H91" s="56">
        <v>44697.0</v>
      </c>
      <c r="I91" s="20" t="s">
        <v>24</v>
      </c>
      <c r="J91" s="20"/>
      <c r="K91" s="20"/>
      <c r="L91" s="20"/>
      <c r="M91" s="23">
        <v>0.0</v>
      </c>
      <c r="N91" s="20" t="s">
        <v>606</v>
      </c>
      <c r="O91" s="21" t="s">
        <v>607</v>
      </c>
      <c r="P91" s="20" t="s">
        <v>608</v>
      </c>
      <c r="Q91" s="26">
        <v>37116.0</v>
      </c>
      <c r="R91" s="20">
        <v>2021.0</v>
      </c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>
      <c r="A92" s="19">
        <f t="shared" si="1"/>
        <v>91</v>
      </c>
      <c r="B92" s="20" t="s">
        <v>609</v>
      </c>
      <c r="C92" s="21" t="s">
        <v>610</v>
      </c>
      <c r="D92" s="20" t="s">
        <v>611</v>
      </c>
      <c r="E92" s="20" t="s">
        <v>21</v>
      </c>
      <c r="F92" s="20" t="s">
        <v>22</v>
      </c>
      <c r="G92" s="20" t="s">
        <v>23</v>
      </c>
      <c r="H92" s="56">
        <v>44698.0</v>
      </c>
      <c r="I92" s="20" t="s">
        <v>24</v>
      </c>
      <c r="J92" s="20"/>
      <c r="K92" s="20"/>
      <c r="L92" s="20"/>
      <c r="M92" s="23">
        <v>15000.0</v>
      </c>
      <c r="N92" s="20"/>
      <c r="O92" s="21" t="s">
        <v>612</v>
      </c>
      <c r="P92" s="20" t="s">
        <v>587</v>
      </c>
      <c r="Q92" s="26"/>
      <c r="R92" s="20">
        <v>2021.0</v>
      </c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>
      <c r="A93" s="19">
        <f t="shared" si="1"/>
        <v>92</v>
      </c>
      <c r="B93" s="20" t="s">
        <v>613</v>
      </c>
      <c r="C93" s="21" t="s">
        <v>610</v>
      </c>
      <c r="D93" s="20" t="s">
        <v>189</v>
      </c>
      <c r="E93" s="20" t="s">
        <v>21</v>
      </c>
      <c r="F93" s="20" t="s">
        <v>22</v>
      </c>
      <c r="G93" s="20" t="s">
        <v>23</v>
      </c>
      <c r="H93" s="56">
        <v>44698.0</v>
      </c>
      <c r="I93" s="20" t="s">
        <v>24</v>
      </c>
      <c r="J93" s="20"/>
      <c r="K93" s="20"/>
      <c r="L93" s="20"/>
      <c r="M93" s="23">
        <v>34800.0</v>
      </c>
      <c r="N93" s="20" t="s">
        <v>614</v>
      </c>
      <c r="O93" s="21" t="s">
        <v>615</v>
      </c>
      <c r="P93" s="20" t="s">
        <v>587</v>
      </c>
      <c r="Q93" s="26"/>
      <c r="R93" s="20">
        <v>2021.0</v>
      </c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>
      <c r="A94" s="19">
        <f t="shared" si="1"/>
        <v>93</v>
      </c>
      <c r="B94" s="20" t="s">
        <v>616</v>
      </c>
      <c r="C94" s="21" t="s">
        <v>617</v>
      </c>
      <c r="D94" s="20" t="s">
        <v>618</v>
      </c>
      <c r="E94" s="20" t="s">
        <v>122</v>
      </c>
      <c r="F94" s="20" t="s">
        <v>22</v>
      </c>
      <c r="G94" s="20" t="s">
        <v>33</v>
      </c>
      <c r="H94" s="56">
        <v>44722.0</v>
      </c>
      <c r="I94" s="20" t="s">
        <v>172</v>
      </c>
      <c r="J94" s="20"/>
      <c r="K94" s="20"/>
      <c r="L94" s="20"/>
      <c r="M94" s="23"/>
      <c r="N94" s="20"/>
      <c r="O94" s="21" t="s">
        <v>619</v>
      </c>
      <c r="P94" s="20" t="s">
        <v>587</v>
      </c>
      <c r="Q94" s="26"/>
      <c r="R94" s="20">
        <v>2021.0</v>
      </c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>
      <c r="A95" s="19">
        <f t="shared" si="1"/>
        <v>94</v>
      </c>
      <c r="B95" s="20" t="s">
        <v>620</v>
      </c>
      <c r="C95" s="21" t="s">
        <v>621</v>
      </c>
      <c r="D95" s="20" t="s">
        <v>622</v>
      </c>
      <c r="E95" s="20" t="s">
        <v>623</v>
      </c>
      <c r="F95" s="20" t="s">
        <v>43</v>
      </c>
      <c r="G95" s="20" t="s">
        <v>33</v>
      </c>
      <c r="H95" s="56">
        <v>44756.0</v>
      </c>
      <c r="I95" s="20" t="s">
        <v>24</v>
      </c>
      <c r="J95" s="20">
        <v>50.0</v>
      </c>
      <c r="K95" s="21" t="s">
        <v>621</v>
      </c>
      <c r="L95" s="20" t="s">
        <v>624</v>
      </c>
      <c r="M95" s="23">
        <v>6000.0</v>
      </c>
      <c r="N95" s="20"/>
      <c r="O95" s="21" t="s">
        <v>625</v>
      </c>
      <c r="P95" s="20" t="s">
        <v>626</v>
      </c>
      <c r="Q95" s="26">
        <v>59956.0</v>
      </c>
      <c r="R95" s="20">
        <v>2021.0</v>
      </c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>
      <c r="A96" s="19">
        <f t="shared" si="1"/>
        <v>95</v>
      </c>
      <c r="B96" s="20" t="s">
        <v>627</v>
      </c>
      <c r="C96" s="21" t="s">
        <v>628</v>
      </c>
      <c r="D96" s="20" t="s">
        <v>629</v>
      </c>
      <c r="E96" s="20" t="s">
        <v>31</v>
      </c>
      <c r="F96" s="20" t="s">
        <v>32</v>
      </c>
      <c r="G96" s="20" t="s">
        <v>68</v>
      </c>
      <c r="H96" s="56">
        <v>44758.0</v>
      </c>
      <c r="I96" s="20" t="s">
        <v>24</v>
      </c>
      <c r="J96" s="20"/>
      <c r="K96" s="20"/>
      <c r="L96" s="20"/>
      <c r="M96" s="23">
        <v>2700.0</v>
      </c>
      <c r="N96" s="20" t="s">
        <v>630</v>
      </c>
      <c r="O96" s="21" t="s">
        <v>631</v>
      </c>
      <c r="P96" s="20" t="s">
        <v>632</v>
      </c>
      <c r="Q96" s="26">
        <v>61151.0</v>
      </c>
      <c r="R96" s="20">
        <v>2021.0</v>
      </c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>
      <c r="A97" s="19">
        <f t="shared" si="1"/>
        <v>96</v>
      </c>
      <c r="B97" s="20" t="s">
        <v>633</v>
      </c>
      <c r="C97" s="21" t="s">
        <v>634</v>
      </c>
      <c r="D97" s="20" t="s">
        <v>635</v>
      </c>
      <c r="E97" s="20" t="s">
        <v>122</v>
      </c>
      <c r="F97" s="20" t="s">
        <v>32</v>
      </c>
      <c r="G97" s="20" t="s">
        <v>68</v>
      </c>
      <c r="H97" s="56">
        <v>44722.0</v>
      </c>
      <c r="I97" s="20" t="s">
        <v>24</v>
      </c>
      <c r="J97" s="20"/>
      <c r="K97" s="20"/>
      <c r="L97" s="20"/>
      <c r="M97" s="23"/>
      <c r="N97" s="20"/>
      <c r="O97" s="20"/>
      <c r="P97" s="20" t="s">
        <v>636</v>
      </c>
      <c r="Q97" s="26">
        <v>36857.0</v>
      </c>
      <c r="R97" s="20">
        <v>2021.0</v>
      </c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>
      <c r="A98" s="19">
        <f t="shared" si="1"/>
        <v>97</v>
      </c>
      <c r="B98" s="57" t="s">
        <v>637</v>
      </c>
      <c r="C98" s="58" t="s">
        <v>638</v>
      </c>
      <c r="D98" s="57" t="s">
        <v>639</v>
      </c>
      <c r="E98" s="57" t="s">
        <v>122</v>
      </c>
      <c r="F98" s="57" t="s">
        <v>32</v>
      </c>
      <c r="G98" s="57" t="s">
        <v>23</v>
      </c>
      <c r="H98" s="59"/>
      <c r="I98" s="60">
        <v>2022.0</v>
      </c>
      <c r="J98" s="57" t="s">
        <v>640</v>
      </c>
      <c r="K98" s="57" t="s">
        <v>640</v>
      </c>
      <c r="L98" s="57" t="s">
        <v>641</v>
      </c>
      <c r="M98" s="61">
        <v>10000.0</v>
      </c>
      <c r="N98" s="62"/>
      <c r="O98" s="62"/>
      <c r="P98" s="57" t="s">
        <v>642</v>
      </c>
      <c r="Q98" s="61">
        <v>60476.0</v>
      </c>
      <c r="R98" s="60">
        <v>2022.0</v>
      </c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>
      <c r="A99" s="19">
        <f t="shared" si="1"/>
        <v>98</v>
      </c>
      <c r="B99" s="20" t="s">
        <v>643</v>
      </c>
      <c r="C99" s="21" t="s">
        <v>644</v>
      </c>
      <c r="D99" s="20" t="s">
        <v>645</v>
      </c>
      <c r="E99" s="20" t="s">
        <v>21</v>
      </c>
      <c r="F99" s="20" t="s">
        <v>22</v>
      </c>
      <c r="G99" s="20" t="s">
        <v>23</v>
      </c>
      <c r="H99" s="56">
        <v>44773.0</v>
      </c>
      <c r="I99" s="20" t="s">
        <v>646</v>
      </c>
      <c r="J99" s="20"/>
      <c r="K99" s="20"/>
      <c r="L99" s="20"/>
      <c r="M99" s="23"/>
      <c r="N99" s="20"/>
      <c r="O99" s="20"/>
      <c r="P99" s="20" t="s">
        <v>647</v>
      </c>
      <c r="Q99" s="26">
        <v>125078.0</v>
      </c>
      <c r="R99" s="20">
        <v>2021.0</v>
      </c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>
      <c r="A100" s="19">
        <f t="shared" si="1"/>
        <v>99</v>
      </c>
      <c r="B100" s="20" t="s">
        <v>648</v>
      </c>
      <c r="C100" s="21" t="s">
        <v>649</v>
      </c>
      <c r="D100" s="20" t="s">
        <v>650</v>
      </c>
      <c r="E100" s="20" t="s">
        <v>31</v>
      </c>
      <c r="F100" s="20" t="s">
        <v>32</v>
      </c>
      <c r="G100" s="20" t="s">
        <v>68</v>
      </c>
      <c r="H100" s="56">
        <v>44760.0</v>
      </c>
      <c r="I100" s="20" t="s">
        <v>24</v>
      </c>
      <c r="J100" s="20"/>
      <c r="K100" s="20"/>
      <c r="L100" s="20"/>
      <c r="M100" s="23">
        <v>7000.0</v>
      </c>
      <c r="N100" s="20" t="s">
        <v>651</v>
      </c>
      <c r="O100" s="21" t="s">
        <v>652</v>
      </c>
      <c r="P100" s="20" t="s">
        <v>653</v>
      </c>
      <c r="Q100" s="26">
        <v>32037.0</v>
      </c>
      <c r="R100" s="20">
        <v>2021.0</v>
      </c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>
      <c r="A101" s="19">
        <f t="shared" si="1"/>
        <v>100</v>
      </c>
      <c r="B101" s="20" t="s">
        <v>654</v>
      </c>
      <c r="C101" s="21" t="s">
        <v>655</v>
      </c>
      <c r="D101" s="20" t="s">
        <v>656</v>
      </c>
      <c r="E101" s="20" t="s">
        <v>115</v>
      </c>
      <c r="F101" s="20" t="s">
        <v>32</v>
      </c>
      <c r="G101" s="20" t="s">
        <v>237</v>
      </c>
      <c r="H101" s="56">
        <v>44784.0</v>
      </c>
      <c r="I101" s="20" t="s">
        <v>24</v>
      </c>
      <c r="J101" s="20"/>
      <c r="K101" s="20"/>
      <c r="L101" s="20"/>
      <c r="M101" s="23"/>
      <c r="N101" s="20" t="s">
        <v>657</v>
      </c>
      <c r="O101" s="21" t="s">
        <v>658</v>
      </c>
      <c r="P101" s="20" t="s">
        <v>659</v>
      </c>
      <c r="Q101" s="26">
        <v>60775.0</v>
      </c>
      <c r="R101" s="20">
        <v>2021.0</v>
      </c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>
      <c r="A102" s="19">
        <f t="shared" si="1"/>
        <v>101</v>
      </c>
      <c r="B102" s="20" t="s">
        <v>660</v>
      </c>
      <c r="C102" s="21" t="s">
        <v>661</v>
      </c>
      <c r="D102" s="27"/>
      <c r="E102" s="20" t="s">
        <v>662</v>
      </c>
      <c r="F102" s="20" t="s">
        <v>22</v>
      </c>
      <c r="G102" s="20" t="s">
        <v>23</v>
      </c>
      <c r="H102" s="22">
        <v>44774.0</v>
      </c>
      <c r="I102" s="20" t="s">
        <v>24</v>
      </c>
      <c r="J102" s="27"/>
      <c r="K102" s="20"/>
      <c r="L102" s="20" t="s">
        <v>309</v>
      </c>
      <c r="M102" s="23">
        <v>6000.0</v>
      </c>
      <c r="N102" s="20" t="s">
        <v>663</v>
      </c>
      <c r="O102" s="21" t="s">
        <v>664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19">
        <f t="shared" si="1"/>
        <v>102</v>
      </c>
      <c r="B103" s="20" t="s">
        <v>665</v>
      </c>
      <c r="C103" s="21" t="s">
        <v>666</v>
      </c>
      <c r="D103" s="20" t="s">
        <v>667</v>
      </c>
      <c r="E103" s="20" t="s">
        <v>411</v>
      </c>
      <c r="F103" s="20" t="s">
        <v>67</v>
      </c>
      <c r="G103" s="20" t="s">
        <v>68</v>
      </c>
      <c r="H103" s="56">
        <v>44777.0</v>
      </c>
      <c r="I103" s="20" t="s">
        <v>24</v>
      </c>
      <c r="J103" s="20"/>
      <c r="K103" s="21" t="s">
        <v>668</v>
      </c>
      <c r="L103" s="20"/>
      <c r="M103" s="23"/>
      <c r="N103" s="20"/>
      <c r="O103" s="20"/>
      <c r="P103" s="20" t="s">
        <v>587</v>
      </c>
      <c r="Q103" s="26"/>
      <c r="R103" s="20">
        <v>2021.0</v>
      </c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19">
        <f t="shared" si="1"/>
        <v>103</v>
      </c>
      <c r="B104" s="20" t="s">
        <v>669</v>
      </c>
      <c r="C104" s="21" t="s">
        <v>670</v>
      </c>
      <c r="D104" s="20" t="s">
        <v>671</v>
      </c>
      <c r="E104" s="20" t="s">
        <v>411</v>
      </c>
      <c r="F104" s="20" t="s">
        <v>67</v>
      </c>
      <c r="G104" s="20" t="s">
        <v>33</v>
      </c>
      <c r="H104" s="56">
        <v>44482.0</v>
      </c>
      <c r="I104" s="20" t="s">
        <v>24</v>
      </c>
      <c r="J104" s="20"/>
      <c r="K104" s="20"/>
      <c r="L104" s="20" t="s">
        <v>672</v>
      </c>
      <c r="M104" s="23">
        <v>7500.0</v>
      </c>
      <c r="N104" s="20"/>
      <c r="O104" s="21" t="s">
        <v>673</v>
      </c>
      <c r="P104" s="20" t="s">
        <v>674</v>
      </c>
      <c r="Q104" s="26">
        <v>103235.0</v>
      </c>
      <c r="R104" s="20">
        <v>2021.0</v>
      </c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19">
        <f t="shared" si="1"/>
        <v>104</v>
      </c>
      <c r="B105" s="20" t="s">
        <v>675</v>
      </c>
      <c r="C105" s="21" t="s">
        <v>676</v>
      </c>
      <c r="D105" s="20" t="s">
        <v>677</v>
      </c>
      <c r="E105" s="20" t="s">
        <v>31</v>
      </c>
      <c r="F105" s="20" t="s">
        <v>32</v>
      </c>
      <c r="G105" s="20" t="s">
        <v>68</v>
      </c>
      <c r="H105" s="56">
        <v>44792.0</v>
      </c>
      <c r="I105" s="20" t="s">
        <v>24</v>
      </c>
      <c r="J105" s="20">
        <v>15.0</v>
      </c>
      <c r="K105" s="21" t="s">
        <v>676</v>
      </c>
      <c r="L105" s="20" t="s">
        <v>678</v>
      </c>
      <c r="M105" s="23">
        <v>6000.0</v>
      </c>
      <c r="N105" s="20"/>
      <c r="O105" s="21" t="s">
        <v>679</v>
      </c>
      <c r="P105" s="20" t="s">
        <v>680</v>
      </c>
      <c r="Q105" s="26">
        <v>69931.0</v>
      </c>
      <c r="R105" s="20">
        <v>2021.0</v>
      </c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19">
        <f t="shared" si="1"/>
        <v>105</v>
      </c>
      <c r="B106" s="20" t="s">
        <v>681</v>
      </c>
      <c r="C106" s="21" t="s">
        <v>682</v>
      </c>
      <c r="D106" s="20" t="s">
        <v>683</v>
      </c>
      <c r="E106" s="20" t="s">
        <v>684</v>
      </c>
      <c r="F106" s="20" t="s">
        <v>32</v>
      </c>
      <c r="G106" s="20" t="s">
        <v>68</v>
      </c>
      <c r="H106" s="56">
        <v>44777.0</v>
      </c>
      <c r="I106" s="20" t="s">
        <v>24</v>
      </c>
      <c r="J106" s="20">
        <v>84.0</v>
      </c>
      <c r="K106" s="21" t="s">
        <v>682</v>
      </c>
      <c r="L106" s="20"/>
      <c r="M106" s="23">
        <v>2988.0</v>
      </c>
      <c r="N106" s="20" t="s">
        <v>685</v>
      </c>
      <c r="O106" s="21" t="s">
        <v>686</v>
      </c>
      <c r="P106" s="20" t="s">
        <v>687</v>
      </c>
      <c r="Q106" s="26">
        <v>69714.0</v>
      </c>
      <c r="R106" s="20">
        <v>2021.0</v>
      </c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63">
        <f t="shared" si="1"/>
        <v>106</v>
      </c>
      <c r="B107" s="64" t="s">
        <v>688</v>
      </c>
      <c r="C107" s="65" t="s">
        <v>689</v>
      </c>
      <c r="D107" s="64" t="s">
        <v>690</v>
      </c>
      <c r="E107" s="64" t="s">
        <v>122</v>
      </c>
      <c r="F107" s="64" t="s">
        <v>32</v>
      </c>
      <c r="G107" s="64" t="s">
        <v>23</v>
      </c>
      <c r="H107" s="66">
        <v>44783.0</v>
      </c>
      <c r="I107" s="64" t="s">
        <v>24</v>
      </c>
      <c r="J107" s="67">
        <v>20.0</v>
      </c>
      <c r="K107" s="65" t="s">
        <v>691</v>
      </c>
      <c r="L107" s="64" t="s">
        <v>692</v>
      </c>
      <c r="M107" s="35">
        <v>3600.0</v>
      </c>
      <c r="N107" s="64"/>
      <c r="O107" s="64"/>
      <c r="P107" s="64" t="s">
        <v>693</v>
      </c>
      <c r="Q107" s="35">
        <v>79450.0</v>
      </c>
      <c r="R107" s="67">
        <v>2022.0</v>
      </c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</row>
    <row r="108">
      <c r="A108" s="19">
        <f t="shared" si="1"/>
        <v>107</v>
      </c>
      <c r="B108" s="20" t="s">
        <v>694</v>
      </c>
      <c r="C108" s="21" t="s">
        <v>695</v>
      </c>
      <c r="D108" s="20" t="s">
        <v>696</v>
      </c>
      <c r="E108" s="20" t="s">
        <v>31</v>
      </c>
      <c r="F108" s="20" t="s">
        <v>32</v>
      </c>
      <c r="G108" s="20" t="s">
        <v>68</v>
      </c>
      <c r="H108" s="56">
        <v>44795.0</v>
      </c>
      <c r="I108" s="20" t="s">
        <v>24</v>
      </c>
      <c r="J108" s="20"/>
      <c r="K108" s="21" t="s">
        <v>695</v>
      </c>
      <c r="L108" s="20"/>
      <c r="M108" s="23">
        <v>6000.0</v>
      </c>
      <c r="N108" s="20"/>
      <c r="O108" s="21" t="s">
        <v>697</v>
      </c>
      <c r="P108" s="20" t="s">
        <v>698</v>
      </c>
      <c r="Q108" s="26">
        <v>52883.0</v>
      </c>
      <c r="R108" s="20">
        <v>2021.0</v>
      </c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19">
        <f t="shared" si="1"/>
        <v>108</v>
      </c>
      <c r="B109" s="20" t="s">
        <v>699</v>
      </c>
      <c r="C109" s="21" t="s">
        <v>700</v>
      </c>
      <c r="D109" s="20" t="s">
        <v>701</v>
      </c>
      <c r="E109" s="20" t="s">
        <v>702</v>
      </c>
      <c r="F109" s="20" t="s">
        <v>67</v>
      </c>
      <c r="G109" s="20" t="s">
        <v>23</v>
      </c>
      <c r="H109" s="56">
        <v>44789.0</v>
      </c>
      <c r="I109" s="20" t="s">
        <v>172</v>
      </c>
      <c r="J109" s="20"/>
      <c r="K109" s="21" t="s">
        <v>700</v>
      </c>
      <c r="L109" s="20"/>
      <c r="M109" s="23"/>
      <c r="N109" s="20" t="s">
        <v>703</v>
      </c>
      <c r="O109" s="21" t="s">
        <v>704</v>
      </c>
      <c r="P109" s="20" t="s">
        <v>587</v>
      </c>
      <c r="Q109" s="26"/>
      <c r="R109" s="20">
        <v>2021.0</v>
      </c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19">
        <f t="shared" si="1"/>
        <v>109</v>
      </c>
      <c r="B110" s="20" t="s">
        <v>705</v>
      </c>
      <c r="C110" s="21" t="s">
        <v>706</v>
      </c>
      <c r="D110" s="20" t="s">
        <v>701</v>
      </c>
      <c r="E110" s="20" t="s">
        <v>702</v>
      </c>
      <c r="F110" s="20" t="s">
        <v>67</v>
      </c>
      <c r="G110" s="20" t="s">
        <v>68</v>
      </c>
      <c r="H110" s="56">
        <v>44790.0</v>
      </c>
      <c r="I110" s="20" t="s">
        <v>24</v>
      </c>
      <c r="J110" s="20">
        <v>40.0</v>
      </c>
      <c r="K110" s="21" t="s">
        <v>706</v>
      </c>
      <c r="L110" s="20"/>
      <c r="M110" s="23">
        <v>6500.0</v>
      </c>
      <c r="N110" s="20" t="s">
        <v>707</v>
      </c>
      <c r="O110" s="21" t="s">
        <v>708</v>
      </c>
      <c r="P110" s="20" t="s">
        <v>709</v>
      </c>
      <c r="Q110" s="26">
        <v>41421.0</v>
      </c>
      <c r="R110" s="20">
        <v>2021.0</v>
      </c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19">
        <f t="shared" si="1"/>
        <v>110</v>
      </c>
      <c r="B111" s="20" t="s">
        <v>710</v>
      </c>
      <c r="C111" s="21" t="s">
        <v>711</v>
      </c>
      <c r="D111" s="20" t="s">
        <v>712</v>
      </c>
      <c r="E111" s="20" t="s">
        <v>713</v>
      </c>
      <c r="F111" s="20" t="s">
        <v>67</v>
      </c>
      <c r="G111" s="20" t="s">
        <v>23</v>
      </c>
      <c r="H111" s="56">
        <v>44798.0</v>
      </c>
      <c r="I111" s="20" t="s">
        <v>714</v>
      </c>
      <c r="J111" s="20"/>
      <c r="K111" s="21" t="s">
        <v>715</v>
      </c>
      <c r="L111" s="20"/>
      <c r="M111" s="23"/>
      <c r="N111" s="20"/>
      <c r="O111" s="20"/>
      <c r="P111" s="20"/>
      <c r="Q111" s="26"/>
      <c r="R111" s="20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19">
        <f t="shared" si="1"/>
        <v>111</v>
      </c>
      <c r="B112" s="20" t="s">
        <v>716</v>
      </c>
      <c r="C112" s="21" t="s">
        <v>717</v>
      </c>
      <c r="D112" s="20" t="s">
        <v>718</v>
      </c>
      <c r="E112" s="20" t="s">
        <v>91</v>
      </c>
      <c r="F112" s="20" t="s">
        <v>43</v>
      </c>
      <c r="G112" s="20" t="s">
        <v>719</v>
      </c>
      <c r="H112" s="56">
        <v>44809.0</v>
      </c>
      <c r="I112" s="20" t="s">
        <v>24</v>
      </c>
      <c r="J112" s="20">
        <v>30.0</v>
      </c>
      <c r="K112" s="21" t="s">
        <v>720</v>
      </c>
      <c r="L112" s="27"/>
      <c r="M112" s="23" t="s">
        <v>721</v>
      </c>
      <c r="N112" s="20" t="s">
        <v>722</v>
      </c>
      <c r="O112" s="27"/>
      <c r="P112" s="20" t="s">
        <v>723</v>
      </c>
      <c r="Q112" s="48">
        <v>38843.0</v>
      </c>
      <c r="R112" s="20">
        <v>2022.0</v>
      </c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19">
        <f t="shared" si="1"/>
        <v>112</v>
      </c>
      <c r="B113" s="20" t="s">
        <v>724</v>
      </c>
      <c r="C113" s="69" t="s">
        <v>725</v>
      </c>
      <c r="D113" s="20" t="s">
        <v>726</v>
      </c>
      <c r="E113" s="20" t="s">
        <v>436</v>
      </c>
      <c r="F113" s="20" t="s">
        <v>32</v>
      </c>
      <c r="G113" s="20" t="s">
        <v>68</v>
      </c>
      <c r="H113" s="56">
        <v>44774.0</v>
      </c>
      <c r="I113" s="70">
        <v>44774.0</v>
      </c>
      <c r="J113" s="20">
        <v>40.0</v>
      </c>
      <c r="K113" s="27"/>
      <c r="L113" s="20" t="s">
        <v>727</v>
      </c>
      <c r="M113" s="23" t="s">
        <v>728</v>
      </c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19">
        <f t="shared" si="1"/>
        <v>113</v>
      </c>
      <c r="B114" s="20" t="s">
        <v>729</v>
      </c>
      <c r="C114" s="21" t="s">
        <v>730</v>
      </c>
      <c r="D114" s="20" t="s">
        <v>731</v>
      </c>
      <c r="E114" s="20" t="s">
        <v>732</v>
      </c>
      <c r="F114" s="20" t="s">
        <v>22</v>
      </c>
      <c r="G114" s="20" t="s">
        <v>237</v>
      </c>
      <c r="H114" s="56">
        <v>44835.0</v>
      </c>
      <c r="I114" s="70">
        <v>44835.0</v>
      </c>
      <c r="J114" s="20">
        <v>5.0</v>
      </c>
      <c r="K114" s="21" t="s">
        <v>733</v>
      </c>
      <c r="L114" s="20" t="s">
        <v>734</v>
      </c>
      <c r="M114" s="23">
        <v>7000.0</v>
      </c>
      <c r="N114" s="27"/>
      <c r="O114" s="21" t="s">
        <v>735</v>
      </c>
      <c r="P114" s="20" t="s">
        <v>736</v>
      </c>
      <c r="Q114" s="26">
        <v>98426.0</v>
      </c>
      <c r="R114" s="20">
        <v>2022.0</v>
      </c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19">
        <f t="shared" si="1"/>
        <v>114</v>
      </c>
      <c r="B115" s="20" t="s">
        <v>737</v>
      </c>
      <c r="C115" s="53" t="s">
        <v>738</v>
      </c>
      <c r="D115" s="20" t="s">
        <v>739</v>
      </c>
      <c r="E115" s="20" t="s">
        <v>740</v>
      </c>
      <c r="F115" s="20" t="s">
        <v>43</v>
      </c>
      <c r="G115" s="20" t="s">
        <v>33</v>
      </c>
      <c r="H115" s="56">
        <v>44893.0</v>
      </c>
      <c r="I115" s="20" t="s">
        <v>172</v>
      </c>
      <c r="J115" s="20">
        <v>200.0</v>
      </c>
      <c r="K115" s="21" t="s">
        <v>741</v>
      </c>
      <c r="L115" s="27"/>
      <c r="M115" s="23">
        <v>8000.0</v>
      </c>
      <c r="N115" s="27"/>
      <c r="O115" s="53" t="s">
        <v>742</v>
      </c>
      <c r="P115" s="20" t="s">
        <v>743</v>
      </c>
      <c r="Q115" s="26">
        <v>82379.0</v>
      </c>
      <c r="R115" s="20">
        <v>2022.0</v>
      </c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19">
        <f t="shared" si="1"/>
        <v>115</v>
      </c>
      <c r="B116" s="20" t="s">
        <v>744</v>
      </c>
      <c r="C116" s="21" t="s">
        <v>745</v>
      </c>
      <c r="D116" s="20" t="s">
        <v>746</v>
      </c>
      <c r="E116" s="20" t="s">
        <v>468</v>
      </c>
      <c r="F116" s="20" t="s">
        <v>32</v>
      </c>
      <c r="G116" s="20" t="s">
        <v>68</v>
      </c>
      <c r="H116" s="56">
        <v>44887.0</v>
      </c>
      <c r="I116" s="20" t="s">
        <v>172</v>
      </c>
      <c r="J116" s="27"/>
      <c r="K116" s="53" t="s">
        <v>747</v>
      </c>
      <c r="L116" s="20" t="s">
        <v>748</v>
      </c>
      <c r="M116" s="23">
        <v>5450.0</v>
      </c>
      <c r="N116" s="20" t="s">
        <v>749</v>
      </c>
      <c r="O116" s="27"/>
      <c r="P116" s="20" t="s">
        <v>750</v>
      </c>
      <c r="Q116" s="26">
        <v>90115.0</v>
      </c>
      <c r="R116" s="20">
        <v>2022.0</v>
      </c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19">
        <f t="shared" si="1"/>
        <v>116</v>
      </c>
      <c r="B117" s="20" t="s">
        <v>751</v>
      </c>
      <c r="C117" s="53" t="s">
        <v>752</v>
      </c>
      <c r="D117" s="20" t="s">
        <v>753</v>
      </c>
      <c r="E117" s="20" t="s">
        <v>91</v>
      </c>
      <c r="F117" s="20" t="s">
        <v>43</v>
      </c>
      <c r="G117" s="20" t="s">
        <v>33</v>
      </c>
      <c r="H117" s="56">
        <v>44453.0</v>
      </c>
      <c r="I117" s="20" t="s">
        <v>34</v>
      </c>
      <c r="J117" s="20">
        <v>35.0</v>
      </c>
      <c r="K117" s="53" t="s">
        <v>754</v>
      </c>
      <c r="L117" s="20" t="s">
        <v>755</v>
      </c>
      <c r="M117" s="23">
        <v>4500.0</v>
      </c>
      <c r="N117" s="27"/>
      <c r="O117" s="27"/>
      <c r="P117" s="20" t="s">
        <v>756</v>
      </c>
      <c r="Q117" s="26">
        <v>87997.0</v>
      </c>
      <c r="R117" s="20">
        <v>2022.0</v>
      </c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19">
        <f t="shared" si="1"/>
        <v>117</v>
      </c>
      <c r="B118" s="20" t="s">
        <v>757</v>
      </c>
      <c r="C118" s="53" t="s">
        <v>758</v>
      </c>
      <c r="D118" s="20" t="s">
        <v>41</v>
      </c>
      <c r="E118" s="20" t="s">
        <v>42</v>
      </c>
      <c r="F118" s="20" t="s">
        <v>43</v>
      </c>
      <c r="G118" s="20" t="s">
        <v>23</v>
      </c>
      <c r="H118" s="56">
        <v>44955.0</v>
      </c>
      <c r="I118" s="20" t="s">
        <v>172</v>
      </c>
      <c r="J118" s="20">
        <v>125.0</v>
      </c>
      <c r="K118" s="21" t="s">
        <v>759</v>
      </c>
      <c r="L118" s="27"/>
      <c r="M118" s="23">
        <v>35000.0</v>
      </c>
      <c r="N118" s="71" t="s">
        <v>760</v>
      </c>
      <c r="O118" s="53" t="s">
        <v>761</v>
      </c>
      <c r="P118" s="20" t="s">
        <v>721</v>
      </c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19">
        <f t="shared" si="1"/>
        <v>118</v>
      </c>
      <c r="B119" s="20" t="s">
        <v>762</v>
      </c>
      <c r="C119" s="21" t="s">
        <v>763</v>
      </c>
      <c r="D119" s="20" t="s">
        <v>764</v>
      </c>
      <c r="E119" s="20" t="s">
        <v>321</v>
      </c>
      <c r="F119" s="20" t="s">
        <v>22</v>
      </c>
      <c r="G119" s="20" t="s">
        <v>23</v>
      </c>
      <c r="H119" s="56">
        <v>44956.0</v>
      </c>
      <c r="I119" s="20" t="s">
        <v>172</v>
      </c>
      <c r="J119" s="20">
        <v>18.0</v>
      </c>
      <c r="K119" s="21" t="s">
        <v>765</v>
      </c>
      <c r="L119" s="27"/>
      <c r="M119" s="23">
        <v>15000.0</v>
      </c>
      <c r="N119" s="27"/>
      <c r="O119" s="53" t="s">
        <v>766</v>
      </c>
      <c r="P119" s="20" t="s">
        <v>767</v>
      </c>
      <c r="Q119" s="26">
        <v>87706.0</v>
      </c>
      <c r="R119" s="20">
        <v>2022.0</v>
      </c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19">
        <f t="shared" si="1"/>
        <v>119</v>
      </c>
      <c r="B120" s="20" t="s">
        <v>768</v>
      </c>
      <c r="C120" s="53" t="s">
        <v>769</v>
      </c>
      <c r="D120" s="20" t="s">
        <v>770</v>
      </c>
      <c r="E120" s="20" t="s">
        <v>436</v>
      </c>
      <c r="F120" s="20" t="s">
        <v>32</v>
      </c>
      <c r="G120" s="20" t="s">
        <v>68</v>
      </c>
      <c r="H120" s="56">
        <v>44965.0</v>
      </c>
      <c r="I120" s="20" t="s">
        <v>172</v>
      </c>
      <c r="J120" s="20">
        <v>450.0</v>
      </c>
      <c r="K120" s="21" t="s">
        <v>771</v>
      </c>
      <c r="L120" s="20" t="s">
        <v>772</v>
      </c>
      <c r="M120" s="23">
        <v>7800.0</v>
      </c>
      <c r="N120" s="27"/>
      <c r="O120" s="21" t="s">
        <v>771</v>
      </c>
      <c r="P120" s="20" t="s">
        <v>773</v>
      </c>
      <c r="Q120" s="26">
        <v>87039.0</v>
      </c>
      <c r="R120" s="20">
        <v>2022.0</v>
      </c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19">
        <f t="shared" si="1"/>
        <v>120</v>
      </c>
      <c r="B121" s="20" t="s">
        <v>774</v>
      </c>
      <c r="C121" s="53" t="s">
        <v>775</v>
      </c>
      <c r="D121" s="20" t="s">
        <v>776</v>
      </c>
      <c r="E121" s="20" t="s">
        <v>321</v>
      </c>
      <c r="F121" s="20" t="s">
        <v>22</v>
      </c>
      <c r="G121" s="20" t="s">
        <v>68</v>
      </c>
      <c r="H121" s="56">
        <v>44977.0</v>
      </c>
      <c r="I121" s="20" t="s">
        <v>172</v>
      </c>
      <c r="J121" s="20">
        <v>74.0</v>
      </c>
      <c r="K121" s="21" t="s">
        <v>777</v>
      </c>
      <c r="L121" s="27"/>
      <c r="M121" s="23">
        <v>12360.0</v>
      </c>
      <c r="N121" s="20" t="s">
        <v>778</v>
      </c>
      <c r="O121" s="21" t="s">
        <v>779</v>
      </c>
      <c r="P121" s="20" t="s">
        <v>780</v>
      </c>
      <c r="Q121" s="26">
        <v>121655.0</v>
      </c>
      <c r="R121" s="20">
        <v>2022.0</v>
      </c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19">
        <f t="shared" si="1"/>
        <v>121</v>
      </c>
      <c r="B122" s="20" t="s">
        <v>781</v>
      </c>
      <c r="C122" s="21" t="s">
        <v>782</v>
      </c>
      <c r="D122" s="20" t="s">
        <v>783</v>
      </c>
      <c r="E122" s="20" t="s">
        <v>436</v>
      </c>
      <c r="F122" s="20" t="s">
        <v>32</v>
      </c>
      <c r="G122" s="20" t="s">
        <v>33</v>
      </c>
      <c r="H122" s="56">
        <v>44992.0</v>
      </c>
      <c r="I122" s="20" t="s">
        <v>172</v>
      </c>
      <c r="J122" s="20">
        <v>45.0</v>
      </c>
      <c r="K122" s="21" t="s">
        <v>784</v>
      </c>
      <c r="L122" s="20" t="s">
        <v>785</v>
      </c>
      <c r="M122" s="23">
        <v>7950.0</v>
      </c>
      <c r="N122" s="27"/>
      <c r="O122" s="21" t="s">
        <v>786</v>
      </c>
      <c r="P122" s="20" t="s">
        <v>787</v>
      </c>
      <c r="Q122" s="26">
        <v>75787.0</v>
      </c>
      <c r="R122" s="20">
        <v>2022.0</v>
      </c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19">
        <f t="shared" si="1"/>
        <v>122</v>
      </c>
      <c r="B123" s="20" t="s">
        <v>788</v>
      </c>
      <c r="C123" s="21" t="s">
        <v>789</v>
      </c>
      <c r="D123" s="20" t="s">
        <v>790</v>
      </c>
      <c r="E123" s="20" t="s">
        <v>246</v>
      </c>
      <c r="F123" s="20" t="s">
        <v>67</v>
      </c>
      <c r="G123" s="20" t="s">
        <v>68</v>
      </c>
      <c r="H123" s="56">
        <v>44985.0</v>
      </c>
      <c r="I123" s="20" t="s">
        <v>172</v>
      </c>
      <c r="J123" s="20">
        <v>80.0</v>
      </c>
      <c r="K123" s="21" t="s">
        <v>791</v>
      </c>
      <c r="L123" s="20" t="s">
        <v>792</v>
      </c>
      <c r="M123" s="23">
        <v>7450.0</v>
      </c>
      <c r="N123" s="20"/>
      <c r="O123" s="21" t="s">
        <v>793</v>
      </c>
      <c r="P123" s="20" t="s">
        <v>794</v>
      </c>
      <c r="Q123" s="26">
        <v>110504.0</v>
      </c>
      <c r="R123" s="20">
        <v>2022.0</v>
      </c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19">
        <f t="shared" si="1"/>
        <v>123</v>
      </c>
      <c r="B124" s="20" t="s">
        <v>795</v>
      </c>
      <c r="C124" s="21" t="s">
        <v>796</v>
      </c>
      <c r="D124" s="20" t="s">
        <v>797</v>
      </c>
      <c r="E124" s="20" t="s">
        <v>42</v>
      </c>
      <c r="F124" s="20" t="s">
        <v>43</v>
      </c>
      <c r="G124" s="20" t="s">
        <v>23</v>
      </c>
      <c r="H124" s="56">
        <v>44998.0</v>
      </c>
      <c r="I124" s="20" t="s">
        <v>172</v>
      </c>
      <c r="J124" s="20">
        <v>64.0</v>
      </c>
      <c r="K124" s="21" t="s">
        <v>798</v>
      </c>
      <c r="L124" s="20" t="s">
        <v>799</v>
      </c>
      <c r="M124" s="23">
        <v>0.0</v>
      </c>
      <c r="N124" s="27"/>
      <c r="O124" s="27"/>
      <c r="P124" s="20" t="s">
        <v>800</v>
      </c>
      <c r="Q124" s="26">
        <v>129676.0</v>
      </c>
      <c r="R124" s="20">
        <v>2022.0</v>
      </c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19">
        <f t="shared" si="1"/>
        <v>124</v>
      </c>
      <c r="B125" s="20" t="s">
        <v>801</v>
      </c>
      <c r="C125" s="21" t="s">
        <v>802</v>
      </c>
      <c r="D125" s="20" t="s">
        <v>803</v>
      </c>
      <c r="E125" s="20" t="s">
        <v>804</v>
      </c>
      <c r="F125" s="20" t="s">
        <v>22</v>
      </c>
      <c r="G125" s="20" t="s">
        <v>33</v>
      </c>
      <c r="H125" s="56">
        <v>44999.0</v>
      </c>
      <c r="I125" s="20" t="s">
        <v>172</v>
      </c>
      <c r="J125" s="20">
        <v>60.0</v>
      </c>
      <c r="K125" s="53" t="s">
        <v>805</v>
      </c>
      <c r="L125" s="20" t="s">
        <v>806</v>
      </c>
      <c r="M125" s="23">
        <v>8000.0</v>
      </c>
      <c r="N125" s="20" t="s">
        <v>807</v>
      </c>
      <c r="O125" s="53" t="s">
        <v>808</v>
      </c>
      <c r="P125" s="20" t="s">
        <v>809</v>
      </c>
      <c r="Q125" s="26">
        <v>137797.0</v>
      </c>
      <c r="R125" s="20">
        <v>2022.0</v>
      </c>
      <c r="S125" s="27"/>
      <c r="T125" s="20" t="s">
        <v>810</v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19">
        <f t="shared" si="1"/>
        <v>125</v>
      </c>
      <c r="B126" s="20" t="s">
        <v>811</v>
      </c>
      <c r="C126" s="53" t="s">
        <v>812</v>
      </c>
      <c r="D126" s="20" t="s">
        <v>813</v>
      </c>
      <c r="E126" s="20" t="s">
        <v>107</v>
      </c>
      <c r="F126" s="20" t="s">
        <v>67</v>
      </c>
      <c r="G126" s="20" t="s">
        <v>506</v>
      </c>
      <c r="H126" s="56">
        <v>44998.0</v>
      </c>
      <c r="I126" s="20" t="s">
        <v>172</v>
      </c>
      <c r="J126" s="20">
        <v>50.0</v>
      </c>
      <c r="K126" s="53" t="s">
        <v>814</v>
      </c>
      <c r="L126" s="20" t="s">
        <v>815</v>
      </c>
      <c r="M126" s="23">
        <v>3600.0</v>
      </c>
      <c r="N126" s="27"/>
      <c r="O126" s="27"/>
      <c r="P126" s="20" t="s">
        <v>816</v>
      </c>
      <c r="Q126" s="26">
        <v>104187.0</v>
      </c>
      <c r="R126" s="20">
        <v>2022.0</v>
      </c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19">
        <f t="shared" si="1"/>
        <v>126</v>
      </c>
      <c r="B127" s="20" t="s">
        <v>817</v>
      </c>
      <c r="C127" s="53" t="s">
        <v>818</v>
      </c>
      <c r="D127" s="20" t="s">
        <v>819</v>
      </c>
      <c r="E127" s="20" t="s">
        <v>21</v>
      </c>
      <c r="F127" s="20" t="s">
        <v>22</v>
      </c>
      <c r="G127" s="20" t="s">
        <v>23</v>
      </c>
      <c r="H127" s="56">
        <v>45027.0</v>
      </c>
      <c r="I127" s="20" t="s">
        <v>172</v>
      </c>
      <c r="J127" s="27"/>
      <c r="K127" s="53" t="s">
        <v>820</v>
      </c>
      <c r="L127" s="20" t="s">
        <v>821</v>
      </c>
      <c r="M127" s="23">
        <v>18000.0</v>
      </c>
      <c r="N127" s="27"/>
      <c r="O127" s="27"/>
      <c r="P127" s="20" t="s">
        <v>822</v>
      </c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19">
        <f t="shared" si="1"/>
        <v>127</v>
      </c>
      <c r="B128" s="20" t="s">
        <v>823</v>
      </c>
      <c r="C128" s="21" t="s">
        <v>824</v>
      </c>
      <c r="D128" s="20" t="s">
        <v>825</v>
      </c>
      <c r="E128" s="20" t="s">
        <v>260</v>
      </c>
      <c r="F128" s="20" t="s">
        <v>32</v>
      </c>
      <c r="G128" s="20" t="s">
        <v>33</v>
      </c>
      <c r="H128" s="56">
        <v>45030.0</v>
      </c>
      <c r="I128" s="20" t="s">
        <v>714</v>
      </c>
      <c r="J128" s="27"/>
      <c r="K128" s="21" t="s">
        <v>826</v>
      </c>
      <c r="L128" s="20" t="s">
        <v>827</v>
      </c>
      <c r="M128" s="35"/>
      <c r="N128" s="27"/>
      <c r="O128" s="27"/>
      <c r="P128" s="20" t="s">
        <v>828</v>
      </c>
      <c r="Q128" s="26">
        <v>103615.0</v>
      </c>
      <c r="R128" s="20">
        <v>2022.0</v>
      </c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19">
        <f t="shared" si="1"/>
        <v>128</v>
      </c>
      <c r="B129" s="20" t="s">
        <v>829</v>
      </c>
      <c r="C129" s="53" t="s">
        <v>830</v>
      </c>
      <c r="D129" s="20" t="s">
        <v>831</v>
      </c>
      <c r="E129" s="20" t="s">
        <v>327</v>
      </c>
      <c r="F129" s="20" t="s">
        <v>67</v>
      </c>
      <c r="G129" s="20" t="s">
        <v>23</v>
      </c>
      <c r="H129" s="56">
        <v>45035.0</v>
      </c>
      <c r="I129" s="20" t="s">
        <v>832</v>
      </c>
      <c r="J129" s="27"/>
      <c r="K129" s="53" t="s">
        <v>833</v>
      </c>
      <c r="L129" s="27"/>
      <c r="M129" s="35"/>
      <c r="N129" s="27"/>
      <c r="O129" s="21" t="s">
        <v>830</v>
      </c>
      <c r="P129" s="20" t="s">
        <v>834</v>
      </c>
      <c r="Q129" s="26">
        <v>161169.0</v>
      </c>
      <c r="R129" s="20">
        <v>2022.0</v>
      </c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>
      <c r="A130" s="19">
        <f t="shared" si="1"/>
        <v>129</v>
      </c>
      <c r="B130" s="20" t="s">
        <v>835</v>
      </c>
      <c r="C130" s="21" t="s">
        <v>836</v>
      </c>
      <c r="D130" s="20" t="s">
        <v>467</v>
      </c>
      <c r="E130" s="20" t="s">
        <v>468</v>
      </c>
      <c r="F130" s="20" t="s">
        <v>32</v>
      </c>
      <c r="G130" s="20" t="s">
        <v>68</v>
      </c>
      <c r="H130" s="56">
        <v>45035.0</v>
      </c>
      <c r="I130" s="20" t="s">
        <v>172</v>
      </c>
      <c r="J130" s="20">
        <v>40.0</v>
      </c>
      <c r="K130" s="53" t="s">
        <v>837</v>
      </c>
      <c r="L130" s="20" t="s">
        <v>838</v>
      </c>
      <c r="M130" s="23">
        <v>0.0</v>
      </c>
      <c r="N130" s="27"/>
      <c r="O130" s="27"/>
      <c r="P130" s="20" t="s">
        <v>608</v>
      </c>
      <c r="Q130" s="26">
        <v>59476.0</v>
      </c>
      <c r="R130" s="20">
        <v>2022.0</v>
      </c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>
      <c r="A131" s="19">
        <f t="shared" si="1"/>
        <v>130</v>
      </c>
      <c r="B131" s="20" t="s">
        <v>839</v>
      </c>
      <c r="C131" s="21" t="s">
        <v>840</v>
      </c>
      <c r="D131" s="20" t="s">
        <v>841</v>
      </c>
      <c r="E131" s="20" t="s">
        <v>21</v>
      </c>
      <c r="F131" s="20" t="s">
        <v>22</v>
      </c>
      <c r="G131" s="20" t="s">
        <v>23</v>
      </c>
      <c r="H131" s="56">
        <v>45035.0</v>
      </c>
      <c r="I131" s="20" t="s">
        <v>172</v>
      </c>
      <c r="J131" s="20">
        <v>1000.0</v>
      </c>
      <c r="K131" s="53" t="s">
        <v>842</v>
      </c>
      <c r="L131" s="27"/>
      <c r="M131" s="35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>
      <c r="A132" s="19">
        <f t="shared" si="1"/>
        <v>131</v>
      </c>
      <c r="B132" s="20" t="s">
        <v>843</v>
      </c>
      <c r="C132" s="20"/>
      <c r="D132" s="20" t="s">
        <v>844</v>
      </c>
      <c r="E132" s="20" t="s">
        <v>197</v>
      </c>
      <c r="F132" s="20" t="s">
        <v>67</v>
      </c>
      <c r="G132" s="20" t="s">
        <v>68</v>
      </c>
      <c r="H132" s="56">
        <v>45039.0</v>
      </c>
      <c r="I132" s="20" t="s">
        <v>172</v>
      </c>
      <c r="J132" s="20">
        <v>144.0</v>
      </c>
      <c r="K132" s="53" t="s">
        <v>845</v>
      </c>
      <c r="L132" s="20" t="s">
        <v>846</v>
      </c>
      <c r="M132" s="23">
        <v>8000.0</v>
      </c>
      <c r="N132" s="20"/>
      <c r="O132" s="20"/>
      <c r="P132" s="20" t="s">
        <v>847</v>
      </c>
      <c r="Q132" s="26">
        <v>156183.0</v>
      </c>
      <c r="R132" s="20">
        <v>2022.0</v>
      </c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>
      <c r="A133" s="19">
        <f t="shared" si="1"/>
        <v>132</v>
      </c>
      <c r="B133" s="20" t="s">
        <v>848</v>
      </c>
      <c r="C133" s="21" t="s">
        <v>849</v>
      </c>
      <c r="D133" s="20" t="s">
        <v>701</v>
      </c>
      <c r="E133" s="20" t="s">
        <v>702</v>
      </c>
      <c r="F133" s="20" t="s">
        <v>67</v>
      </c>
      <c r="G133" s="20" t="s">
        <v>23</v>
      </c>
      <c r="H133" s="56">
        <v>45041.0</v>
      </c>
      <c r="I133" s="20" t="s">
        <v>172</v>
      </c>
      <c r="J133" s="20">
        <v>70.0</v>
      </c>
      <c r="K133" s="21" t="s">
        <v>850</v>
      </c>
      <c r="L133" s="20" t="s">
        <v>851</v>
      </c>
      <c r="M133" s="23">
        <v>19000.0</v>
      </c>
      <c r="N133" s="20" t="s">
        <v>852</v>
      </c>
      <c r="O133" s="21" t="s">
        <v>853</v>
      </c>
      <c r="P133" s="20" t="s">
        <v>854</v>
      </c>
      <c r="Q133" s="26">
        <v>45706.0</v>
      </c>
      <c r="R133" s="20">
        <v>2022.0</v>
      </c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>
      <c r="A134" s="19">
        <f t="shared" si="1"/>
        <v>133</v>
      </c>
      <c r="B134" s="20" t="s">
        <v>855</v>
      </c>
      <c r="C134" s="27"/>
      <c r="D134" s="20" t="s">
        <v>856</v>
      </c>
      <c r="E134" s="20" t="s">
        <v>246</v>
      </c>
      <c r="F134" s="20" t="s">
        <v>67</v>
      </c>
      <c r="G134" s="20" t="s">
        <v>68</v>
      </c>
      <c r="H134" s="56">
        <v>45064.0</v>
      </c>
      <c r="I134" s="20" t="s">
        <v>172</v>
      </c>
      <c r="J134" s="20">
        <v>32.0</v>
      </c>
      <c r="K134" s="53" t="s">
        <v>857</v>
      </c>
      <c r="L134" s="27"/>
      <c r="M134" s="23">
        <v>3500.0</v>
      </c>
      <c r="N134" s="27"/>
      <c r="O134" s="27"/>
      <c r="P134" s="20" t="s">
        <v>858</v>
      </c>
      <c r="Q134" s="26">
        <v>79558.0</v>
      </c>
      <c r="R134" s="20">
        <v>2022.0</v>
      </c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>
      <c r="A135" s="19">
        <f t="shared" si="1"/>
        <v>134</v>
      </c>
      <c r="B135" s="20" t="s">
        <v>859</v>
      </c>
      <c r="C135" s="53" t="s">
        <v>860</v>
      </c>
      <c r="D135" s="20" t="s">
        <v>861</v>
      </c>
      <c r="E135" s="20" t="s">
        <v>578</v>
      </c>
      <c r="F135" s="20" t="s">
        <v>22</v>
      </c>
      <c r="G135" s="20" t="s">
        <v>68</v>
      </c>
      <c r="H135" s="56">
        <v>45064.0</v>
      </c>
      <c r="I135" s="20" t="s">
        <v>172</v>
      </c>
      <c r="J135" s="27"/>
      <c r="K135" s="53" t="s">
        <v>862</v>
      </c>
      <c r="L135" s="20" t="s">
        <v>863</v>
      </c>
      <c r="M135" s="23">
        <v>6500.0</v>
      </c>
      <c r="N135" s="27"/>
      <c r="O135" s="20" t="s">
        <v>864</v>
      </c>
      <c r="P135" s="20" t="s">
        <v>865</v>
      </c>
      <c r="Q135" s="26">
        <v>60029.0</v>
      </c>
      <c r="R135" s="20">
        <v>2022.0</v>
      </c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>
      <c r="A136" s="19">
        <f t="shared" si="1"/>
        <v>135</v>
      </c>
      <c r="B136" s="20" t="s">
        <v>866</v>
      </c>
      <c r="C136" s="21" t="s">
        <v>867</v>
      </c>
      <c r="D136" s="20" t="s">
        <v>868</v>
      </c>
      <c r="E136" s="20" t="s">
        <v>83</v>
      </c>
      <c r="F136" s="20" t="s">
        <v>43</v>
      </c>
      <c r="G136" s="20" t="s">
        <v>237</v>
      </c>
      <c r="H136" s="56">
        <v>45068.0</v>
      </c>
      <c r="I136" s="20" t="s">
        <v>869</v>
      </c>
      <c r="J136" s="20">
        <v>100.0</v>
      </c>
      <c r="K136" s="21" t="s">
        <v>870</v>
      </c>
      <c r="L136" s="20" t="s">
        <v>871</v>
      </c>
      <c r="M136" s="23" t="s">
        <v>721</v>
      </c>
      <c r="N136" s="53" t="s">
        <v>872</v>
      </c>
      <c r="O136" s="27"/>
      <c r="P136" s="20" t="s">
        <v>873</v>
      </c>
      <c r="Q136" s="26">
        <v>97785.0</v>
      </c>
      <c r="R136" s="20">
        <v>2022.0</v>
      </c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ht="15.0" customHeight="1">
      <c r="A137" s="19">
        <f t="shared" si="1"/>
        <v>136</v>
      </c>
      <c r="B137" s="20" t="s">
        <v>874</v>
      </c>
      <c r="C137" s="53" t="s">
        <v>875</v>
      </c>
      <c r="D137" s="20" t="s">
        <v>876</v>
      </c>
      <c r="E137" s="20" t="s">
        <v>115</v>
      </c>
      <c r="F137" s="20" t="s">
        <v>32</v>
      </c>
      <c r="G137" s="20" t="s">
        <v>719</v>
      </c>
      <c r="H137" s="56">
        <v>45091.0</v>
      </c>
      <c r="I137" s="20" t="s">
        <v>172</v>
      </c>
      <c r="J137" s="20"/>
      <c r="K137" s="53" t="s">
        <v>877</v>
      </c>
      <c r="L137" s="20"/>
      <c r="M137" s="23"/>
      <c r="N137" s="27"/>
      <c r="O137" s="27"/>
      <c r="P137" s="20"/>
      <c r="Q137" s="26"/>
      <c r="R137" s="20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>
      <c r="A138" s="19">
        <f t="shared" si="1"/>
        <v>137</v>
      </c>
      <c r="B138" s="20" t="s">
        <v>878</v>
      </c>
      <c r="C138" s="21" t="s">
        <v>879</v>
      </c>
      <c r="D138" s="20" t="s">
        <v>880</v>
      </c>
      <c r="E138" s="20" t="s">
        <v>584</v>
      </c>
      <c r="F138" s="20" t="s">
        <v>67</v>
      </c>
      <c r="G138" s="20" t="s">
        <v>68</v>
      </c>
      <c r="H138" s="56">
        <v>44762.0</v>
      </c>
      <c r="I138" s="20" t="s">
        <v>24</v>
      </c>
      <c r="J138" s="27"/>
      <c r="K138" s="53" t="s">
        <v>881</v>
      </c>
      <c r="L138" s="27"/>
      <c r="M138" s="23">
        <v>5000.0</v>
      </c>
      <c r="N138" s="53" t="s">
        <v>882</v>
      </c>
      <c r="O138" s="27"/>
      <c r="P138" s="20" t="s">
        <v>883</v>
      </c>
      <c r="Q138" s="26">
        <v>84366.0</v>
      </c>
      <c r="R138" s="20">
        <v>2022.0</v>
      </c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>
      <c r="A139" s="19">
        <f t="shared" si="1"/>
        <v>138</v>
      </c>
      <c r="B139" s="20" t="s">
        <v>884</v>
      </c>
      <c r="C139" s="21" t="s">
        <v>885</v>
      </c>
      <c r="D139" s="20" t="s">
        <v>886</v>
      </c>
      <c r="E139" s="20" t="s">
        <v>122</v>
      </c>
      <c r="F139" s="20" t="s">
        <v>32</v>
      </c>
      <c r="G139" s="20" t="s">
        <v>23</v>
      </c>
      <c r="H139" s="56">
        <v>45092.0</v>
      </c>
      <c r="I139" s="20" t="s">
        <v>172</v>
      </c>
      <c r="J139" s="27"/>
      <c r="K139" s="53" t="s">
        <v>887</v>
      </c>
      <c r="L139" s="27"/>
      <c r="M139" s="23">
        <v>9450.0</v>
      </c>
      <c r="N139" s="27"/>
      <c r="O139" s="21" t="s">
        <v>888</v>
      </c>
      <c r="P139" s="20" t="s">
        <v>889</v>
      </c>
      <c r="Q139" s="26">
        <v>65415.0</v>
      </c>
      <c r="R139" s="20">
        <v>2022.0</v>
      </c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>
      <c r="A140" s="19">
        <f t="shared" si="1"/>
        <v>139</v>
      </c>
      <c r="B140" s="20" t="s">
        <v>890</v>
      </c>
      <c r="C140" s="21" t="s">
        <v>891</v>
      </c>
      <c r="D140" s="20" t="s">
        <v>892</v>
      </c>
      <c r="E140" s="20" t="s">
        <v>122</v>
      </c>
      <c r="F140" s="20" t="s">
        <v>32</v>
      </c>
      <c r="G140" s="20" t="s">
        <v>68</v>
      </c>
      <c r="H140" s="56">
        <v>45099.0</v>
      </c>
      <c r="I140" s="20" t="s">
        <v>172</v>
      </c>
      <c r="J140" s="27"/>
      <c r="K140" s="21" t="s">
        <v>893</v>
      </c>
      <c r="L140" s="27"/>
      <c r="M140" s="23">
        <v>5500.0</v>
      </c>
      <c r="N140" s="20" t="s">
        <v>894</v>
      </c>
      <c r="O140" s="27"/>
      <c r="P140" s="20" t="s">
        <v>895</v>
      </c>
      <c r="Q140" s="26">
        <v>140344.0</v>
      </c>
      <c r="R140" s="20">
        <v>2022.0</v>
      </c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>
      <c r="A141" s="19">
        <f t="shared" si="1"/>
        <v>140</v>
      </c>
      <c r="B141" s="72" t="s">
        <v>896</v>
      </c>
      <c r="C141" s="21" t="s">
        <v>897</v>
      </c>
      <c r="D141" s="20" t="s">
        <v>898</v>
      </c>
      <c r="E141" s="20" t="s">
        <v>702</v>
      </c>
      <c r="F141" s="20" t="s">
        <v>67</v>
      </c>
      <c r="G141" s="20" t="s">
        <v>68</v>
      </c>
      <c r="H141" s="56">
        <v>45101.0</v>
      </c>
      <c r="I141" s="20" t="s">
        <v>172</v>
      </c>
      <c r="J141" s="27"/>
      <c r="K141" s="53" t="s">
        <v>899</v>
      </c>
      <c r="L141" s="27"/>
      <c r="M141" s="23">
        <v>4000.0</v>
      </c>
      <c r="N141" s="20" t="s">
        <v>900</v>
      </c>
      <c r="O141" s="27"/>
      <c r="P141" s="20" t="s">
        <v>901</v>
      </c>
      <c r="Q141" s="26">
        <v>75630.0</v>
      </c>
      <c r="R141" s="20">
        <v>2022.0</v>
      </c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19">
        <f t="shared" si="1"/>
        <v>141</v>
      </c>
      <c r="B142" s="57" t="s">
        <v>902</v>
      </c>
      <c r="C142" s="58" t="s">
        <v>903</v>
      </c>
      <c r="D142" s="57" t="s">
        <v>904</v>
      </c>
      <c r="E142" s="57" t="s">
        <v>122</v>
      </c>
      <c r="F142" s="57" t="s">
        <v>32</v>
      </c>
      <c r="G142" s="57" t="s">
        <v>23</v>
      </c>
      <c r="H142" s="59"/>
      <c r="I142" s="60">
        <v>2023.0</v>
      </c>
      <c r="J142" s="57" t="s">
        <v>640</v>
      </c>
      <c r="K142" s="57" t="s">
        <v>640</v>
      </c>
      <c r="L142" s="57" t="s">
        <v>905</v>
      </c>
      <c r="M142" s="61">
        <v>50000.0</v>
      </c>
      <c r="N142" s="73"/>
      <c r="O142" s="73"/>
      <c r="P142" s="57" t="s">
        <v>906</v>
      </c>
      <c r="Q142" s="61">
        <v>173459.0</v>
      </c>
      <c r="R142" s="60">
        <v>2023.0</v>
      </c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19">
        <f t="shared" si="1"/>
        <v>142</v>
      </c>
      <c r="B143" s="57" t="s">
        <v>907</v>
      </c>
      <c r="C143" s="58" t="s">
        <v>908</v>
      </c>
      <c r="D143" s="57" t="s">
        <v>909</v>
      </c>
      <c r="E143" s="57" t="s">
        <v>122</v>
      </c>
      <c r="F143" s="57" t="s">
        <v>32</v>
      </c>
      <c r="G143" s="57" t="s">
        <v>23</v>
      </c>
      <c r="H143" s="74"/>
      <c r="I143" s="60">
        <v>2023.0</v>
      </c>
      <c r="J143" s="57" t="s">
        <v>910</v>
      </c>
      <c r="K143" s="57" t="s">
        <v>640</v>
      </c>
      <c r="L143" s="57" t="s">
        <v>911</v>
      </c>
      <c r="M143" s="61">
        <v>40000.0</v>
      </c>
      <c r="N143" s="73"/>
      <c r="O143" s="73"/>
      <c r="P143" s="57" t="s">
        <v>912</v>
      </c>
      <c r="Q143" s="61">
        <v>149084.0</v>
      </c>
      <c r="R143" s="60">
        <v>2023.0</v>
      </c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19">
        <f t="shared" si="1"/>
        <v>143</v>
      </c>
      <c r="B144" s="57" t="s">
        <v>913</v>
      </c>
      <c r="C144" s="58" t="s">
        <v>914</v>
      </c>
      <c r="D144" s="57" t="s">
        <v>915</v>
      </c>
      <c r="E144" s="57" t="s">
        <v>122</v>
      </c>
      <c r="F144" s="57" t="s">
        <v>32</v>
      </c>
      <c r="G144" s="57" t="s">
        <v>23</v>
      </c>
      <c r="H144" s="59"/>
      <c r="I144" s="60">
        <v>2023.0</v>
      </c>
      <c r="J144" s="57" t="s">
        <v>640</v>
      </c>
      <c r="K144" s="57" t="s">
        <v>640</v>
      </c>
      <c r="L144" s="57" t="s">
        <v>916</v>
      </c>
      <c r="M144" s="61">
        <v>40000.0</v>
      </c>
      <c r="N144" s="73"/>
      <c r="O144" s="73"/>
      <c r="P144" s="57" t="s">
        <v>917</v>
      </c>
      <c r="Q144" s="61">
        <v>136169.0</v>
      </c>
      <c r="R144" s="60">
        <v>2023.0</v>
      </c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19">
        <f t="shared" si="1"/>
        <v>144</v>
      </c>
      <c r="B145" s="57" t="s">
        <v>918</v>
      </c>
      <c r="C145" s="58" t="s">
        <v>919</v>
      </c>
      <c r="D145" s="57" t="s">
        <v>915</v>
      </c>
      <c r="E145" s="57" t="s">
        <v>122</v>
      </c>
      <c r="F145" s="57" t="s">
        <v>32</v>
      </c>
      <c r="G145" s="57" t="s">
        <v>23</v>
      </c>
      <c r="H145" s="59"/>
      <c r="I145" s="60">
        <v>2023.0</v>
      </c>
      <c r="J145" s="57" t="s">
        <v>640</v>
      </c>
      <c r="K145" s="57" t="s">
        <v>640</v>
      </c>
      <c r="L145" s="57" t="s">
        <v>920</v>
      </c>
      <c r="M145" s="61">
        <v>40000.0</v>
      </c>
      <c r="N145" s="73"/>
      <c r="O145" s="73"/>
      <c r="P145" s="57" t="s">
        <v>921</v>
      </c>
      <c r="Q145" s="61">
        <v>184636.0</v>
      </c>
      <c r="R145" s="60">
        <v>2023.0</v>
      </c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19">
        <f t="shared" si="1"/>
        <v>145</v>
      </c>
      <c r="B146" s="20" t="s">
        <v>922</v>
      </c>
      <c r="C146" s="53" t="s">
        <v>923</v>
      </c>
      <c r="D146" s="20" t="s">
        <v>924</v>
      </c>
      <c r="E146" s="20" t="s">
        <v>662</v>
      </c>
      <c r="F146" s="20" t="s">
        <v>32</v>
      </c>
      <c r="G146" s="20" t="s">
        <v>68</v>
      </c>
      <c r="H146" s="56">
        <v>45112.0</v>
      </c>
      <c r="I146" s="20" t="s">
        <v>172</v>
      </c>
      <c r="J146" s="20">
        <v>11.0</v>
      </c>
      <c r="K146" s="21" t="s">
        <v>925</v>
      </c>
      <c r="L146" s="27"/>
      <c r="M146" s="23">
        <v>6500.0</v>
      </c>
      <c r="N146" s="27"/>
      <c r="O146" s="27"/>
      <c r="P146" s="20" t="s">
        <v>926</v>
      </c>
      <c r="Q146" s="26">
        <v>62308.0</v>
      </c>
      <c r="R146" s="20">
        <v>2022.0</v>
      </c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19">
        <f t="shared" si="1"/>
        <v>146</v>
      </c>
      <c r="B147" s="20" t="s">
        <v>927</v>
      </c>
      <c r="C147" s="72"/>
      <c r="D147" s="20" t="s">
        <v>928</v>
      </c>
      <c r="E147" s="20" t="s">
        <v>732</v>
      </c>
      <c r="F147" s="20" t="s">
        <v>22</v>
      </c>
      <c r="G147" s="20" t="s">
        <v>68</v>
      </c>
      <c r="H147" s="56">
        <v>45112.0</v>
      </c>
      <c r="I147" s="20"/>
      <c r="J147" s="27"/>
      <c r="K147" s="53" t="s">
        <v>929</v>
      </c>
      <c r="L147" s="20"/>
      <c r="M147" s="35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19">
        <f t="shared" si="1"/>
        <v>147</v>
      </c>
      <c r="B148" s="20" t="s">
        <v>930</v>
      </c>
      <c r="C148" s="53" t="s">
        <v>931</v>
      </c>
      <c r="D148" s="20" t="s">
        <v>932</v>
      </c>
      <c r="E148" s="20" t="s">
        <v>21</v>
      </c>
      <c r="F148" s="20" t="s">
        <v>22</v>
      </c>
      <c r="G148" s="20" t="s">
        <v>33</v>
      </c>
      <c r="H148" s="56">
        <v>45119.0</v>
      </c>
      <c r="I148" s="20" t="s">
        <v>714</v>
      </c>
      <c r="J148" s="27"/>
      <c r="K148" s="21" t="s">
        <v>933</v>
      </c>
      <c r="L148" s="20" t="s">
        <v>934</v>
      </c>
      <c r="M148" s="35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19">
        <f t="shared" si="1"/>
        <v>148</v>
      </c>
      <c r="B149" s="20" t="s">
        <v>935</v>
      </c>
      <c r="C149" s="21" t="s">
        <v>931</v>
      </c>
      <c r="D149" s="20" t="s">
        <v>932</v>
      </c>
      <c r="E149" s="20" t="s">
        <v>21</v>
      </c>
      <c r="F149" s="20" t="s">
        <v>22</v>
      </c>
      <c r="G149" s="20" t="s">
        <v>33</v>
      </c>
      <c r="H149" s="56">
        <v>45119.0</v>
      </c>
      <c r="I149" s="20" t="s">
        <v>714</v>
      </c>
      <c r="J149" s="27"/>
      <c r="K149" s="21" t="s">
        <v>933</v>
      </c>
      <c r="L149" s="20" t="s">
        <v>936</v>
      </c>
      <c r="M149" s="35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19">
        <f t="shared" si="1"/>
        <v>149</v>
      </c>
      <c r="B150" s="20" t="s">
        <v>937</v>
      </c>
      <c r="C150" s="21" t="s">
        <v>938</v>
      </c>
      <c r="D150" s="20" t="s">
        <v>886</v>
      </c>
      <c r="E150" s="20" t="s">
        <v>122</v>
      </c>
      <c r="F150" s="20" t="s">
        <v>32</v>
      </c>
      <c r="G150" s="20" t="s">
        <v>68</v>
      </c>
      <c r="H150" s="56">
        <v>45120.0</v>
      </c>
      <c r="I150" s="20" t="s">
        <v>172</v>
      </c>
      <c r="J150" s="20">
        <v>90.0</v>
      </c>
      <c r="K150" s="53" t="s">
        <v>939</v>
      </c>
      <c r="L150" s="20" t="s">
        <v>940</v>
      </c>
      <c r="M150" s="23">
        <v>4200.0</v>
      </c>
      <c r="N150" s="27"/>
      <c r="O150" s="53" t="s">
        <v>941</v>
      </c>
      <c r="P150" s="20" t="s">
        <v>942</v>
      </c>
      <c r="Q150" s="26">
        <v>91456.0</v>
      </c>
      <c r="R150" s="20">
        <v>2022.0</v>
      </c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19">
        <f t="shared" si="1"/>
        <v>150</v>
      </c>
      <c r="B151" s="20" t="s">
        <v>943</v>
      </c>
      <c r="C151" s="53" t="s">
        <v>944</v>
      </c>
      <c r="D151" s="20" t="s">
        <v>945</v>
      </c>
      <c r="E151" s="20" t="s">
        <v>21</v>
      </c>
      <c r="F151" s="20" t="s">
        <v>22</v>
      </c>
      <c r="G151" s="20" t="s">
        <v>237</v>
      </c>
      <c r="H151" s="56">
        <v>45132.0</v>
      </c>
      <c r="I151" s="20" t="s">
        <v>172</v>
      </c>
      <c r="J151" s="20"/>
      <c r="K151" s="53" t="s">
        <v>946</v>
      </c>
      <c r="L151" s="20" t="s">
        <v>947</v>
      </c>
      <c r="M151" s="23">
        <v>25000.0</v>
      </c>
      <c r="N151" s="20" t="s">
        <v>948</v>
      </c>
      <c r="O151" s="27"/>
      <c r="P151" s="20" t="s">
        <v>949</v>
      </c>
      <c r="Q151" s="26">
        <v>207784.0</v>
      </c>
      <c r="R151" s="20">
        <v>2022.0</v>
      </c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19">
        <f t="shared" si="1"/>
        <v>151</v>
      </c>
      <c r="B152" s="20" t="s">
        <v>950</v>
      </c>
      <c r="C152" s="21" t="s">
        <v>951</v>
      </c>
      <c r="D152" s="20" t="s">
        <v>952</v>
      </c>
      <c r="E152" s="20" t="s">
        <v>115</v>
      </c>
      <c r="F152" s="20" t="s">
        <v>32</v>
      </c>
      <c r="G152" s="20" t="s">
        <v>68</v>
      </c>
      <c r="H152" s="22">
        <v>44743.0</v>
      </c>
      <c r="I152" s="20" t="s">
        <v>24</v>
      </c>
      <c r="J152" s="27"/>
      <c r="K152" s="21" t="s">
        <v>951</v>
      </c>
      <c r="L152" s="20" t="s">
        <v>953</v>
      </c>
      <c r="M152" s="23">
        <v>6500.0</v>
      </c>
      <c r="N152" s="20" t="s">
        <v>954</v>
      </c>
      <c r="O152" s="21" t="s">
        <v>955</v>
      </c>
      <c r="P152" s="20" t="s">
        <v>721</v>
      </c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19">
        <f t="shared" si="1"/>
        <v>152</v>
      </c>
      <c r="B153" s="20" t="s">
        <v>956</v>
      </c>
      <c r="C153" s="53" t="s">
        <v>957</v>
      </c>
      <c r="D153" s="20" t="s">
        <v>958</v>
      </c>
      <c r="E153" s="20" t="s">
        <v>436</v>
      </c>
      <c r="F153" s="20" t="s">
        <v>32</v>
      </c>
      <c r="G153" s="20" t="s">
        <v>68</v>
      </c>
      <c r="H153" s="22">
        <v>45122.0</v>
      </c>
      <c r="I153" s="20" t="s">
        <v>172</v>
      </c>
      <c r="J153" s="20"/>
      <c r="K153" s="72"/>
      <c r="L153" s="27"/>
      <c r="M153" s="35"/>
      <c r="N153" s="20" t="s">
        <v>959</v>
      </c>
      <c r="O153" s="27"/>
      <c r="P153" s="20" t="s">
        <v>960</v>
      </c>
      <c r="Q153" s="26">
        <v>54991.0</v>
      </c>
      <c r="R153" s="20">
        <v>2022.0</v>
      </c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19">
        <f t="shared" si="1"/>
        <v>153</v>
      </c>
      <c r="B154" s="20" t="s">
        <v>961</v>
      </c>
      <c r="C154" s="27"/>
      <c r="D154" s="20" t="s">
        <v>962</v>
      </c>
      <c r="E154" s="20" t="s">
        <v>662</v>
      </c>
      <c r="F154" s="20" t="s">
        <v>22</v>
      </c>
      <c r="G154" s="20" t="s">
        <v>23</v>
      </c>
      <c r="H154" s="56">
        <v>45133.0</v>
      </c>
      <c r="I154" s="20" t="s">
        <v>172</v>
      </c>
      <c r="J154" s="20">
        <v>8.0</v>
      </c>
      <c r="K154" s="53" t="s">
        <v>963</v>
      </c>
      <c r="L154" s="27"/>
      <c r="M154" s="35"/>
      <c r="N154" s="27"/>
      <c r="O154" s="27"/>
      <c r="P154" s="20" t="s">
        <v>964</v>
      </c>
      <c r="Q154" s="26">
        <v>146724.0</v>
      </c>
      <c r="R154" s="20">
        <v>2022.0</v>
      </c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19">
        <f t="shared" si="1"/>
        <v>154</v>
      </c>
      <c r="B155" s="20" t="s">
        <v>965</v>
      </c>
      <c r="C155" s="53" t="s">
        <v>966</v>
      </c>
      <c r="D155" s="20" t="s">
        <v>701</v>
      </c>
      <c r="E155" s="20" t="s">
        <v>197</v>
      </c>
      <c r="F155" s="20" t="s">
        <v>67</v>
      </c>
      <c r="G155" s="20" t="s">
        <v>23</v>
      </c>
      <c r="H155" s="56">
        <v>45139.0</v>
      </c>
      <c r="I155" s="20" t="s">
        <v>172</v>
      </c>
      <c r="J155" s="27"/>
      <c r="K155" s="21" t="s">
        <v>967</v>
      </c>
      <c r="L155" s="27"/>
      <c r="M155" s="23">
        <v>8000.0</v>
      </c>
      <c r="N155" s="27"/>
      <c r="O155" s="27"/>
      <c r="P155" s="20" t="s">
        <v>968</v>
      </c>
      <c r="Q155" s="26">
        <v>91495.0</v>
      </c>
      <c r="R155" s="20">
        <v>2022.0</v>
      </c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19">
        <f t="shared" si="1"/>
        <v>155</v>
      </c>
      <c r="B156" s="20" t="s">
        <v>969</v>
      </c>
      <c r="C156" s="21" t="s">
        <v>970</v>
      </c>
      <c r="D156" s="20" t="s">
        <v>971</v>
      </c>
      <c r="E156" s="20" t="s">
        <v>83</v>
      </c>
      <c r="F156" s="20" t="s">
        <v>43</v>
      </c>
      <c r="G156" s="20" t="s">
        <v>68</v>
      </c>
      <c r="H156" s="56">
        <v>45139.0</v>
      </c>
      <c r="I156" s="20" t="s">
        <v>172</v>
      </c>
      <c r="J156" s="20">
        <v>30.0</v>
      </c>
      <c r="K156" s="21" t="s">
        <v>972</v>
      </c>
      <c r="L156" s="27"/>
      <c r="M156" s="23">
        <v>5000.0</v>
      </c>
      <c r="N156" s="20" t="s">
        <v>973</v>
      </c>
      <c r="O156" s="53" t="s">
        <v>974</v>
      </c>
      <c r="P156" s="20" t="s">
        <v>975</v>
      </c>
      <c r="Q156" s="26">
        <v>98339.0</v>
      </c>
      <c r="R156" s="20">
        <v>2022.0</v>
      </c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19">
        <f t="shared" si="1"/>
        <v>156</v>
      </c>
      <c r="B157" s="20" t="s">
        <v>976</v>
      </c>
      <c r="C157" s="53" t="s">
        <v>977</v>
      </c>
      <c r="D157" s="20" t="s">
        <v>978</v>
      </c>
      <c r="E157" s="20" t="s">
        <v>66</v>
      </c>
      <c r="F157" s="20" t="s">
        <v>32</v>
      </c>
      <c r="G157" s="20" t="s">
        <v>68</v>
      </c>
      <c r="H157" s="56">
        <v>45144.0</v>
      </c>
      <c r="I157" s="20" t="s">
        <v>172</v>
      </c>
      <c r="J157" s="20">
        <v>15.0</v>
      </c>
      <c r="K157" s="21" t="s">
        <v>979</v>
      </c>
      <c r="L157" s="27"/>
      <c r="M157" s="23">
        <v>3750.0</v>
      </c>
      <c r="N157" s="20" t="s">
        <v>980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19">
        <f t="shared" si="1"/>
        <v>157</v>
      </c>
      <c r="B158" s="20" t="s">
        <v>744</v>
      </c>
      <c r="C158" s="53" t="s">
        <v>745</v>
      </c>
      <c r="D158" s="20" t="s">
        <v>981</v>
      </c>
      <c r="E158" s="20" t="s">
        <v>468</v>
      </c>
      <c r="F158" s="20" t="s">
        <v>32</v>
      </c>
      <c r="G158" s="20" t="s">
        <v>68</v>
      </c>
      <c r="H158" s="56">
        <v>45142.0</v>
      </c>
      <c r="I158" s="20" t="s">
        <v>172</v>
      </c>
      <c r="J158" s="20">
        <v>20.0</v>
      </c>
      <c r="K158" s="53" t="s">
        <v>982</v>
      </c>
      <c r="L158" s="20" t="s">
        <v>983</v>
      </c>
      <c r="M158" s="23">
        <v>5400.0</v>
      </c>
      <c r="N158" s="27"/>
      <c r="O158" s="27"/>
      <c r="P158" s="20" t="s">
        <v>984</v>
      </c>
      <c r="Q158" s="20" t="s">
        <v>985</v>
      </c>
      <c r="R158" s="20">
        <v>2022.0</v>
      </c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19">
        <f t="shared" si="1"/>
        <v>158</v>
      </c>
      <c r="B159" s="20" t="s">
        <v>986</v>
      </c>
      <c r="C159" s="21" t="s">
        <v>987</v>
      </c>
      <c r="D159" s="75" t="s">
        <v>988</v>
      </c>
      <c r="E159" s="20" t="s">
        <v>327</v>
      </c>
      <c r="F159" s="20" t="s">
        <v>67</v>
      </c>
      <c r="G159" s="20" t="s">
        <v>33</v>
      </c>
      <c r="H159" s="22">
        <v>45148.0</v>
      </c>
      <c r="I159" s="20" t="s">
        <v>714</v>
      </c>
      <c r="J159" s="20"/>
      <c r="K159" s="21" t="s">
        <v>989</v>
      </c>
      <c r="L159" s="20" t="s">
        <v>990</v>
      </c>
      <c r="M159" s="35">
        <f>(3820+4190)/2</f>
        <v>4005</v>
      </c>
      <c r="N159" s="20" t="s">
        <v>991</v>
      </c>
      <c r="O159" s="53" t="s">
        <v>992</v>
      </c>
      <c r="P159" s="20" t="s">
        <v>993</v>
      </c>
      <c r="Q159" s="26">
        <v>55294.0</v>
      </c>
      <c r="R159" s="20">
        <v>2022.0</v>
      </c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19">
        <f t="shared" si="1"/>
        <v>159</v>
      </c>
      <c r="B160" s="20" t="s">
        <v>994</v>
      </c>
      <c r="C160" s="21" t="s">
        <v>995</v>
      </c>
      <c r="D160" s="20" t="s">
        <v>996</v>
      </c>
      <c r="E160" s="20" t="s">
        <v>83</v>
      </c>
      <c r="F160" s="20" t="s">
        <v>43</v>
      </c>
      <c r="G160" s="20" t="s">
        <v>237</v>
      </c>
      <c r="H160" s="22">
        <v>44854.0</v>
      </c>
      <c r="I160" s="20" t="s">
        <v>172</v>
      </c>
      <c r="J160" s="27"/>
      <c r="K160" s="53" t="s">
        <v>997</v>
      </c>
      <c r="L160" s="27"/>
      <c r="M160" s="35"/>
      <c r="N160" s="27"/>
      <c r="O160" s="27"/>
      <c r="P160" s="20" t="s">
        <v>998</v>
      </c>
      <c r="Q160" s="26">
        <v>195843.0</v>
      </c>
      <c r="R160" s="20">
        <v>2022.0</v>
      </c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19">
        <f t="shared" si="1"/>
        <v>160</v>
      </c>
      <c r="B161" s="20" t="s">
        <v>999</v>
      </c>
      <c r="C161" s="53" t="s">
        <v>1000</v>
      </c>
      <c r="D161" s="20" t="s">
        <v>1001</v>
      </c>
      <c r="E161" s="20" t="s">
        <v>21</v>
      </c>
      <c r="F161" s="20" t="s">
        <v>22</v>
      </c>
      <c r="G161" s="20" t="s">
        <v>23</v>
      </c>
      <c r="H161" s="56">
        <v>45172.0</v>
      </c>
      <c r="I161" s="20" t="s">
        <v>172</v>
      </c>
      <c r="J161" s="20">
        <v>30.0</v>
      </c>
      <c r="K161" s="53" t="s">
        <v>1002</v>
      </c>
      <c r="L161" s="20" t="s">
        <v>1003</v>
      </c>
      <c r="M161" s="23">
        <v>0.0</v>
      </c>
      <c r="N161" s="27"/>
      <c r="O161" s="27"/>
      <c r="P161" s="20" t="s">
        <v>1004</v>
      </c>
      <c r="Q161" s="26">
        <v>122372.0</v>
      </c>
      <c r="R161" s="20">
        <v>2023.0</v>
      </c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19">
        <f t="shared" si="1"/>
        <v>161</v>
      </c>
      <c r="B162" s="20" t="s">
        <v>859</v>
      </c>
      <c r="C162" s="21" t="s">
        <v>1005</v>
      </c>
      <c r="D162" s="20" t="s">
        <v>861</v>
      </c>
      <c r="E162" s="20" t="s">
        <v>578</v>
      </c>
      <c r="F162" s="20" t="s">
        <v>22</v>
      </c>
      <c r="G162" s="20" t="s">
        <v>68</v>
      </c>
      <c r="H162" s="22">
        <v>45168.0</v>
      </c>
      <c r="I162" s="20" t="s">
        <v>172</v>
      </c>
      <c r="J162" s="27"/>
      <c r="K162" s="21" t="s">
        <v>1006</v>
      </c>
      <c r="L162" s="20" t="s">
        <v>1007</v>
      </c>
      <c r="M162" s="35"/>
      <c r="N162" s="27"/>
      <c r="O162" s="27"/>
      <c r="P162" s="20" t="s">
        <v>1008</v>
      </c>
      <c r="Q162" s="26">
        <v>81032.0</v>
      </c>
      <c r="R162" s="20">
        <v>2023.0</v>
      </c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19">
        <f t="shared" si="1"/>
        <v>162</v>
      </c>
      <c r="B163" s="20" t="s">
        <v>1009</v>
      </c>
      <c r="C163" s="53" t="s">
        <v>1010</v>
      </c>
      <c r="D163" s="20" t="s">
        <v>454</v>
      </c>
      <c r="E163" s="20" t="s">
        <v>122</v>
      </c>
      <c r="F163" s="20" t="s">
        <v>22</v>
      </c>
      <c r="G163" s="20" t="s">
        <v>23</v>
      </c>
      <c r="H163" s="22">
        <v>45215.0</v>
      </c>
      <c r="I163" s="20" t="s">
        <v>172</v>
      </c>
      <c r="J163" s="20">
        <v>44.0</v>
      </c>
      <c r="K163" s="53" t="s">
        <v>1011</v>
      </c>
      <c r="L163" s="20" t="s">
        <v>1012</v>
      </c>
      <c r="M163" s="23">
        <v>28500.0</v>
      </c>
      <c r="N163" s="27"/>
      <c r="O163" s="27"/>
      <c r="P163" s="20" t="s">
        <v>1013</v>
      </c>
      <c r="Q163" s="26">
        <v>62580.0</v>
      </c>
      <c r="R163" s="20">
        <v>2023.0</v>
      </c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19">
        <f t="shared" si="1"/>
        <v>163</v>
      </c>
      <c r="B164" s="20" t="s">
        <v>1014</v>
      </c>
      <c r="C164" s="53" t="s">
        <v>1015</v>
      </c>
      <c r="D164" s="20" t="s">
        <v>20</v>
      </c>
      <c r="E164" s="20" t="s">
        <v>21</v>
      </c>
      <c r="F164" s="20" t="s">
        <v>22</v>
      </c>
      <c r="G164" s="20" t="s">
        <v>23</v>
      </c>
      <c r="H164" s="22">
        <v>45217.0</v>
      </c>
      <c r="I164" s="20" t="s">
        <v>714</v>
      </c>
      <c r="J164" s="27"/>
      <c r="K164" s="53" t="s">
        <v>1016</v>
      </c>
      <c r="L164" s="20" t="s">
        <v>1017</v>
      </c>
      <c r="M164" s="23">
        <v>24950.0</v>
      </c>
      <c r="N164" s="20" t="s">
        <v>1018</v>
      </c>
      <c r="O164" s="27"/>
      <c r="P164" s="20" t="s">
        <v>1019</v>
      </c>
      <c r="Q164" s="26">
        <v>109104.0</v>
      </c>
      <c r="R164" s="20">
        <v>2023.0</v>
      </c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19">
        <f t="shared" si="1"/>
        <v>164</v>
      </c>
      <c r="B165" s="20" t="s">
        <v>1020</v>
      </c>
      <c r="C165" s="21" t="s">
        <v>1021</v>
      </c>
      <c r="D165" s="20" t="s">
        <v>1022</v>
      </c>
      <c r="E165" s="20" t="s">
        <v>436</v>
      </c>
      <c r="F165" s="20" t="s">
        <v>32</v>
      </c>
      <c r="G165" s="20" t="s">
        <v>68</v>
      </c>
      <c r="H165" s="22">
        <v>45217.0</v>
      </c>
      <c r="I165" s="20" t="s">
        <v>714</v>
      </c>
      <c r="J165" s="27"/>
      <c r="K165" s="53" t="s">
        <v>1023</v>
      </c>
      <c r="L165" s="27"/>
      <c r="M165" s="35"/>
      <c r="N165" s="27"/>
      <c r="O165" s="27"/>
      <c r="P165" s="20" t="s">
        <v>1024</v>
      </c>
      <c r="Q165" s="26">
        <v>116689.0</v>
      </c>
      <c r="R165" s="20">
        <v>2023.0</v>
      </c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19">
        <f t="shared" si="1"/>
        <v>165</v>
      </c>
      <c r="B166" s="20" t="s">
        <v>1025</v>
      </c>
      <c r="C166" s="27"/>
      <c r="D166" s="20" t="s">
        <v>1026</v>
      </c>
      <c r="E166" s="20" t="s">
        <v>31</v>
      </c>
      <c r="F166" s="20" t="s">
        <v>32</v>
      </c>
      <c r="G166" s="20" t="s">
        <v>23</v>
      </c>
      <c r="H166" s="56">
        <v>45223.0</v>
      </c>
      <c r="I166" s="20" t="s">
        <v>1027</v>
      </c>
      <c r="J166" s="27"/>
      <c r="K166" s="21" t="s">
        <v>1028</v>
      </c>
      <c r="L166" s="27"/>
      <c r="M166" s="35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19">
        <f t="shared" si="1"/>
        <v>166</v>
      </c>
      <c r="B167" s="20" t="s">
        <v>1029</v>
      </c>
      <c r="C167" s="53" t="s">
        <v>1030</v>
      </c>
      <c r="D167" s="20" t="s">
        <v>1031</v>
      </c>
      <c r="E167" s="20" t="s">
        <v>436</v>
      </c>
      <c r="F167" s="20" t="s">
        <v>32</v>
      </c>
      <c r="G167" s="20" t="s">
        <v>23</v>
      </c>
      <c r="H167" s="56">
        <v>45222.0</v>
      </c>
      <c r="I167" s="70">
        <v>45352.0</v>
      </c>
      <c r="J167" s="27"/>
      <c r="K167" s="21" t="s">
        <v>1032</v>
      </c>
      <c r="L167" s="27"/>
      <c r="M167" s="35">
        <f>(29050+24500+28800)/3</f>
        <v>27450</v>
      </c>
      <c r="N167" s="20" t="s">
        <v>1033</v>
      </c>
      <c r="O167" s="53" t="s">
        <v>1030</v>
      </c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19">
        <f t="shared" si="1"/>
        <v>167</v>
      </c>
      <c r="B168" s="20" t="s">
        <v>1034</v>
      </c>
      <c r="C168" s="53" t="s">
        <v>1035</v>
      </c>
      <c r="D168" s="20" t="s">
        <v>1036</v>
      </c>
      <c r="E168" s="20" t="s">
        <v>436</v>
      </c>
      <c r="F168" s="20" t="s">
        <v>32</v>
      </c>
      <c r="G168" s="20" t="s">
        <v>68</v>
      </c>
      <c r="H168" s="22">
        <v>45235.0</v>
      </c>
      <c r="I168" s="20" t="s">
        <v>172</v>
      </c>
      <c r="J168" s="20">
        <v>100.0</v>
      </c>
      <c r="K168" s="21" t="s">
        <v>1037</v>
      </c>
      <c r="L168" s="20" t="s">
        <v>1038</v>
      </c>
      <c r="M168" s="23">
        <v>8100.0</v>
      </c>
      <c r="N168" s="27"/>
      <c r="O168" s="27"/>
      <c r="P168" s="20" t="s">
        <v>1039</v>
      </c>
      <c r="Q168" s="26">
        <v>109749.0</v>
      </c>
      <c r="R168" s="20">
        <v>2023.0</v>
      </c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19">
        <f t="shared" si="1"/>
        <v>168</v>
      </c>
      <c r="B169" s="20" t="s">
        <v>1040</v>
      </c>
      <c r="C169" s="21" t="s">
        <v>1041</v>
      </c>
      <c r="D169" s="20" t="s">
        <v>1042</v>
      </c>
      <c r="E169" s="20" t="s">
        <v>327</v>
      </c>
      <c r="F169" s="20" t="s">
        <v>67</v>
      </c>
      <c r="G169" s="20" t="s">
        <v>68</v>
      </c>
      <c r="H169" s="22">
        <v>45242.0</v>
      </c>
      <c r="I169" s="20" t="s">
        <v>714</v>
      </c>
      <c r="J169" s="20">
        <v>168.0</v>
      </c>
      <c r="K169" s="53" t="s">
        <v>1043</v>
      </c>
      <c r="L169" s="20" t="s">
        <v>1044</v>
      </c>
      <c r="M169" s="35"/>
      <c r="N169" s="27"/>
      <c r="O169" s="27"/>
      <c r="P169" s="20" t="s">
        <v>1045</v>
      </c>
      <c r="Q169" s="27"/>
      <c r="R169" s="20" t="s">
        <v>721</v>
      </c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19">
        <f t="shared" si="1"/>
        <v>169</v>
      </c>
      <c r="B170" s="20" t="s">
        <v>1046</v>
      </c>
      <c r="C170" s="27"/>
      <c r="D170" s="20" t="s">
        <v>1047</v>
      </c>
      <c r="E170" s="20" t="s">
        <v>1048</v>
      </c>
      <c r="F170" s="20" t="s">
        <v>67</v>
      </c>
      <c r="G170" s="20" t="s">
        <v>33</v>
      </c>
      <c r="H170" s="27"/>
      <c r="I170" s="27"/>
      <c r="J170" s="27"/>
      <c r="K170" s="27"/>
      <c r="L170" s="27"/>
      <c r="M170" s="35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19">
        <f t="shared" si="1"/>
        <v>170</v>
      </c>
      <c r="B171" s="20" t="s">
        <v>1049</v>
      </c>
      <c r="C171" s="53" t="s">
        <v>1050</v>
      </c>
      <c r="D171" s="20" t="s">
        <v>1051</v>
      </c>
      <c r="E171" s="20" t="s">
        <v>76</v>
      </c>
      <c r="F171" s="20" t="s">
        <v>43</v>
      </c>
      <c r="G171" s="20" t="s">
        <v>33</v>
      </c>
      <c r="H171" s="56">
        <v>45247.0</v>
      </c>
      <c r="I171" s="20" t="s">
        <v>172</v>
      </c>
      <c r="J171" s="20"/>
      <c r="K171" s="53" t="s">
        <v>1052</v>
      </c>
      <c r="L171" s="20" t="s">
        <v>1053</v>
      </c>
      <c r="M171" s="23">
        <v>6075.0</v>
      </c>
      <c r="N171" s="27"/>
      <c r="O171" s="27"/>
      <c r="P171" s="20" t="s">
        <v>1054</v>
      </c>
      <c r="Q171" s="26"/>
      <c r="R171" s="20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19">
        <f t="shared" si="1"/>
        <v>171</v>
      </c>
      <c r="B172" s="20" t="s">
        <v>1055</v>
      </c>
      <c r="C172" s="27"/>
      <c r="D172" s="20" t="s">
        <v>1056</v>
      </c>
      <c r="E172" s="20" t="s">
        <v>107</v>
      </c>
      <c r="F172" s="20" t="s">
        <v>67</v>
      </c>
      <c r="G172" s="20" t="s">
        <v>33</v>
      </c>
      <c r="H172" s="22">
        <v>44981.0</v>
      </c>
      <c r="I172" s="20" t="s">
        <v>714</v>
      </c>
      <c r="J172" s="27"/>
      <c r="K172" s="53" t="s">
        <v>1057</v>
      </c>
      <c r="L172" s="27"/>
      <c r="M172" s="35"/>
      <c r="N172" s="27"/>
      <c r="O172" s="27"/>
      <c r="P172" s="20" t="s">
        <v>1058</v>
      </c>
      <c r="Q172" s="26">
        <v>106743.0</v>
      </c>
      <c r="R172" s="20">
        <v>2023.0</v>
      </c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19">
        <f t="shared" si="1"/>
        <v>172</v>
      </c>
      <c r="B173" s="57" t="s">
        <v>1059</v>
      </c>
      <c r="C173" s="76" t="s">
        <v>1060</v>
      </c>
      <c r="D173" s="57" t="s">
        <v>1061</v>
      </c>
      <c r="E173" s="57" t="s">
        <v>1062</v>
      </c>
      <c r="F173" s="57" t="s">
        <v>67</v>
      </c>
      <c r="G173" s="57" t="s">
        <v>68</v>
      </c>
      <c r="H173" s="22">
        <v>45315.0</v>
      </c>
      <c r="I173" s="57" t="s">
        <v>1063</v>
      </c>
      <c r="J173" s="60">
        <v>120.0</v>
      </c>
      <c r="K173" s="77" t="s">
        <v>1064</v>
      </c>
      <c r="L173" s="57" t="s">
        <v>911</v>
      </c>
      <c r="M173" s="78"/>
      <c r="N173" s="73"/>
      <c r="O173" s="73"/>
      <c r="P173" s="57" t="s">
        <v>1065</v>
      </c>
      <c r="Q173" s="26">
        <v>67720.0</v>
      </c>
      <c r="R173" s="60">
        <v>2023.0</v>
      </c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19">
        <f t="shared" si="1"/>
        <v>173</v>
      </c>
      <c r="B174" s="57" t="s">
        <v>1066</v>
      </c>
      <c r="C174" s="69" t="s">
        <v>1067</v>
      </c>
      <c r="D174" s="57" t="s">
        <v>141</v>
      </c>
      <c r="E174" s="57" t="s">
        <v>142</v>
      </c>
      <c r="F174" s="57" t="s">
        <v>67</v>
      </c>
      <c r="G174" s="57" t="s">
        <v>33</v>
      </c>
      <c r="H174" s="79">
        <v>45320.0</v>
      </c>
      <c r="I174" s="57" t="s">
        <v>714</v>
      </c>
      <c r="J174" s="60">
        <v>100.0</v>
      </c>
      <c r="K174" s="73"/>
      <c r="L174" s="57" t="s">
        <v>1044</v>
      </c>
      <c r="M174" s="61">
        <v>3000.0</v>
      </c>
      <c r="N174" s="73"/>
      <c r="O174" s="73"/>
      <c r="P174" s="57" t="s">
        <v>1068</v>
      </c>
      <c r="Q174" s="26">
        <v>63437.0</v>
      </c>
      <c r="R174" s="60">
        <v>2023.0</v>
      </c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19">
        <f t="shared" si="1"/>
        <v>174</v>
      </c>
      <c r="B175" s="57" t="s">
        <v>1069</v>
      </c>
      <c r="C175" s="76" t="s">
        <v>1070</v>
      </c>
      <c r="D175" s="57" t="s">
        <v>1071</v>
      </c>
      <c r="E175" s="57" t="s">
        <v>1072</v>
      </c>
      <c r="F175" s="57" t="s">
        <v>1073</v>
      </c>
      <c r="G175" s="57" t="s">
        <v>68</v>
      </c>
      <c r="H175" s="80">
        <v>45311.0</v>
      </c>
      <c r="I175" s="60">
        <v>2025.0</v>
      </c>
      <c r="J175" s="60">
        <v>62.0</v>
      </c>
      <c r="K175" s="73"/>
      <c r="L175" s="57" t="s">
        <v>1074</v>
      </c>
      <c r="M175" s="61">
        <v>10500.0</v>
      </c>
      <c r="N175" s="73"/>
      <c r="O175" s="77" t="s">
        <v>1075</v>
      </c>
      <c r="P175" s="57" t="s">
        <v>1076</v>
      </c>
      <c r="Q175" s="26">
        <v>87694.0</v>
      </c>
      <c r="R175" s="60">
        <v>2023.0</v>
      </c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19">
        <f t="shared" si="1"/>
        <v>175</v>
      </c>
      <c r="B176" s="57" t="s">
        <v>1077</v>
      </c>
      <c r="C176" s="77" t="s">
        <v>1078</v>
      </c>
      <c r="D176" s="57" t="s">
        <v>141</v>
      </c>
      <c r="E176" s="57" t="s">
        <v>142</v>
      </c>
      <c r="F176" s="57" t="s">
        <v>67</v>
      </c>
      <c r="G176" s="57" t="s">
        <v>23</v>
      </c>
      <c r="H176" s="80">
        <v>45321.0</v>
      </c>
      <c r="I176" s="57" t="s">
        <v>714</v>
      </c>
      <c r="J176" s="73"/>
      <c r="K176" s="77" t="s">
        <v>1079</v>
      </c>
      <c r="L176" s="57" t="s">
        <v>911</v>
      </c>
      <c r="M176" s="61">
        <v>7800.0</v>
      </c>
      <c r="N176" s="73"/>
      <c r="O176" s="73"/>
      <c r="P176" s="57" t="s">
        <v>1080</v>
      </c>
      <c r="Q176" s="26"/>
      <c r="R176" s="73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19">
        <f t="shared" si="1"/>
        <v>176</v>
      </c>
      <c r="B177" s="81" t="s">
        <v>1081</v>
      </c>
      <c r="C177" s="77" t="s">
        <v>1082</v>
      </c>
      <c r="D177" s="57" t="s">
        <v>1083</v>
      </c>
      <c r="E177" s="57" t="s">
        <v>1084</v>
      </c>
      <c r="F177" s="57" t="s">
        <v>32</v>
      </c>
      <c r="G177" s="57" t="s">
        <v>33</v>
      </c>
      <c r="H177" s="79">
        <v>45324.0</v>
      </c>
      <c r="I177" s="73"/>
      <c r="J177" s="73"/>
      <c r="K177" s="73"/>
      <c r="L177" s="57" t="s">
        <v>911</v>
      </c>
      <c r="M177" s="78"/>
      <c r="N177" s="73"/>
      <c r="O177" s="73"/>
      <c r="P177" s="57" t="s">
        <v>1085</v>
      </c>
      <c r="Q177" s="26">
        <v>42919.0</v>
      </c>
      <c r="R177" s="60">
        <v>2023.0</v>
      </c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19">
        <f t="shared" si="1"/>
        <v>177</v>
      </c>
      <c r="B178" s="20" t="s">
        <v>1086</v>
      </c>
      <c r="C178" s="27"/>
      <c r="D178" s="20" t="s">
        <v>1087</v>
      </c>
      <c r="E178" s="20" t="s">
        <v>396</v>
      </c>
      <c r="F178" s="57" t="s">
        <v>1088</v>
      </c>
      <c r="G178" s="20" t="s">
        <v>23</v>
      </c>
      <c r="H178" s="56">
        <v>45327.0</v>
      </c>
      <c r="I178" s="27"/>
      <c r="J178" s="20">
        <v>15.0</v>
      </c>
      <c r="K178" s="21" t="s">
        <v>1089</v>
      </c>
      <c r="L178" s="53" t="s">
        <v>1090</v>
      </c>
      <c r="M178" s="35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19">
        <f t="shared" si="1"/>
        <v>178</v>
      </c>
      <c r="B179" s="20" t="s">
        <v>1091</v>
      </c>
      <c r="C179" s="27"/>
      <c r="D179" s="20" t="s">
        <v>1092</v>
      </c>
      <c r="E179" s="20" t="s">
        <v>21</v>
      </c>
      <c r="F179" s="20" t="s">
        <v>22</v>
      </c>
      <c r="G179" s="20" t="s">
        <v>23</v>
      </c>
      <c r="H179" s="22">
        <v>45078.0</v>
      </c>
      <c r="I179" s="20" t="s">
        <v>172</v>
      </c>
      <c r="J179" s="20">
        <v>50.0</v>
      </c>
      <c r="K179" s="27"/>
      <c r="L179" s="27"/>
      <c r="M179" s="35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19">
        <f t="shared" si="1"/>
        <v>179</v>
      </c>
      <c r="B180" s="20" t="s">
        <v>1093</v>
      </c>
      <c r="C180" s="27"/>
      <c r="D180" s="20" t="s">
        <v>1094</v>
      </c>
      <c r="E180" s="20" t="s">
        <v>1095</v>
      </c>
      <c r="F180" s="20" t="s">
        <v>32</v>
      </c>
      <c r="G180" s="20" t="s">
        <v>68</v>
      </c>
      <c r="H180" s="22">
        <v>45329.0</v>
      </c>
      <c r="I180" s="27"/>
      <c r="J180" s="27"/>
      <c r="K180" s="21" t="s">
        <v>1096</v>
      </c>
      <c r="L180" s="27"/>
      <c r="M180" s="23">
        <v>5000.0</v>
      </c>
      <c r="N180" s="20" t="s">
        <v>1097</v>
      </c>
      <c r="O180" s="21" t="s">
        <v>1098</v>
      </c>
      <c r="P180" s="20" t="s">
        <v>1099</v>
      </c>
      <c r="Q180" s="26">
        <v>101111.0</v>
      </c>
      <c r="R180" s="20">
        <v>2023.0</v>
      </c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19">
        <f t="shared" si="1"/>
        <v>180</v>
      </c>
      <c r="B181" s="20" t="s">
        <v>1100</v>
      </c>
      <c r="C181" s="27"/>
      <c r="D181" s="20" t="s">
        <v>1101</v>
      </c>
      <c r="E181" s="20" t="s">
        <v>52</v>
      </c>
      <c r="F181" s="20" t="s">
        <v>22</v>
      </c>
      <c r="G181" s="20" t="s">
        <v>33</v>
      </c>
      <c r="H181" s="22">
        <v>45321.0</v>
      </c>
      <c r="I181" s="20" t="s">
        <v>714</v>
      </c>
      <c r="J181" s="20">
        <v>400.0</v>
      </c>
      <c r="K181" s="53" t="s">
        <v>1102</v>
      </c>
      <c r="L181" s="20" t="s">
        <v>1103</v>
      </c>
      <c r="M181" s="23">
        <v>2500.0</v>
      </c>
      <c r="N181" s="23" t="s">
        <v>1104</v>
      </c>
      <c r="O181" s="27"/>
      <c r="P181" s="20" t="s">
        <v>1105</v>
      </c>
      <c r="Q181" s="26">
        <v>158733.0</v>
      </c>
      <c r="R181" s="20">
        <v>2023.0</v>
      </c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19">
        <f t="shared" si="1"/>
        <v>181</v>
      </c>
      <c r="B182" s="57" t="s">
        <v>1106</v>
      </c>
      <c r="C182" s="77" t="s">
        <v>1107</v>
      </c>
      <c r="D182" s="57" t="s">
        <v>1108</v>
      </c>
      <c r="E182" s="57" t="s">
        <v>31</v>
      </c>
      <c r="F182" s="57" t="s">
        <v>32</v>
      </c>
      <c r="G182" s="57" t="s">
        <v>23</v>
      </c>
      <c r="H182" s="80">
        <v>45299.0</v>
      </c>
      <c r="I182" s="73"/>
      <c r="J182" s="60">
        <v>116.0</v>
      </c>
      <c r="K182" s="76" t="s">
        <v>1109</v>
      </c>
      <c r="L182" s="57" t="s">
        <v>911</v>
      </c>
      <c r="M182" s="61">
        <v>7450.0</v>
      </c>
      <c r="N182" s="73"/>
      <c r="O182" s="77" t="s">
        <v>1110</v>
      </c>
      <c r="P182" s="57" t="s">
        <v>1111</v>
      </c>
      <c r="Q182" s="61">
        <v>123278.0</v>
      </c>
      <c r="R182" s="60">
        <v>2023.0</v>
      </c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19">
        <f t="shared" si="1"/>
        <v>182</v>
      </c>
      <c r="B183" s="82" t="s">
        <v>1112</v>
      </c>
      <c r="C183" s="76" t="s">
        <v>1113</v>
      </c>
      <c r="D183" s="82" t="s">
        <v>677</v>
      </c>
      <c r="E183" s="57" t="s">
        <v>31</v>
      </c>
      <c r="F183" s="57" t="s">
        <v>32</v>
      </c>
      <c r="G183" s="57" t="s">
        <v>237</v>
      </c>
      <c r="I183" s="60">
        <v>2024.0</v>
      </c>
      <c r="J183" s="60">
        <v>50.0</v>
      </c>
      <c r="K183" s="73"/>
      <c r="L183" s="57" t="s">
        <v>1074</v>
      </c>
      <c r="M183" s="61">
        <v>15500.0</v>
      </c>
      <c r="N183" s="73"/>
      <c r="O183" s="76" t="s">
        <v>1114</v>
      </c>
      <c r="P183" s="57" t="s">
        <v>1115</v>
      </c>
      <c r="Q183" s="61">
        <v>65882.0</v>
      </c>
      <c r="R183" s="60">
        <v>2023.0</v>
      </c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19">
        <f t="shared" si="1"/>
        <v>183</v>
      </c>
      <c r="B184" s="20" t="s">
        <v>1116</v>
      </c>
      <c r="C184" s="21" t="s">
        <v>1117</v>
      </c>
      <c r="D184" s="20" t="s">
        <v>1118</v>
      </c>
      <c r="E184" s="20" t="s">
        <v>702</v>
      </c>
      <c r="F184" s="20" t="s">
        <v>67</v>
      </c>
      <c r="G184" s="20" t="s">
        <v>33</v>
      </c>
      <c r="H184" s="22">
        <v>45336.0</v>
      </c>
      <c r="I184" s="60">
        <v>2024.0</v>
      </c>
      <c r="J184" s="20">
        <v>20.0</v>
      </c>
      <c r="K184" s="72" t="s">
        <v>1119</v>
      </c>
      <c r="L184" s="83">
        <v>45912.0</v>
      </c>
      <c r="M184" s="23">
        <v>9400.0</v>
      </c>
      <c r="N184" s="27"/>
      <c r="O184" s="27"/>
      <c r="P184" s="20" t="s">
        <v>1120</v>
      </c>
      <c r="Q184" s="26">
        <v>136487.0</v>
      </c>
      <c r="R184" s="60">
        <v>2023.0</v>
      </c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19">
        <f t="shared" si="1"/>
        <v>184</v>
      </c>
      <c r="B185" s="20" t="s">
        <v>1121</v>
      </c>
      <c r="C185" s="21" t="s">
        <v>1122</v>
      </c>
      <c r="D185" s="20" t="s">
        <v>819</v>
      </c>
      <c r="E185" s="20" t="s">
        <v>21</v>
      </c>
      <c r="F185" s="20" t="s">
        <v>22</v>
      </c>
      <c r="G185" s="20" t="s">
        <v>23</v>
      </c>
      <c r="H185" s="22">
        <v>45370.0</v>
      </c>
      <c r="I185" s="60">
        <v>2024.0</v>
      </c>
      <c r="J185" s="27"/>
      <c r="K185" s="53" t="s">
        <v>1123</v>
      </c>
      <c r="L185" s="27"/>
      <c r="M185" s="35"/>
      <c r="N185" s="27"/>
      <c r="O185" s="27"/>
      <c r="P185" s="20" t="s">
        <v>1124</v>
      </c>
      <c r="Q185" s="20" t="s">
        <v>721</v>
      </c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19">
        <f t="shared" si="1"/>
        <v>185</v>
      </c>
      <c r="B186" s="20" t="s">
        <v>1125</v>
      </c>
      <c r="C186" s="27"/>
      <c r="D186" s="20" t="s">
        <v>1126</v>
      </c>
      <c r="E186" s="20" t="s">
        <v>1127</v>
      </c>
      <c r="F186" s="20" t="s">
        <v>32</v>
      </c>
      <c r="G186" s="20" t="s">
        <v>33</v>
      </c>
      <c r="H186" s="22">
        <v>45371.0</v>
      </c>
      <c r="I186" s="20">
        <v>2025.0</v>
      </c>
      <c r="J186" s="20">
        <v>120.0</v>
      </c>
      <c r="K186" s="21" t="s">
        <v>1128</v>
      </c>
      <c r="L186" s="20" t="s">
        <v>863</v>
      </c>
      <c r="M186" s="35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19">
        <f t="shared" si="1"/>
        <v>186</v>
      </c>
      <c r="B187" s="20" t="s">
        <v>1129</v>
      </c>
      <c r="C187" s="27"/>
      <c r="D187" s="20" t="s">
        <v>1130</v>
      </c>
      <c r="E187" s="20" t="s">
        <v>66</v>
      </c>
      <c r="F187" s="20" t="s">
        <v>67</v>
      </c>
      <c r="G187" s="20" t="s">
        <v>68</v>
      </c>
      <c r="H187" s="22">
        <v>45383.0</v>
      </c>
      <c r="I187" s="20">
        <v>2024.0</v>
      </c>
      <c r="J187" s="27"/>
      <c r="K187" s="53" t="s">
        <v>1131</v>
      </c>
      <c r="L187" s="20" t="s">
        <v>1132</v>
      </c>
      <c r="M187" s="35"/>
      <c r="N187" s="27"/>
      <c r="O187" s="27"/>
      <c r="P187" s="20" t="s">
        <v>1133</v>
      </c>
      <c r="Q187" s="26">
        <v>102252.0</v>
      </c>
      <c r="R187" s="20">
        <v>2023.0</v>
      </c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19">
        <f t="shared" si="1"/>
        <v>187</v>
      </c>
      <c r="B188" s="84" t="s">
        <v>1134</v>
      </c>
      <c r="C188" s="27"/>
      <c r="D188" s="20" t="s">
        <v>449</v>
      </c>
      <c r="E188" s="20" t="s">
        <v>436</v>
      </c>
      <c r="F188" s="20" t="s">
        <v>32</v>
      </c>
      <c r="G188" s="20" t="s">
        <v>23</v>
      </c>
      <c r="H188" s="22">
        <v>45398.0</v>
      </c>
      <c r="I188" s="20">
        <v>2024.0</v>
      </c>
      <c r="J188" s="20">
        <v>520.0</v>
      </c>
      <c r="K188" s="53" t="s">
        <v>1135</v>
      </c>
      <c r="L188" s="27"/>
      <c r="M188" s="23">
        <v>10000.0</v>
      </c>
      <c r="N188" s="27"/>
      <c r="O188" s="27"/>
      <c r="P188" s="20" t="s">
        <v>1136</v>
      </c>
      <c r="Q188" s="26">
        <v>96336.0</v>
      </c>
      <c r="R188" s="20">
        <v>2023.0</v>
      </c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>
      <c r="A189" s="85">
        <f t="shared" si="1"/>
        <v>188</v>
      </c>
      <c r="B189" s="20" t="s">
        <v>1137</v>
      </c>
      <c r="C189" s="27"/>
      <c r="D189" s="20" t="s">
        <v>1138</v>
      </c>
      <c r="E189" s="20" t="s">
        <v>623</v>
      </c>
      <c r="F189" s="20" t="s">
        <v>43</v>
      </c>
      <c r="G189" s="20" t="s">
        <v>23</v>
      </c>
      <c r="H189" s="27"/>
      <c r="I189" s="20">
        <v>2023.0</v>
      </c>
      <c r="J189" s="20">
        <v>11.0</v>
      </c>
      <c r="K189" s="53" t="s">
        <v>1139</v>
      </c>
      <c r="L189" s="27"/>
      <c r="M189" s="23">
        <v>8000.0</v>
      </c>
      <c r="N189" s="27"/>
      <c r="O189" s="21" t="s">
        <v>1140</v>
      </c>
      <c r="P189" s="20" t="s">
        <v>1141</v>
      </c>
      <c r="Q189" s="26">
        <v>81004.0</v>
      </c>
      <c r="R189" s="20">
        <v>2023.0</v>
      </c>
      <c r="S189" s="20" t="s">
        <v>1142</v>
      </c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>
      <c r="A190" s="85">
        <f t="shared" si="1"/>
        <v>189</v>
      </c>
      <c r="B190" s="20" t="s">
        <v>1143</v>
      </c>
      <c r="C190" s="72"/>
      <c r="D190" s="20" t="s">
        <v>1144</v>
      </c>
      <c r="E190" s="20" t="s">
        <v>713</v>
      </c>
      <c r="F190" s="20" t="s">
        <v>67</v>
      </c>
      <c r="G190" s="20" t="s">
        <v>23</v>
      </c>
      <c r="H190" s="27"/>
      <c r="I190" s="20">
        <v>2023.0</v>
      </c>
      <c r="J190" s="20">
        <v>60.0</v>
      </c>
      <c r="K190" s="21" t="s">
        <v>1145</v>
      </c>
      <c r="L190" s="27"/>
      <c r="M190" s="35"/>
      <c r="N190" s="27"/>
      <c r="O190" s="21" t="s">
        <v>1146</v>
      </c>
      <c r="P190" s="20" t="s">
        <v>1147</v>
      </c>
      <c r="Q190" s="26">
        <v>152043.0</v>
      </c>
      <c r="R190" s="20">
        <v>2023.0</v>
      </c>
      <c r="S190" s="20" t="s">
        <v>1142</v>
      </c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>
      <c r="A191" s="85">
        <f t="shared" si="1"/>
        <v>190</v>
      </c>
      <c r="B191" s="20" t="s">
        <v>1148</v>
      </c>
      <c r="C191" s="27"/>
      <c r="D191" s="20" t="s">
        <v>1149</v>
      </c>
      <c r="E191" s="20" t="s">
        <v>83</v>
      </c>
      <c r="F191" s="20" t="s">
        <v>43</v>
      </c>
      <c r="G191" s="20" t="s">
        <v>68</v>
      </c>
      <c r="H191" s="22">
        <v>45398.0</v>
      </c>
      <c r="I191" s="20">
        <v>2024.0</v>
      </c>
      <c r="J191" s="20">
        <v>140.0</v>
      </c>
      <c r="K191" s="53" t="s">
        <v>1150</v>
      </c>
      <c r="L191" s="27"/>
      <c r="M191" s="23">
        <v>8900.0</v>
      </c>
      <c r="N191" s="21" t="s">
        <v>1151</v>
      </c>
      <c r="O191" s="27"/>
      <c r="P191" s="20" t="s">
        <v>1152</v>
      </c>
      <c r="Q191" s="26">
        <v>156927.0</v>
      </c>
      <c r="R191" s="20">
        <v>2023.0</v>
      </c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>
      <c r="A192" s="86">
        <f t="shared" si="1"/>
        <v>191</v>
      </c>
      <c r="B192" s="82" t="s">
        <v>1153</v>
      </c>
      <c r="C192" s="87" t="s">
        <v>1154</v>
      </c>
      <c r="D192" s="82" t="s">
        <v>1155</v>
      </c>
      <c r="E192" s="64" t="s">
        <v>122</v>
      </c>
      <c r="F192" s="64" t="s">
        <v>32</v>
      </c>
      <c r="G192" s="64" t="s">
        <v>68</v>
      </c>
      <c r="H192" s="88">
        <v>45405.0</v>
      </c>
      <c r="I192" s="89">
        <v>2024.0</v>
      </c>
      <c r="J192" s="90">
        <v>60.0</v>
      </c>
      <c r="K192" s="91" t="s">
        <v>1156</v>
      </c>
      <c r="L192" s="82" t="s">
        <v>1157</v>
      </c>
      <c r="M192" s="35">
        <v>12500.0</v>
      </c>
      <c r="N192" s="68" t="s">
        <v>1158</v>
      </c>
      <c r="O192" s="68"/>
      <c r="P192" s="82" t="s">
        <v>1159</v>
      </c>
      <c r="Q192" s="23">
        <v>151811.0</v>
      </c>
      <c r="R192" s="20">
        <v>2023.0</v>
      </c>
      <c r="S192" s="20" t="s">
        <v>1142</v>
      </c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>
      <c r="A193" s="85">
        <f t="shared" si="1"/>
        <v>192</v>
      </c>
      <c r="B193" s="20" t="s">
        <v>1160</v>
      </c>
      <c r="C193" s="27"/>
      <c r="D193" s="31" t="s">
        <v>1161</v>
      </c>
      <c r="E193" s="31" t="s">
        <v>1162</v>
      </c>
      <c r="F193" s="31" t="s">
        <v>67</v>
      </c>
      <c r="G193" s="31" t="s">
        <v>33</v>
      </c>
      <c r="H193" s="92">
        <v>45413.0</v>
      </c>
      <c r="I193" s="20">
        <v>2024.0</v>
      </c>
      <c r="J193" s="27"/>
      <c r="K193" s="53" t="s">
        <v>1163</v>
      </c>
      <c r="L193" s="20" t="s">
        <v>1164</v>
      </c>
      <c r="M193" s="35"/>
      <c r="N193" s="27"/>
      <c r="O193" s="27"/>
      <c r="P193" s="20" t="s">
        <v>1165</v>
      </c>
      <c r="Q193" s="26">
        <v>57626.0</v>
      </c>
      <c r="R193" s="20">
        <v>2023.0</v>
      </c>
      <c r="S193" s="20" t="s">
        <v>1142</v>
      </c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>
      <c r="A194" s="19">
        <f t="shared" si="1"/>
        <v>193</v>
      </c>
      <c r="B194" s="20" t="s">
        <v>1166</v>
      </c>
      <c r="C194" s="53" t="s">
        <v>1167</v>
      </c>
      <c r="D194" s="20" t="s">
        <v>1168</v>
      </c>
      <c r="E194" s="20" t="s">
        <v>1162</v>
      </c>
      <c r="F194" s="20" t="s">
        <v>67</v>
      </c>
      <c r="G194" s="20" t="s">
        <v>68</v>
      </c>
      <c r="H194" s="22">
        <v>45418.0</v>
      </c>
      <c r="I194" s="20">
        <v>2024.0</v>
      </c>
      <c r="J194" s="20">
        <v>30.0</v>
      </c>
      <c r="K194" s="21" t="s">
        <v>1169</v>
      </c>
      <c r="L194" s="27"/>
      <c r="M194" s="23">
        <v>3800.0</v>
      </c>
      <c r="N194" s="20" t="s">
        <v>1170</v>
      </c>
      <c r="O194" s="27"/>
      <c r="P194" s="20" t="s">
        <v>1171</v>
      </c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>
      <c r="A195" s="19">
        <f t="shared" si="1"/>
        <v>194</v>
      </c>
      <c r="B195" s="20" t="s">
        <v>1172</v>
      </c>
      <c r="C195" s="53" t="s">
        <v>1173</v>
      </c>
      <c r="D195" s="20" t="s">
        <v>1174</v>
      </c>
      <c r="E195" s="20" t="s">
        <v>83</v>
      </c>
      <c r="F195" s="20" t="s">
        <v>43</v>
      </c>
      <c r="G195" s="20" t="s">
        <v>23</v>
      </c>
      <c r="H195" s="22">
        <v>45414.0</v>
      </c>
      <c r="I195" s="20">
        <v>2024.0</v>
      </c>
      <c r="J195" s="27"/>
      <c r="K195" s="53" t="s">
        <v>1175</v>
      </c>
      <c r="L195" s="27"/>
      <c r="M195" s="23">
        <v>8000.0</v>
      </c>
      <c r="N195" s="27"/>
      <c r="O195" s="27"/>
      <c r="P195" s="20" t="s">
        <v>1176</v>
      </c>
      <c r="Q195" s="26">
        <v>159256.0</v>
      </c>
      <c r="R195" s="20">
        <v>2023.0</v>
      </c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>
      <c r="A196" s="19">
        <f t="shared" si="1"/>
        <v>195</v>
      </c>
      <c r="B196" s="20" t="s">
        <v>1177</v>
      </c>
      <c r="C196" s="21" t="s">
        <v>1178</v>
      </c>
      <c r="D196" s="20" t="s">
        <v>971</v>
      </c>
      <c r="E196" s="20" t="s">
        <v>197</v>
      </c>
      <c r="F196" s="20" t="s">
        <v>67</v>
      </c>
      <c r="G196" s="20" t="s">
        <v>68</v>
      </c>
      <c r="H196" s="22">
        <v>45417.0</v>
      </c>
      <c r="I196" s="20">
        <v>2024.0</v>
      </c>
      <c r="J196" s="20">
        <v>80.0</v>
      </c>
      <c r="K196" s="21" t="s">
        <v>1179</v>
      </c>
      <c r="L196" s="20" t="s">
        <v>1180</v>
      </c>
      <c r="M196" s="23">
        <v>8500.0</v>
      </c>
      <c r="N196" s="20" t="s">
        <v>1181</v>
      </c>
      <c r="O196" s="27"/>
      <c r="P196" s="20" t="s">
        <v>1182</v>
      </c>
      <c r="Q196" s="26">
        <v>108480.0</v>
      </c>
      <c r="R196" s="20">
        <v>2023.0</v>
      </c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>
      <c r="A197" s="19">
        <f t="shared" si="1"/>
        <v>196</v>
      </c>
      <c r="B197" s="20" t="s">
        <v>1183</v>
      </c>
      <c r="C197" s="53" t="s">
        <v>1184</v>
      </c>
      <c r="D197" s="20" t="s">
        <v>1185</v>
      </c>
      <c r="E197" s="20" t="s">
        <v>1162</v>
      </c>
      <c r="F197" s="20" t="s">
        <v>67</v>
      </c>
      <c r="G197" s="20" t="s">
        <v>68</v>
      </c>
      <c r="H197" s="22">
        <v>45428.0</v>
      </c>
      <c r="I197" s="20">
        <v>2024.0</v>
      </c>
      <c r="J197" s="27"/>
      <c r="K197" s="53" t="s">
        <v>1186</v>
      </c>
      <c r="L197" s="27"/>
      <c r="M197" s="35">
        <f>(5200+5500)/2</f>
        <v>5350</v>
      </c>
      <c r="N197" s="20" t="s">
        <v>1187</v>
      </c>
      <c r="O197" s="53" t="s">
        <v>1188</v>
      </c>
      <c r="P197" s="20" t="s">
        <v>1189</v>
      </c>
      <c r="Q197" s="26">
        <v>164439.0</v>
      </c>
      <c r="R197" s="20">
        <v>2023.0</v>
      </c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>
      <c r="A198" s="19">
        <f t="shared" si="1"/>
        <v>197</v>
      </c>
      <c r="B198" s="20" t="s">
        <v>1190</v>
      </c>
      <c r="C198" s="21" t="s">
        <v>1191</v>
      </c>
      <c r="D198" s="20" t="s">
        <v>1192</v>
      </c>
      <c r="E198" s="20" t="s">
        <v>1193</v>
      </c>
      <c r="F198" s="20" t="s">
        <v>22</v>
      </c>
      <c r="G198" s="20" t="s">
        <v>33</v>
      </c>
      <c r="H198" s="22">
        <v>45428.0</v>
      </c>
      <c r="I198" s="20">
        <v>2025.0</v>
      </c>
      <c r="J198" s="20">
        <v>200.0</v>
      </c>
      <c r="K198" s="21" t="s">
        <v>1194</v>
      </c>
      <c r="L198" s="53" t="s">
        <v>1195</v>
      </c>
      <c r="M198" s="35"/>
      <c r="N198" s="27"/>
      <c r="O198" s="27"/>
      <c r="P198" s="20" t="s">
        <v>1196</v>
      </c>
      <c r="Q198" s="26">
        <v>113450.0</v>
      </c>
      <c r="R198" s="20">
        <v>2023.0</v>
      </c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>
      <c r="A199" s="19">
        <f t="shared" si="1"/>
        <v>198</v>
      </c>
      <c r="B199" s="20" t="s">
        <v>1197</v>
      </c>
      <c r="C199" s="21" t="s">
        <v>1198</v>
      </c>
      <c r="D199" s="20" t="s">
        <v>1199</v>
      </c>
      <c r="E199" s="20" t="s">
        <v>42</v>
      </c>
      <c r="F199" s="20" t="s">
        <v>43</v>
      </c>
      <c r="G199" s="20" t="s">
        <v>23</v>
      </c>
      <c r="H199" s="22">
        <v>45434.0</v>
      </c>
      <c r="I199" s="20">
        <v>2024.0</v>
      </c>
      <c r="J199" s="20">
        <v>260.0</v>
      </c>
      <c r="K199" s="53" t="s">
        <v>1200</v>
      </c>
      <c r="L199" s="27"/>
      <c r="M199" s="23">
        <v>19500.0</v>
      </c>
      <c r="N199" s="27"/>
      <c r="O199" s="53" t="s">
        <v>1201</v>
      </c>
      <c r="P199" s="20" t="s">
        <v>1202</v>
      </c>
      <c r="Q199" s="26">
        <v>258782.0</v>
      </c>
      <c r="R199" s="20">
        <v>2023.0</v>
      </c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>
      <c r="A200" s="19">
        <f t="shared" si="1"/>
        <v>199</v>
      </c>
      <c r="B200" s="20" t="s">
        <v>1203</v>
      </c>
      <c r="C200" s="53" t="s">
        <v>1204</v>
      </c>
      <c r="D200" s="20" t="s">
        <v>1205</v>
      </c>
      <c r="E200" s="20" t="s">
        <v>584</v>
      </c>
      <c r="F200" s="20" t="s">
        <v>32</v>
      </c>
      <c r="G200" s="20" t="s">
        <v>68</v>
      </c>
      <c r="H200" s="22">
        <v>45436.0</v>
      </c>
      <c r="I200" s="20">
        <v>2024.0</v>
      </c>
      <c r="J200" s="27"/>
      <c r="K200" s="21" t="s">
        <v>1206</v>
      </c>
      <c r="L200" s="20" t="s">
        <v>1207</v>
      </c>
      <c r="M200" s="23">
        <v>6950.0</v>
      </c>
      <c r="N200" s="27"/>
      <c r="O200" s="53" t="s">
        <v>1208</v>
      </c>
      <c r="P200" s="20" t="s">
        <v>1209</v>
      </c>
      <c r="Q200" s="26">
        <v>93249.0</v>
      </c>
      <c r="R200" s="20">
        <v>2023.0</v>
      </c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>
      <c r="A201" s="19">
        <f t="shared" si="1"/>
        <v>200</v>
      </c>
      <c r="B201" s="20" t="s">
        <v>1210</v>
      </c>
      <c r="C201" s="21" t="s">
        <v>1211</v>
      </c>
      <c r="D201" s="20" t="s">
        <v>819</v>
      </c>
      <c r="E201" s="20" t="s">
        <v>21</v>
      </c>
      <c r="F201" s="20" t="s">
        <v>22</v>
      </c>
      <c r="G201" s="20" t="s">
        <v>33</v>
      </c>
      <c r="H201" s="22">
        <v>45452.0</v>
      </c>
      <c r="I201" s="20">
        <v>2024.0</v>
      </c>
      <c r="J201" s="20">
        <v>160.0</v>
      </c>
      <c r="K201" s="53" t="s">
        <v>1212</v>
      </c>
      <c r="L201" s="27"/>
      <c r="M201" s="23">
        <v>17500.0</v>
      </c>
      <c r="N201" s="27"/>
      <c r="O201" s="27"/>
      <c r="P201" s="20" t="s">
        <v>1213</v>
      </c>
      <c r="Q201" s="26">
        <v>283113.0</v>
      </c>
      <c r="R201" s="20">
        <v>2023.0</v>
      </c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>
      <c r="A202" s="19">
        <f t="shared" si="1"/>
        <v>201</v>
      </c>
      <c r="B202" s="20" t="s">
        <v>1214</v>
      </c>
      <c r="C202" s="21" t="s">
        <v>1215</v>
      </c>
      <c r="D202" s="20" t="s">
        <v>1216</v>
      </c>
      <c r="E202" s="20" t="s">
        <v>122</v>
      </c>
      <c r="F202" s="20" t="s">
        <v>32</v>
      </c>
      <c r="G202" s="20" t="s">
        <v>23</v>
      </c>
      <c r="H202" s="22">
        <v>45459.0</v>
      </c>
      <c r="I202" s="20">
        <v>2024.0</v>
      </c>
      <c r="J202" s="20">
        <v>150.0</v>
      </c>
      <c r="K202" s="21" t="s">
        <v>1217</v>
      </c>
      <c r="L202" s="20" t="s">
        <v>1218</v>
      </c>
      <c r="M202" s="23">
        <v>18880.0</v>
      </c>
      <c r="N202" s="27"/>
      <c r="O202" s="27"/>
      <c r="P202" s="20" t="s">
        <v>1219</v>
      </c>
      <c r="Q202" s="26">
        <v>41809.0</v>
      </c>
      <c r="R202" s="20">
        <v>2023.0</v>
      </c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>
      <c r="A203" s="85">
        <f t="shared" si="1"/>
        <v>202</v>
      </c>
      <c r="B203" s="20" t="s">
        <v>1220</v>
      </c>
      <c r="C203" s="21" t="s">
        <v>1154</v>
      </c>
      <c r="D203" s="20" t="s">
        <v>1155</v>
      </c>
      <c r="E203" s="20" t="s">
        <v>122</v>
      </c>
      <c r="F203" s="20" t="s">
        <v>32</v>
      </c>
      <c r="G203" s="20" t="s">
        <v>68</v>
      </c>
      <c r="H203" s="22">
        <v>45405.0</v>
      </c>
      <c r="I203" s="20">
        <v>2024.0</v>
      </c>
      <c r="J203" s="27"/>
      <c r="K203" s="53" t="s">
        <v>1156</v>
      </c>
      <c r="L203" s="27"/>
      <c r="M203" s="23">
        <v>10000.0</v>
      </c>
      <c r="N203" s="20" t="s">
        <v>1221</v>
      </c>
      <c r="O203" s="21" t="s">
        <v>1222</v>
      </c>
      <c r="P203" s="20" t="s">
        <v>1223</v>
      </c>
      <c r="Q203" s="27"/>
      <c r="R203" s="27"/>
      <c r="S203" s="20" t="s">
        <v>1142</v>
      </c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>
      <c r="A204" s="85">
        <f t="shared" si="1"/>
        <v>203</v>
      </c>
      <c r="B204" s="57" t="s">
        <v>1224</v>
      </c>
      <c r="C204" s="58" t="s">
        <v>1225</v>
      </c>
      <c r="D204" s="57" t="s">
        <v>819</v>
      </c>
      <c r="E204" s="57" t="s">
        <v>21</v>
      </c>
      <c r="F204" s="57" t="s">
        <v>22</v>
      </c>
      <c r="G204" s="57" t="s">
        <v>23</v>
      </c>
      <c r="H204" s="93"/>
      <c r="I204" s="60">
        <v>2024.0</v>
      </c>
      <c r="J204" s="57" t="s">
        <v>640</v>
      </c>
      <c r="K204" s="57" t="s">
        <v>640</v>
      </c>
      <c r="L204" s="57" t="s">
        <v>1226</v>
      </c>
      <c r="M204" s="61">
        <v>75000.0</v>
      </c>
      <c r="N204" s="62"/>
      <c r="O204" s="62"/>
      <c r="P204" s="57" t="s">
        <v>1227</v>
      </c>
      <c r="Q204" s="61">
        <v>320840.0</v>
      </c>
      <c r="R204" s="60">
        <v>2024.0</v>
      </c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>
      <c r="A205" s="85">
        <f t="shared" si="1"/>
        <v>204</v>
      </c>
      <c r="B205" s="57" t="s">
        <v>1228</v>
      </c>
      <c r="C205" s="58" t="s">
        <v>1229</v>
      </c>
      <c r="D205" s="57" t="s">
        <v>528</v>
      </c>
      <c r="E205" s="57" t="s">
        <v>21</v>
      </c>
      <c r="F205" s="57" t="s">
        <v>22</v>
      </c>
      <c r="G205" s="57" t="s">
        <v>23</v>
      </c>
      <c r="H205" s="93"/>
      <c r="I205" s="60">
        <v>2024.0</v>
      </c>
      <c r="J205" s="57" t="s">
        <v>640</v>
      </c>
      <c r="K205" s="57" t="s">
        <v>640</v>
      </c>
      <c r="L205" s="57" t="s">
        <v>1074</v>
      </c>
      <c r="M205" s="61">
        <v>50000.0</v>
      </c>
      <c r="N205" s="62"/>
      <c r="O205" s="62"/>
      <c r="P205" s="57" t="s">
        <v>1230</v>
      </c>
      <c r="Q205" s="61">
        <v>167586.0</v>
      </c>
      <c r="R205" s="60">
        <v>2024.0</v>
      </c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>
      <c r="A206" s="85">
        <f t="shared" si="1"/>
        <v>205</v>
      </c>
      <c r="B206" s="57" t="s">
        <v>1231</v>
      </c>
      <c r="C206" s="58" t="s">
        <v>1232</v>
      </c>
      <c r="D206" s="57" t="s">
        <v>1233</v>
      </c>
      <c r="E206" s="57" t="s">
        <v>21</v>
      </c>
      <c r="F206" s="57" t="s">
        <v>22</v>
      </c>
      <c r="G206" s="57" t="s">
        <v>23</v>
      </c>
      <c r="H206" s="93"/>
      <c r="I206" s="60">
        <v>2024.0</v>
      </c>
      <c r="J206" s="57" t="s">
        <v>640</v>
      </c>
      <c r="K206" s="57" t="s">
        <v>640</v>
      </c>
      <c r="L206" s="57" t="s">
        <v>1044</v>
      </c>
      <c r="M206" s="61">
        <v>50000.0</v>
      </c>
      <c r="N206" s="62"/>
      <c r="O206" s="62"/>
      <c r="P206" s="57" t="s">
        <v>1234</v>
      </c>
      <c r="Q206" s="61">
        <v>170835.0</v>
      </c>
      <c r="R206" s="60">
        <v>2024.0</v>
      </c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>
      <c r="A207" s="85">
        <f t="shared" si="1"/>
        <v>206</v>
      </c>
      <c r="B207" s="57" t="s">
        <v>1235</v>
      </c>
      <c r="C207" s="58" t="s">
        <v>1236</v>
      </c>
      <c r="D207" s="57" t="s">
        <v>522</v>
      </c>
      <c r="E207" s="57" t="s">
        <v>436</v>
      </c>
      <c r="F207" s="57" t="s">
        <v>32</v>
      </c>
      <c r="G207" s="57" t="s">
        <v>23</v>
      </c>
      <c r="H207" s="80">
        <v>45902.0</v>
      </c>
      <c r="I207" s="60">
        <v>2024.0</v>
      </c>
      <c r="J207" s="57" t="s">
        <v>640</v>
      </c>
      <c r="K207" s="58" t="s">
        <v>1237</v>
      </c>
      <c r="L207" s="57" t="s">
        <v>1044</v>
      </c>
      <c r="M207" s="61">
        <v>50000.0</v>
      </c>
      <c r="N207" s="62"/>
      <c r="O207" s="62"/>
      <c r="P207" s="57" t="s">
        <v>1238</v>
      </c>
      <c r="Q207" s="61">
        <v>144810.0</v>
      </c>
      <c r="R207" s="60">
        <v>2024.0</v>
      </c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>
      <c r="A208" s="85">
        <f t="shared" si="1"/>
        <v>207</v>
      </c>
      <c r="B208" s="57" t="s">
        <v>1239</v>
      </c>
      <c r="C208" s="58" t="s">
        <v>1240</v>
      </c>
      <c r="D208" s="57" t="s">
        <v>1241</v>
      </c>
      <c r="E208" s="57" t="s">
        <v>436</v>
      </c>
      <c r="F208" s="57" t="s">
        <v>32</v>
      </c>
      <c r="G208" s="57" t="s">
        <v>23</v>
      </c>
      <c r="H208" s="80">
        <v>45582.0</v>
      </c>
      <c r="I208" s="60">
        <v>2024.0</v>
      </c>
      <c r="J208" s="57" t="s">
        <v>640</v>
      </c>
      <c r="K208" s="58" t="s">
        <v>1242</v>
      </c>
      <c r="L208" s="57" t="s">
        <v>1243</v>
      </c>
      <c r="M208" s="61">
        <v>50000.0</v>
      </c>
      <c r="N208" s="62"/>
      <c r="O208" s="62"/>
      <c r="P208" s="57" t="s">
        <v>1244</v>
      </c>
      <c r="Q208" s="61" t="s">
        <v>640</v>
      </c>
      <c r="R208" s="60" t="s">
        <v>640</v>
      </c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>
      <c r="A209" s="19">
        <f t="shared" si="1"/>
        <v>208</v>
      </c>
      <c r="B209" s="20" t="s">
        <v>1245</v>
      </c>
      <c r="C209" s="53" t="s">
        <v>1246</v>
      </c>
      <c r="D209" s="20" t="s">
        <v>1247</v>
      </c>
      <c r="E209" s="20" t="s">
        <v>31</v>
      </c>
      <c r="F209" s="20" t="s">
        <v>32</v>
      </c>
      <c r="G209" s="20" t="s">
        <v>68</v>
      </c>
      <c r="H209" s="22">
        <v>45492.0</v>
      </c>
      <c r="I209" s="20">
        <v>2024.0</v>
      </c>
      <c r="J209" s="27"/>
      <c r="K209" s="27"/>
      <c r="L209" s="27"/>
      <c r="M209" s="23">
        <v>8000.0</v>
      </c>
      <c r="N209" s="20" t="s">
        <v>1248</v>
      </c>
      <c r="O209" s="21" t="s">
        <v>1249</v>
      </c>
      <c r="P209" s="20" t="s">
        <v>1250</v>
      </c>
      <c r="Q209" s="26">
        <v>76147.0</v>
      </c>
      <c r="R209" s="20">
        <v>2024.0</v>
      </c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>
      <c r="A210" s="19">
        <f t="shared" si="1"/>
        <v>209</v>
      </c>
      <c r="B210" s="20" t="s">
        <v>1251</v>
      </c>
      <c r="C210" s="53" t="s">
        <v>1252</v>
      </c>
      <c r="D210" s="20" t="s">
        <v>1253</v>
      </c>
      <c r="E210" s="20" t="s">
        <v>584</v>
      </c>
      <c r="F210" s="20" t="s">
        <v>32</v>
      </c>
      <c r="G210" s="20" t="s">
        <v>68</v>
      </c>
      <c r="H210" s="22">
        <v>45490.0</v>
      </c>
      <c r="I210" s="20">
        <v>2024.0</v>
      </c>
      <c r="J210" s="20">
        <v>115.0</v>
      </c>
      <c r="K210" s="21" t="s">
        <v>1254</v>
      </c>
      <c r="L210" s="20" t="s">
        <v>1255</v>
      </c>
      <c r="M210" s="23">
        <v>5500.0</v>
      </c>
      <c r="N210" s="20" t="s">
        <v>1256</v>
      </c>
      <c r="O210" s="53" t="s">
        <v>1257</v>
      </c>
      <c r="P210" s="20" t="s">
        <v>1258</v>
      </c>
      <c r="Q210" s="26">
        <v>63909.0</v>
      </c>
      <c r="R210" s="20">
        <v>2024.0</v>
      </c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>
      <c r="A211" s="19">
        <f t="shared" si="1"/>
        <v>210</v>
      </c>
      <c r="B211" s="20" t="s">
        <v>1259</v>
      </c>
      <c r="C211" s="21" t="s">
        <v>1260</v>
      </c>
      <c r="D211" s="20" t="s">
        <v>1261</v>
      </c>
      <c r="E211" s="20" t="s">
        <v>1262</v>
      </c>
      <c r="F211" s="20" t="s">
        <v>22</v>
      </c>
      <c r="G211" s="20" t="s">
        <v>68</v>
      </c>
      <c r="H211" s="22">
        <v>45490.0</v>
      </c>
      <c r="I211" s="20">
        <v>2024.0</v>
      </c>
      <c r="J211" s="20">
        <v>25.0</v>
      </c>
      <c r="K211" s="21" t="s">
        <v>1263</v>
      </c>
      <c r="L211" s="20" t="s">
        <v>1264</v>
      </c>
      <c r="M211" s="23">
        <v>5999.0</v>
      </c>
      <c r="N211" s="27"/>
      <c r="O211" s="53" t="s">
        <v>1265</v>
      </c>
      <c r="P211" s="20" t="s">
        <v>1266</v>
      </c>
      <c r="Q211" s="26">
        <v>92498.0</v>
      </c>
      <c r="R211" s="20">
        <v>2024.0</v>
      </c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>
      <c r="A212" s="19">
        <f t="shared" si="1"/>
        <v>211</v>
      </c>
      <c r="B212" s="20" t="s">
        <v>1267</v>
      </c>
      <c r="C212" s="53" t="s">
        <v>1268</v>
      </c>
      <c r="D212" s="20" t="s">
        <v>1269</v>
      </c>
      <c r="E212" s="20" t="s">
        <v>31</v>
      </c>
      <c r="F212" s="20" t="s">
        <v>32</v>
      </c>
      <c r="G212" s="20" t="s">
        <v>68</v>
      </c>
      <c r="H212" s="22">
        <v>45503.0</v>
      </c>
      <c r="I212" s="20">
        <v>2025.0</v>
      </c>
      <c r="J212" s="20">
        <v>90.0</v>
      </c>
      <c r="K212" s="53" t="s">
        <v>1270</v>
      </c>
      <c r="L212" s="20"/>
      <c r="M212" s="23">
        <v>7000.0</v>
      </c>
      <c r="N212" s="72"/>
      <c r="O212" s="53" t="s">
        <v>1271</v>
      </c>
      <c r="P212" s="20" t="s">
        <v>1272</v>
      </c>
      <c r="Q212" s="26">
        <v>60381.0</v>
      </c>
      <c r="R212" s="20">
        <v>2024.0</v>
      </c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>
      <c r="A213" s="19">
        <f t="shared" si="1"/>
        <v>212</v>
      </c>
      <c r="B213" s="20" t="s">
        <v>1273</v>
      </c>
      <c r="C213" s="21" t="s">
        <v>1274</v>
      </c>
      <c r="D213" s="20" t="s">
        <v>1275</v>
      </c>
      <c r="E213" s="20" t="s">
        <v>702</v>
      </c>
      <c r="F213" s="20" t="s">
        <v>67</v>
      </c>
      <c r="G213" s="20" t="s">
        <v>33</v>
      </c>
      <c r="H213" s="22">
        <v>45504.0</v>
      </c>
      <c r="I213" s="20">
        <v>2024.0</v>
      </c>
      <c r="J213" s="20">
        <v>45.0</v>
      </c>
      <c r="K213" s="53" t="s">
        <v>1276</v>
      </c>
      <c r="L213" s="20" t="s">
        <v>1277</v>
      </c>
      <c r="M213" s="35"/>
      <c r="N213" s="20" t="s">
        <v>1278</v>
      </c>
      <c r="O213" s="53" t="s">
        <v>1279</v>
      </c>
      <c r="P213" s="20" t="s">
        <v>1280</v>
      </c>
      <c r="Q213" s="26">
        <v>51067.0</v>
      </c>
      <c r="R213" s="20">
        <v>2024.0</v>
      </c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>
      <c r="A214" s="19">
        <f t="shared" si="1"/>
        <v>213</v>
      </c>
      <c r="B214" s="20" t="s">
        <v>1281</v>
      </c>
      <c r="C214" s="21" t="s">
        <v>1282</v>
      </c>
      <c r="D214" s="20" t="s">
        <v>253</v>
      </c>
      <c r="E214" s="20" t="s">
        <v>122</v>
      </c>
      <c r="F214" s="20" t="s">
        <v>32</v>
      </c>
      <c r="G214" s="20" t="s">
        <v>23</v>
      </c>
      <c r="H214" s="22">
        <v>45503.0</v>
      </c>
      <c r="I214" s="20">
        <v>2024.0</v>
      </c>
      <c r="J214" s="20">
        <v>100.0</v>
      </c>
      <c r="K214" s="53" t="s">
        <v>1283</v>
      </c>
      <c r="L214" s="20" t="s">
        <v>1284</v>
      </c>
      <c r="M214" s="23">
        <v>20000.0</v>
      </c>
      <c r="N214" s="27"/>
      <c r="O214" s="53" t="s">
        <v>1283</v>
      </c>
      <c r="P214" s="20" t="s">
        <v>1285</v>
      </c>
      <c r="Q214" s="26">
        <v>126542.0</v>
      </c>
      <c r="R214" s="20">
        <v>2024.0</v>
      </c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>
      <c r="A215" s="19">
        <f t="shared" si="1"/>
        <v>214</v>
      </c>
      <c r="B215" s="20" t="s">
        <v>1286</v>
      </c>
      <c r="C215" s="21" t="s">
        <v>1287</v>
      </c>
      <c r="D215" s="20" t="s">
        <v>1288</v>
      </c>
      <c r="E215" s="20" t="s">
        <v>197</v>
      </c>
      <c r="F215" s="20" t="s">
        <v>67</v>
      </c>
      <c r="G215" s="20" t="s">
        <v>33</v>
      </c>
      <c r="H215" s="22">
        <v>45496.0</v>
      </c>
      <c r="I215" s="20">
        <v>2024.0</v>
      </c>
      <c r="J215" s="20">
        <v>11.0</v>
      </c>
      <c r="K215" s="21" t="s">
        <v>1289</v>
      </c>
      <c r="L215" s="20" t="s">
        <v>1290</v>
      </c>
      <c r="M215" s="23">
        <v>7750.0</v>
      </c>
      <c r="N215" s="27"/>
      <c r="O215" s="21" t="s">
        <v>1291</v>
      </c>
      <c r="P215" s="20" t="s">
        <v>1292</v>
      </c>
      <c r="Q215" s="26">
        <v>48262.0</v>
      </c>
      <c r="R215" s="20">
        <v>2024.0</v>
      </c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>
      <c r="A216" s="19">
        <f t="shared" si="1"/>
        <v>215</v>
      </c>
      <c r="B216" s="20" t="s">
        <v>1293</v>
      </c>
      <c r="C216" s="27"/>
      <c r="D216" s="20" t="s">
        <v>1294</v>
      </c>
      <c r="E216" s="20" t="s">
        <v>66</v>
      </c>
      <c r="F216" s="20" t="s">
        <v>67</v>
      </c>
      <c r="G216" s="20" t="s">
        <v>68</v>
      </c>
      <c r="H216" s="22">
        <v>45497.0</v>
      </c>
      <c r="I216" s="20">
        <v>2024.0</v>
      </c>
      <c r="J216" s="27"/>
      <c r="K216" s="21" t="s">
        <v>1295</v>
      </c>
      <c r="L216" s="27"/>
      <c r="M216" s="35"/>
      <c r="N216" s="27"/>
      <c r="O216" s="27"/>
      <c r="P216" s="20" t="s">
        <v>1296</v>
      </c>
      <c r="Q216" s="26">
        <v>63138.0</v>
      </c>
      <c r="R216" s="20">
        <v>2024.0</v>
      </c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>
      <c r="A217" s="19">
        <f t="shared" si="1"/>
        <v>216</v>
      </c>
      <c r="B217" s="20" t="s">
        <v>1297</v>
      </c>
      <c r="C217" s="21" t="s">
        <v>1298</v>
      </c>
      <c r="D217" s="20" t="s">
        <v>1299</v>
      </c>
      <c r="E217" s="20" t="s">
        <v>122</v>
      </c>
      <c r="F217" s="20" t="s">
        <v>32</v>
      </c>
      <c r="G217" s="20" t="s">
        <v>23</v>
      </c>
      <c r="H217" s="22">
        <v>45506.0</v>
      </c>
      <c r="I217" s="20">
        <v>2025.0</v>
      </c>
      <c r="J217" s="20">
        <v>50.0</v>
      </c>
      <c r="K217" s="21" t="s">
        <v>1300</v>
      </c>
      <c r="L217" s="27"/>
      <c r="M217" s="35"/>
      <c r="N217" s="20" t="s">
        <v>1301</v>
      </c>
      <c r="O217" s="21" t="s">
        <v>1302</v>
      </c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>
      <c r="A218" s="19">
        <f t="shared" si="1"/>
        <v>217</v>
      </c>
      <c r="B218" s="20" t="s">
        <v>1303</v>
      </c>
      <c r="C218" s="21" t="s">
        <v>1304</v>
      </c>
      <c r="D218" s="20" t="s">
        <v>1305</v>
      </c>
      <c r="E218" s="20" t="s">
        <v>1306</v>
      </c>
      <c r="F218" s="20" t="s">
        <v>32</v>
      </c>
      <c r="G218" s="20" t="s">
        <v>68</v>
      </c>
      <c r="H218" s="22">
        <v>45515.0</v>
      </c>
      <c r="I218" s="20">
        <v>2025.0</v>
      </c>
      <c r="J218" s="27"/>
      <c r="K218" s="53" t="s">
        <v>1307</v>
      </c>
      <c r="L218" s="27"/>
      <c r="M218" s="35"/>
      <c r="N218" s="27"/>
      <c r="O218" s="27"/>
      <c r="P218" s="20" t="s">
        <v>1308</v>
      </c>
      <c r="Q218" s="26">
        <v>54767.0</v>
      </c>
      <c r="R218" s="20">
        <v>2024.0</v>
      </c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>
      <c r="A219" s="19">
        <f t="shared" si="1"/>
        <v>218</v>
      </c>
      <c r="B219" s="20" t="s">
        <v>1309</v>
      </c>
      <c r="C219" s="21" t="s">
        <v>1310</v>
      </c>
      <c r="D219" s="20" t="s">
        <v>1311</v>
      </c>
      <c r="E219" s="20" t="s">
        <v>436</v>
      </c>
      <c r="F219" s="20" t="s">
        <v>32</v>
      </c>
      <c r="G219" s="20" t="s">
        <v>33</v>
      </c>
      <c r="H219" s="22">
        <v>45513.0</v>
      </c>
      <c r="I219" s="20">
        <v>2024.0</v>
      </c>
      <c r="J219" s="27"/>
      <c r="K219" s="21" t="s">
        <v>1312</v>
      </c>
      <c r="L219" s="27"/>
      <c r="M219" s="35"/>
      <c r="N219" s="27"/>
      <c r="O219" s="27"/>
      <c r="P219" s="20" t="s">
        <v>1313</v>
      </c>
      <c r="Q219" s="26">
        <v>87708.0</v>
      </c>
      <c r="R219" s="20">
        <v>2024.0</v>
      </c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>
      <c r="A220" s="19">
        <f t="shared" si="1"/>
        <v>219</v>
      </c>
      <c r="B220" s="20" t="s">
        <v>1314</v>
      </c>
      <c r="C220" s="27"/>
      <c r="D220" s="20" t="s">
        <v>1315</v>
      </c>
      <c r="E220" s="20" t="s">
        <v>436</v>
      </c>
      <c r="F220" s="20" t="s">
        <v>32</v>
      </c>
      <c r="G220" s="20" t="s">
        <v>33</v>
      </c>
      <c r="H220" s="22">
        <v>45523.0</v>
      </c>
      <c r="I220" s="20">
        <v>2024.0</v>
      </c>
      <c r="J220" s="27"/>
      <c r="K220" s="53" t="s">
        <v>1316</v>
      </c>
      <c r="L220" s="27"/>
      <c r="M220" s="35"/>
      <c r="N220" s="27"/>
      <c r="O220" s="27"/>
      <c r="P220" s="20" t="s">
        <v>1317</v>
      </c>
      <c r="Q220" s="26">
        <v>34468.0</v>
      </c>
      <c r="R220" s="20">
        <v>2024.0</v>
      </c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>
      <c r="A221" s="85">
        <f t="shared" si="1"/>
        <v>220</v>
      </c>
      <c r="B221" s="20" t="s">
        <v>1318</v>
      </c>
      <c r="C221" s="53" t="s">
        <v>1319</v>
      </c>
      <c r="D221" s="20" t="s">
        <v>1320</v>
      </c>
      <c r="E221" s="20" t="s">
        <v>584</v>
      </c>
      <c r="F221" s="20" t="s">
        <v>32</v>
      </c>
      <c r="G221" s="20" t="s">
        <v>23</v>
      </c>
      <c r="H221" s="22">
        <v>45518.0</v>
      </c>
      <c r="I221" s="20">
        <v>2024.0</v>
      </c>
      <c r="J221" s="27"/>
      <c r="K221" s="21" t="s">
        <v>1321</v>
      </c>
      <c r="L221" s="27"/>
      <c r="M221" s="23">
        <v>4900.0</v>
      </c>
      <c r="N221" s="27"/>
      <c r="O221" s="53" t="s">
        <v>1322</v>
      </c>
      <c r="P221" s="20" t="s">
        <v>1323</v>
      </c>
      <c r="Q221" s="26">
        <v>122721.0</v>
      </c>
      <c r="R221" s="20">
        <v>2024.0</v>
      </c>
      <c r="S221" s="20" t="s">
        <v>1324</v>
      </c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>
      <c r="A222" s="85">
        <f t="shared" si="1"/>
        <v>221</v>
      </c>
      <c r="B222" s="20" t="s">
        <v>1325</v>
      </c>
      <c r="C222" s="53" t="s">
        <v>1326</v>
      </c>
      <c r="D222" s="20" t="s">
        <v>141</v>
      </c>
      <c r="E222" s="20" t="s">
        <v>142</v>
      </c>
      <c r="F222" s="20" t="s">
        <v>67</v>
      </c>
      <c r="G222" s="20" t="s">
        <v>68</v>
      </c>
      <c r="H222" s="22">
        <v>45518.0</v>
      </c>
      <c r="I222" s="20">
        <v>2024.0</v>
      </c>
      <c r="J222" s="27"/>
      <c r="K222" s="21" t="s">
        <v>1327</v>
      </c>
      <c r="L222" s="27"/>
      <c r="M222" s="35"/>
      <c r="N222" s="27"/>
      <c r="O222" s="27"/>
      <c r="P222" s="20" t="s">
        <v>1328</v>
      </c>
      <c r="Q222" s="26">
        <v>102492.0</v>
      </c>
      <c r="R222" s="20">
        <v>2024.0</v>
      </c>
      <c r="S222" s="20" t="s">
        <v>1324</v>
      </c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>
      <c r="A223" s="19">
        <f t="shared" si="1"/>
        <v>222</v>
      </c>
      <c r="B223" s="20" t="s">
        <v>1329</v>
      </c>
      <c r="C223" s="53" t="s">
        <v>1330</v>
      </c>
      <c r="D223" s="20" t="s">
        <v>1331</v>
      </c>
      <c r="E223" s="20" t="s">
        <v>115</v>
      </c>
      <c r="F223" s="20" t="s">
        <v>32</v>
      </c>
      <c r="G223" s="20" t="s">
        <v>33</v>
      </c>
      <c r="H223" s="22">
        <v>45517.0</v>
      </c>
      <c r="I223" s="20">
        <v>2024.0</v>
      </c>
      <c r="J223" s="27"/>
      <c r="K223" s="21" t="s">
        <v>1332</v>
      </c>
      <c r="L223" s="27"/>
      <c r="M223" s="23">
        <v>9000.0</v>
      </c>
      <c r="N223" s="53" t="s">
        <v>1333</v>
      </c>
      <c r="O223" s="27"/>
      <c r="P223" s="20" t="s">
        <v>1334</v>
      </c>
      <c r="Q223" s="26">
        <v>153698.0</v>
      </c>
      <c r="R223" s="20">
        <v>2024.0</v>
      </c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>
      <c r="A224" s="19">
        <f t="shared" si="1"/>
        <v>223</v>
      </c>
      <c r="B224" s="20" t="s">
        <v>1335</v>
      </c>
      <c r="C224" s="53" t="s">
        <v>1336</v>
      </c>
      <c r="D224" s="20" t="s">
        <v>1337</v>
      </c>
      <c r="E224" s="20" t="s">
        <v>76</v>
      </c>
      <c r="F224" s="20" t="s">
        <v>43</v>
      </c>
      <c r="G224" s="20" t="s">
        <v>1338</v>
      </c>
      <c r="H224" s="22">
        <v>45533.0</v>
      </c>
      <c r="I224" s="20">
        <v>2024.0</v>
      </c>
      <c r="J224" s="20">
        <v>250.0</v>
      </c>
      <c r="K224" s="53" t="s">
        <v>1339</v>
      </c>
      <c r="L224" s="20" t="s">
        <v>1340</v>
      </c>
      <c r="M224" s="23">
        <v>42000.0</v>
      </c>
      <c r="N224" s="27"/>
      <c r="O224" s="21" t="s">
        <v>1341</v>
      </c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>
      <c r="A225" s="19">
        <f t="shared" si="1"/>
        <v>224</v>
      </c>
      <c r="B225" s="20" t="s">
        <v>1342</v>
      </c>
      <c r="C225" s="53" t="s">
        <v>1343</v>
      </c>
      <c r="D225" s="36" t="s">
        <v>1344</v>
      </c>
      <c r="E225" s="36" t="s">
        <v>662</v>
      </c>
      <c r="F225" s="36" t="s">
        <v>22</v>
      </c>
      <c r="G225" s="36" t="s">
        <v>33</v>
      </c>
      <c r="H225" s="22">
        <v>45517.0</v>
      </c>
      <c r="I225" s="20">
        <v>2024.0</v>
      </c>
      <c r="J225" s="20">
        <v>15.0</v>
      </c>
      <c r="K225" s="53" t="s">
        <v>1345</v>
      </c>
      <c r="L225" s="20" t="s">
        <v>1346</v>
      </c>
      <c r="M225" s="35"/>
      <c r="N225" s="27"/>
      <c r="O225" s="21" t="s">
        <v>1347</v>
      </c>
      <c r="P225" s="20" t="s">
        <v>1348</v>
      </c>
      <c r="Q225" s="26">
        <v>50891.0</v>
      </c>
      <c r="R225" s="20">
        <v>2024.0</v>
      </c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>
      <c r="A226" s="19">
        <f t="shared" si="1"/>
        <v>225</v>
      </c>
      <c r="B226" s="20" t="s">
        <v>1349</v>
      </c>
      <c r="C226" s="21" t="s">
        <v>1350</v>
      </c>
      <c r="D226" s="20" t="s">
        <v>1351</v>
      </c>
      <c r="E226" s="20" t="s">
        <v>122</v>
      </c>
      <c r="F226" s="20" t="s">
        <v>32</v>
      </c>
      <c r="G226" s="20" t="s">
        <v>33</v>
      </c>
      <c r="H226" s="22">
        <v>45425.0</v>
      </c>
      <c r="I226" s="20">
        <v>2025.0</v>
      </c>
      <c r="J226" s="27"/>
      <c r="K226" s="53" t="s">
        <v>1352</v>
      </c>
      <c r="L226" s="20" t="s">
        <v>1353</v>
      </c>
      <c r="M226" s="23">
        <v>9000.0</v>
      </c>
      <c r="N226" s="27"/>
      <c r="O226" s="27"/>
      <c r="P226" s="20" t="s">
        <v>1354</v>
      </c>
      <c r="Q226" s="26">
        <v>97489.0</v>
      </c>
      <c r="R226" s="20">
        <v>2024.0</v>
      </c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>
      <c r="A227" s="19">
        <f t="shared" si="1"/>
        <v>226</v>
      </c>
      <c r="B227" s="20" t="s">
        <v>1355</v>
      </c>
      <c r="C227" s="53" t="s">
        <v>1356</v>
      </c>
      <c r="D227" s="20" t="s">
        <v>1357</v>
      </c>
      <c r="E227" s="20" t="s">
        <v>468</v>
      </c>
      <c r="F227" s="20" t="s">
        <v>32</v>
      </c>
      <c r="G227" s="20" t="s">
        <v>68</v>
      </c>
      <c r="H227" s="22">
        <v>45554.0</v>
      </c>
      <c r="I227" s="20">
        <v>2024.0</v>
      </c>
      <c r="J227" s="20">
        <v>400.0</v>
      </c>
      <c r="K227" s="21" t="s">
        <v>1358</v>
      </c>
      <c r="L227" s="20" t="s">
        <v>1359</v>
      </c>
      <c r="M227" s="23">
        <v>0.0</v>
      </c>
      <c r="N227" s="20" t="s">
        <v>1360</v>
      </c>
      <c r="O227" s="27"/>
      <c r="P227" s="20" t="s">
        <v>1361</v>
      </c>
      <c r="Q227" s="26">
        <v>127779.0</v>
      </c>
      <c r="R227" s="20">
        <v>2024.0</v>
      </c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>
      <c r="A228" s="85">
        <f t="shared" si="1"/>
        <v>227</v>
      </c>
      <c r="B228" s="20" t="s">
        <v>1362</v>
      </c>
      <c r="C228" s="21" t="s">
        <v>1363</v>
      </c>
      <c r="D228" s="20" t="s">
        <v>1364</v>
      </c>
      <c r="E228" s="20" t="s">
        <v>1262</v>
      </c>
      <c r="F228" s="20" t="s">
        <v>22</v>
      </c>
      <c r="G228" s="20" t="s">
        <v>23</v>
      </c>
      <c r="H228" s="22">
        <v>45549.0</v>
      </c>
      <c r="I228" s="20">
        <v>2024.0</v>
      </c>
      <c r="J228" s="20">
        <v>8.0</v>
      </c>
      <c r="K228" s="53" t="s">
        <v>1365</v>
      </c>
      <c r="L228" s="20" t="s">
        <v>1366</v>
      </c>
      <c r="M228" s="23">
        <v>5976.0</v>
      </c>
      <c r="N228" s="20" t="s">
        <v>1367</v>
      </c>
      <c r="O228" s="27"/>
      <c r="P228" s="20" t="s">
        <v>1368</v>
      </c>
      <c r="Q228" s="26">
        <v>143658.0</v>
      </c>
      <c r="R228" s="20">
        <v>2024.0</v>
      </c>
      <c r="S228" s="20" t="s">
        <v>1324</v>
      </c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>
      <c r="A229" s="19">
        <f t="shared" si="1"/>
        <v>228</v>
      </c>
      <c r="B229" s="20" t="s">
        <v>1369</v>
      </c>
      <c r="C229" s="27"/>
      <c r="D229" s="20" t="s">
        <v>1370</v>
      </c>
      <c r="E229" s="20" t="s">
        <v>1306</v>
      </c>
      <c r="F229" s="20" t="s">
        <v>32</v>
      </c>
      <c r="G229" s="20" t="s">
        <v>68</v>
      </c>
      <c r="H229" s="22">
        <v>45581.0</v>
      </c>
      <c r="I229" s="20">
        <v>2025.0</v>
      </c>
      <c r="J229" s="27"/>
      <c r="K229" s="53" t="s">
        <v>1371</v>
      </c>
      <c r="L229" s="27"/>
      <c r="M229" s="23">
        <v>8100.0</v>
      </c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>
      <c r="A230" s="19">
        <f t="shared" si="1"/>
        <v>229</v>
      </c>
      <c r="B230" s="20" t="s">
        <v>1372</v>
      </c>
      <c r="C230" s="53" t="s">
        <v>1373</v>
      </c>
      <c r="D230" s="20" t="s">
        <v>1374</v>
      </c>
      <c r="E230" s="20" t="s">
        <v>122</v>
      </c>
      <c r="F230" s="20" t="s">
        <v>32</v>
      </c>
      <c r="G230" s="20" t="s">
        <v>23</v>
      </c>
      <c r="H230" s="22">
        <v>45638.0</v>
      </c>
      <c r="I230" s="20">
        <v>2024.0</v>
      </c>
      <c r="J230" s="20">
        <v>60.0</v>
      </c>
      <c r="K230" s="53" t="s">
        <v>1375</v>
      </c>
      <c r="L230" s="20" t="s">
        <v>973</v>
      </c>
      <c r="M230" s="23">
        <v>8000.0</v>
      </c>
      <c r="N230" s="27"/>
      <c r="O230" s="27"/>
      <c r="P230" s="20" t="s">
        <v>1376</v>
      </c>
      <c r="Q230" s="26">
        <v>79196.0</v>
      </c>
      <c r="R230" s="20">
        <v>2024.0</v>
      </c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>
      <c r="A231" s="19">
        <f t="shared" si="1"/>
        <v>230</v>
      </c>
      <c r="B231" s="20" t="s">
        <v>1377</v>
      </c>
      <c r="C231" s="53" t="s">
        <v>1378</v>
      </c>
      <c r="D231" s="20" t="s">
        <v>1379</v>
      </c>
      <c r="E231" s="20" t="s">
        <v>83</v>
      </c>
      <c r="F231" s="20" t="s">
        <v>43</v>
      </c>
      <c r="G231" s="20" t="s">
        <v>23</v>
      </c>
      <c r="H231" s="22">
        <v>45636.0</v>
      </c>
      <c r="I231" s="20">
        <v>2025.0</v>
      </c>
      <c r="J231" s="27"/>
      <c r="K231" s="53" t="s">
        <v>1380</v>
      </c>
      <c r="L231" s="27"/>
      <c r="M231" s="35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>
      <c r="A232" s="85">
        <f t="shared" si="1"/>
        <v>231</v>
      </c>
      <c r="B232" s="20" t="s">
        <v>1381</v>
      </c>
      <c r="C232" s="21" t="s">
        <v>1382</v>
      </c>
      <c r="D232" s="20" t="s">
        <v>1383</v>
      </c>
      <c r="E232" s="20" t="s">
        <v>31</v>
      </c>
      <c r="F232" s="20" t="s">
        <v>32</v>
      </c>
      <c r="G232" s="20" t="s">
        <v>23</v>
      </c>
      <c r="H232" s="22">
        <v>45632.0</v>
      </c>
      <c r="I232" s="20">
        <v>2025.0</v>
      </c>
      <c r="J232" s="20">
        <v>15.0</v>
      </c>
      <c r="K232" s="53" t="s">
        <v>1384</v>
      </c>
      <c r="L232" s="20" t="s">
        <v>1385</v>
      </c>
      <c r="M232" s="23">
        <v>2700.0</v>
      </c>
      <c r="N232" s="27"/>
      <c r="O232" s="27"/>
      <c r="P232" s="20" t="s">
        <v>1386</v>
      </c>
      <c r="Q232" s="26">
        <v>71614.0</v>
      </c>
      <c r="R232" s="20">
        <v>2024.0</v>
      </c>
      <c r="S232" s="20" t="s">
        <v>1324</v>
      </c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>
      <c r="A233" s="19">
        <f t="shared" si="1"/>
        <v>232</v>
      </c>
      <c r="B233" s="20" t="s">
        <v>1387</v>
      </c>
      <c r="C233" s="21" t="s">
        <v>1388</v>
      </c>
      <c r="D233" s="27"/>
      <c r="E233" s="27"/>
      <c r="F233" s="27"/>
      <c r="G233" s="20" t="s">
        <v>68</v>
      </c>
      <c r="H233" s="22">
        <v>45672.0</v>
      </c>
      <c r="I233" s="20">
        <v>2025.0</v>
      </c>
      <c r="J233" s="20">
        <v>75.0</v>
      </c>
      <c r="K233" s="53" t="s">
        <v>1389</v>
      </c>
      <c r="L233" s="27"/>
      <c r="M233" s="23">
        <v>8000.0</v>
      </c>
      <c r="N233" s="20" t="s">
        <v>1390</v>
      </c>
      <c r="O233" s="27"/>
      <c r="P233" s="20" t="s">
        <v>1391</v>
      </c>
      <c r="Q233" s="26">
        <v>94896.0</v>
      </c>
      <c r="R233" s="20">
        <v>2024.0</v>
      </c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>
      <c r="A234" s="19">
        <f t="shared" si="1"/>
        <v>233</v>
      </c>
      <c r="B234" s="20" t="s">
        <v>1392</v>
      </c>
      <c r="C234" s="53" t="s">
        <v>1393</v>
      </c>
      <c r="D234" s="20" t="s">
        <v>75</v>
      </c>
      <c r="E234" s="20" t="s">
        <v>76</v>
      </c>
      <c r="F234" s="20" t="s">
        <v>43</v>
      </c>
      <c r="G234" s="20" t="s">
        <v>1338</v>
      </c>
      <c r="H234" s="22">
        <v>45713.0</v>
      </c>
      <c r="I234" s="20">
        <v>2026.0</v>
      </c>
      <c r="J234" s="27"/>
      <c r="K234" s="53" t="s">
        <v>1394</v>
      </c>
      <c r="L234" s="20" t="s">
        <v>1395</v>
      </c>
      <c r="M234" s="35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>
      <c r="A235" s="19">
        <f t="shared" si="1"/>
        <v>234</v>
      </c>
      <c r="B235" s="20" t="s">
        <v>1396</v>
      </c>
      <c r="C235" s="53" t="s">
        <v>1397</v>
      </c>
      <c r="D235" s="20" t="s">
        <v>1398</v>
      </c>
      <c r="E235" s="20" t="s">
        <v>1306</v>
      </c>
      <c r="F235" s="20" t="s">
        <v>32</v>
      </c>
      <c r="G235" s="20" t="s">
        <v>33</v>
      </c>
      <c r="H235" s="22">
        <v>45714.0</v>
      </c>
      <c r="I235" s="20">
        <v>2025.0</v>
      </c>
      <c r="J235" s="27">
        <f>18*3</f>
        <v>54</v>
      </c>
      <c r="K235" s="53" t="s">
        <v>1399</v>
      </c>
      <c r="L235" s="20" t="s">
        <v>1400</v>
      </c>
      <c r="M235" s="35"/>
      <c r="N235" s="27"/>
      <c r="O235" s="27"/>
      <c r="P235" s="20" t="s">
        <v>1401</v>
      </c>
      <c r="Q235" s="26">
        <v>113625.0</v>
      </c>
      <c r="R235" s="20">
        <v>2024.0</v>
      </c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>
      <c r="A236" s="19">
        <f t="shared" si="1"/>
        <v>235</v>
      </c>
      <c r="B236" s="20" t="s">
        <v>1402</v>
      </c>
      <c r="C236" s="53" t="s">
        <v>1403</v>
      </c>
      <c r="D236" s="20" t="s">
        <v>1404</v>
      </c>
      <c r="E236" s="20" t="s">
        <v>76</v>
      </c>
      <c r="F236" s="20" t="s">
        <v>43</v>
      </c>
      <c r="G236" s="20" t="s">
        <v>33</v>
      </c>
      <c r="H236" s="22">
        <v>45715.0</v>
      </c>
      <c r="I236" s="20">
        <v>2025.0</v>
      </c>
      <c r="J236" s="20"/>
      <c r="K236" s="72"/>
      <c r="L236" s="20"/>
      <c r="M236" s="23"/>
      <c r="N236" s="27"/>
      <c r="O236" s="27"/>
      <c r="P236" s="20"/>
      <c r="Q236" s="26"/>
      <c r="R236" s="20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>
      <c r="A237" s="19">
        <f t="shared" si="1"/>
        <v>236</v>
      </c>
      <c r="B237" s="20" t="s">
        <v>1405</v>
      </c>
      <c r="C237" s="53" t="s">
        <v>1406</v>
      </c>
      <c r="D237" s="20" t="s">
        <v>1407</v>
      </c>
      <c r="E237" s="20" t="s">
        <v>436</v>
      </c>
      <c r="F237" s="20" t="s">
        <v>32</v>
      </c>
      <c r="G237" s="20" t="s">
        <v>23</v>
      </c>
      <c r="H237" s="22">
        <v>45720.0</v>
      </c>
      <c r="I237" s="20">
        <v>2025.0</v>
      </c>
      <c r="J237" s="20">
        <v>20.0</v>
      </c>
      <c r="K237" s="53" t="s">
        <v>1408</v>
      </c>
      <c r="L237" s="20" t="s">
        <v>1409</v>
      </c>
      <c r="M237" s="23">
        <v>11500.0</v>
      </c>
      <c r="N237" s="27"/>
      <c r="O237" s="27"/>
      <c r="P237" s="20" t="s">
        <v>1410</v>
      </c>
      <c r="Q237" s="26">
        <v>89711.0</v>
      </c>
      <c r="R237" s="20">
        <v>2024.0</v>
      </c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>
      <c r="A238" s="19">
        <f t="shared" si="1"/>
        <v>237</v>
      </c>
      <c r="B238" s="20" t="s">
        <v>1411</v>
      </c>
      <c r="C238" s="53" t="s">
        <v>1412</v>
      </c>
      <c r="D238" s="20" t="s">
        <v>1413</v>
      </c>
      <c r="E238" s="20" t="s">
        <v>21</v>
      </c>
      <c r="F238" s="20" t="s">
        <v>22</v>
      </c>
      <c r="G238" s="20" t="s">
        <v>23</v>
      </c>
      <c r="H238" s="22">
        <v>45659.0</v>
      </c>
      <c r="I238" s="20">
        <v>2025.0</v>
      </c>
      <c r="J238" s="27"/>
      <c r="K238" s="53" t="s">
        <v>1414</v>
      </c>
      <c r="L238" s="20" t="s">
        <v>1415</v>
      </c>
      <c r="M238" s="35"/>
      <c r="N238" s="27"/>
      <c r="O238" s="27"/>
      <c r="P238" s="20" t="s">
        <v>1416</v>
      </c>
      <c r="Q238" s="26">
        <v>175745.0</v>
      </c>
      <c r="R238" s="20">
        <v>2024.0</v>
      </c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>
      <c r="A239" s="19">
        <f t="shared" si="1"/>
        <v>238</v>
      </c>
      <c r="B239" s="20" t="s">
        <v>1417</v>
      </c>
      <c r="C239" s="53" t="s">
        <v>1418</v>
      </c>
      <c r="D239" s="20" t="s">
        <v>1419</v>
      </c>
      <c r="E239" s="20" t="s">
        <v>436</v>
      </c>
      <c r="F239" s="20" t="s">
        <v>32</v>
      </c>
      <c r="G239" s="20" t="s">
        <v>23</v>
      </c>
      <c r="H239" s="22">
        <v>45785.0</v>
      </c>
      <c r="I239" s="20">
        <v>2025.0</v>
      </c>
      <c r="J239" s="27"/>
      <c r="K239" s="53" t="s">
        <v>1420</v>
      </c>
      <c r="L239" s="20" t="s">
        <v>1421</v>
      </c>
      <c r="M239" s="23">
        <v>40000.0</v>
      </c>
      <c r="N239" s="27"/>
      <c r="O239" s="27"/>
      <c r="P239" s="20" t="s">
        <v>1422</v>
      </c>
      <c r="Q239" s="26">
        <v>44249.0</v>
      </c>
      <c r="R239" s="20">
        <v>2024.0</v>
      </c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>
      <c r="A240" s="19">
        <f t="shared" si="1"/>
        <v>239</v>
      </c>
      <c r="B240" s="31" t="s">
        <v>1423</v>
      </c>
      <c r="C240" s="32"/>
      <c r="D240" s="31" t="s">
        <v>1424</v>
      </c>
      <c r="E240" s="31" t="s">
        <v>31</v>
      </c>
      <c r="F240" s="31" t="s">
        <v>32</v>
      </c>
      <c r="G240" s="31" t="s">
        <v>33</v>
      </c>
      <c r="H240" s="22">
        <v>45778.0</v>
      </c>
      <c r="I240" s="20">
        <v>2028.0</v>
      </c>
      <c r="J240" s="20">
        <v>400.0</v>
      </c>
      <c r="K240" s="94" t="s">
        <v>1425</v>
      </c>
      <c r="L240" s="27"/>
      <c r="M240" s="27"/>
      <c r="N240" s="27"/>
      <c r="O240" s="27"/>
      <c r="P240" s="20" t="s">
        <v>1426</v>
      </c>
      <c r="Q240" s="26">
        <v>85793.0</v>
      </c>
      <c r="R240" s="20">
        <v>2024.0</v>
      </c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>
      <c r="A241" s="19">
        <f t="shared" si="1"/>
        <v>240</v>
      </c>
      <c r="B241" s="57" t="s">
        <v>1427</v>
      </c>
      <c r="C241" s="77" t="s">
        <v>1428</v>
      </c>
      <c r="D241" s="57" t="s">
        <v>1429</v>
      </c>
      <c r="E241" s="57" t="s">
        <v>476</v>
      </c>
      <c r="F241" s="57" t="s">
        <v>67</v>
      </c>
      <c r="G241" s="57" t="s">
        <v>1430</v>
      </c>
      <c r="H241" s="80">
        <v>45804.0</v>
      </c>
      <c r="I241" s="60">
        <v>2026.0</v>
      </c>
      <c r="J241" s="73"/>
      <c r="K241" s="77" t="s">
        <v>1431</v>
      </c>
      <c r="L241" s="57" t="s">
        <v>1432</v>
      </c>
      <c r="N241" s="57" t="s">
        <v>1433</v>
      </c>
      <c r="O241" s="77" t="s">
        <v>1434</v>
      </c>
      <c r="P241" s="57" t="s">
        <v>1435</v>
      </c>
      <c r="Q241" s="73"/>
      <c r="R241" s="60">
        <v>2024.0</v>
      </c>
      <c r="S241" s="57" t="s">
        <v>1436</v>
      </c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>
      <c r="A242" s="19">
        <f t="shared" si="1"/>
        <v>241</v>
      </c>
      <c r="B242" s="20" t="s">
        <v>1437</v>
      </c>
      <c r="C242" s="53" t="s">
        <v>1438</v>
      </c>
      <c r="D242" s="20" t="s">
        <v>1439</v>
      </c>
      <c r="E242" s="20" t="s">
        <v>411</v>
      </c>
      <c r="F242" s="20" t="s">
        <v>67</v>
      </c>
      <c r="G242" s="20" t="s">
        <v>68</v>
      </c>
      <c r="H242" s="22">
        <v>45807.0</v>
      </c>
      <c r="I242" s="20">
        <v>2025.0</v>
      </c>
      <c r="J242" s="27"/>
      <c r="K242" s="53" t="s">
        <v>1440</v>
      </c>
      <c r="L242" s="27"/>
      <c r="M242" s="35"/>
      <c r="N242" s="27"/>
      <c r="O242" s="27"/>
      <c r="P242" s="20" t="s">
        <v>1441</v>
      </c>
      <c r="Q242" s="26">
        <v>85361.0</v>
      </c>
      <c r="R242" s="20">
        <v>2024.0</v>
      </c>
      <c r="S242" s="20" t="s">
        <v>1442</v>
      </c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>
      <c r="A243" s="85">
        <f t="shared" si="1"/>
        <v>242</v>
      </c>
      <c r="B243" s="20" t="s">
        <v>1443</v>
      </c>
      <c r="C243" s="21" t="s">
        <v>1444</v>
      </c>
      <c r="D243" s="20" t="s">
        <v>1445</v>
      </c>
      <c r="E243" s="20" t="s">
        <v>1446</v>
      </c>
      <c r="F243" s="20" t="s">
        <v>32</v>
      </c>
      <c r="G243" s="20" t="s">
        <v>68</v>
      </c>
      <c r="H243" s="22">
        <v>45809.0</v>
      </c>
      <c r="I243" s="20">
        <v>2025.0</v>
      </c>
      <c r="J243" s="20">
        <v>60.0</v>
      </c>
      <c r="K243" s="21" t="s">
        <v>1447</v>
      </c>
      <c r="L243" s="27"/>
      <c r="M243" s="23">
        <v>6800.0</v>
      </c>
      <c r="N243" s="20" t="s">
        <v>1448</v>
      </c>
      <c r="O243" s="53" t="s">
        <v>1444</v>
      </c>
      <c r="P243" s="20" t="s">
        <v>1449</v>
      </c>
      <c r="Q243" s="26">
        <v>86521.0</v>
      </c>
      <c r="R243" s="20">
        <v>2024.0</v>
      </c>
      <c r="S243" s="20" t="s">
        <v>1442</v>
      </c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>
      <c r="A244" s="85">
        <f t="shared" si="1"/>
        <v>243</v>
      </c>
      <c r="B244" s="20" t="s">
        <v>1450</v>
      </c>
      <c r="C244" s="53" t="s">
        <v>1451</v>
      </c>
      <c r="D244" s="20" t="s">
        <v>1452</v>
      </c>
      <c r="E244" s="20" t="s">
        <v>66</v>
      </c>
      <c r="F244" s="20" t="s">
        <v>32</v>
      </c>
      <c r="G244" s="20" t="s">
        <v>506</v>
      </c>
      <c r="H244" s="22">
        <v>45813.0</v>
      </c>
      <c r="I244" s="20">
        <v>2025.0</v>
      </c>
      <c r="J244" s="20">
        <v>100.0</v>
      </c>
      <c r="K244" s="53" t="s">
        <v>1453</v>
      </c>
      <c r="L244" s="20" t="s">
        <v>1454</v>
      </c>
      <c r="M244" s="35"/>
      <c r="N244" s="27"/>
      <c r="O244" s="27"/>
      <c r="P244" s="20" t="s">
        <v>1455</v>
      </c>
      <c r="Q244" s="26">
        <v>90756.0</v>
      </c>
      <c r="R244" s="20">
        <v>2024.0</v>
      </c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>
      <c r="A245" s="19">
        <f t="shared" si="1"/>
        <v>244</v>
      </c>
      <c r="B245" s="20" t="s">
        <v>1456</v>
      </c>
      <c r="C245" s="53" t="s">
        <v>1457</v>
      </c>
      <c r="D245" s="20" t="s">
        <v>1458</v>
      </c>
      <c r="E245" s="20" t="s">
        <v>1459</v>
      </c>
      <c r="F245" s="20" t="s">
        <v>22</v>
      </c>
      <c r="G245" s="20" t="s">
        <v>68</v>
      </c>
      <c r="H245" s="22">
        <v>45820.0</v>
      </c>
      <c r="I245" s="20">
        <v>2026.0</v>
      </c>
      <c r="J245" s="27"/>
      <c r="K245" s="21" t="s">
        <v>1460</v>
      </c>
      <c r="L245" s="20" t="s">
        <v>1461</v>
      </c>
      <c r="M245" s="35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>
      <c r="A246" s="19">
        <f t="shared" si="1"/>
        <v>245</v>
      </c>
      <c r="B246" s="20" t="s">
        <v>1462</v>
      </c>
      <c r="C246" s="21" t="s">
        <v>1463</v>
      </c>
      <c r="D246" s="20" t="s">
        <v>164</v>
      </c>
      <c r="E246" s="20" t="s">
        <v>165</v>
      </c>
      <c r="F246" s="20" t="s">
        <v>22</v>
      </c>
      <c r="G246" s="20" t="s">
        <v>237</v>
      </c>
      <c r="H246" s="22">
        <v>45825.0</v>
      </c>
      <c r="I246" s="20">
        <v>2025.0</v>
      </c>
      <c r="J246" s="27"/>
      <c r="K246" s="21" t="s">
        <v>1464</v>
      </c>
      <c r="L246" s="20" t="s">
        <v>1465</v>
      </c>
      <c r="M246" s="23">
        <v>22000.0</v>
      </c>
      <c r="N246" s="27"/>
      <c r="O246" s="27"/>
      <c r="P246" s="20" t="s">
        <v>1466</v>
      </c>
      <c r="Q246" s="26">
        <v>103955.0</v>
      </c>
      <c r="R246" s="20">
        <v>2024.0</v>
      </c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>
      <c r="A247" s="19">
        <f t="shared" si="1"/>
        <v>246</v>
      </c>
      <c r="B247" s="20" t="s">
        <v>1467</v>
      </c>
      <c r="C247" s="21" t="s">
        <v>1468</v>
      </c>
      <c r="D247" s="20" t="s">
        <v>490</v>
      </c>
      <c r="E247" s="20" t="s">
        <v>115</v>
      </c>
      <c r="F247" s="20" t="s">
        <v>32</v>
      </c>
      <c r="G247" s="20" t="s">
        <v>33</v>
      </c>
      <c r="H247" s="22">
        <v>45827.0</v>
      </c>
      <c r="I247" s="20">
        <v>2025.0</v>
      </c>
      <c r="J247" s="20">
        <v>140.0</v>
      </c>
      <c r="K247" s="21" t="s">
        <v>1469</v>
      </c>
      <c r="L247" s="20" t="s">
        <v>1470</v>
      </c>
      <c r="M247" s="23">
        <v>18845.0</v>
      </c>
      <c r="N247" s="20" t="s">
        <v>1471</v>
      </c>
      <c r="O247" s="21" t="s">
        <v>1472</v>
      </c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>
      <c r="A248" s="19">
        <f t="shared" si="1"/>
        <v>247</v>
      </c>
      <c r="B248" s="20" t="s">
        <v>1473</v>
      </c>
      <c r="C248" s="53" t="s">
        <v>1474</v>
      </c>
      <c r="D248" s="20" t="s">
        <v>1475</v>
      </c>
      <c r="E248" s="20" t="s">
        <v>702</v>
      </c>
      <c r="F248" s="20" t="s">
        <v>67</v>
      </c>
      <c r="G248" s="20" t="s">
        <v>23</v>
      </c>
      <c r="H248" s="22">
        <v>45827.0</v>
      </c>
      <c r="I248" s="20">
        <v>2025.0</v>
      </c>
      <c r="J248" s="20">
        <v>60.0</v>
      </c>
      <c r="K248" s="53" t="s">
        <v>1476</v>
      </c>
      <c r="L248" s="20" t="s">
        <v>1477</v>
      </c>
      <c r="M248" s="23">
        <v>12000.0</v>
      </c>
      <c r="N248" s="27"/>
      <c r="O248" s="21" t="s">
        <v>1478</v>
      </c>
      <c r="P248" s="20" t="s">
        <v>1479</v>
      </c>
      <c r="Q248" s="26">
        <v>165701.0</v>
      </c>
      <c r="R248" s="20">
        <v>2024.0</v>
      </c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>
      <c r="A249" s="19">
        <f t="shared" si="1"/>
        <v>248</v>
      </c>
      <c r="B249" s="20" t="s">
        <v>1480</v>
      </c>
      <c r="C249" s="27"/>
      <c r="D249" s="20" t="s">
        <v>1481</v>
      </c>
      <c r="E249" s="20" t="s">
        <v>476</v>
      </c>
      <c r="F249" s="20" t="s">
        <v>22</v>
      </c>
      <c r="G249" s="20" t="s">
        <v>33</v>
      </c>
      <c r="H249" s="22">
        <v>45831.0</v>
      </c>
      <c r="I249" s="20">
        <v>2025.0</v>
      </c>
      <c r="J249" s="27"/>
      <c r="K249" s="27"/>
      <c r="L249" s="20" t="s">
        <v>1482</v>
      </c>
      <c r="M249" s="35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>
      <c r="A250" s="19">
        <f t="shared" si="1"/>
        <v>249</v>
      </c>
      <c r="B250" s="57" t="s">
        <v>1483</v>
      </c>
      <c r="C250" s="58" t="s">
        <v>1484</v>
      </c>
      <c r="D250" s="57" t="s">
        <v>1485</v>
      </c>
      <c r="E250" s="57" t="s">
        <v>31</v>
      </c>
      <c r="F250" s="57" t="s">
        <v>32</v>
      </c>
      <c r="G250" s="57" t="s">
        <v>23</v>
      </c>
      <c r="H250" s="80">
        <v>45854.0</v>
      </c>
      <c r="I250" s="60">
        <v>2025.0</v>
      </c>
      <c r="J250" s="60">
        <v>25.0</v>
      </c>
      <c r="K250" s="58" t="s">
        <v>1486</v>
      </c>
      <c r="L250" s="57" t="s">
        <v>1487</v>
      </c>
      <c r="M250" s="61">
        <v>45000.0</v>
      </c>
      <c r="N250" s="62"/>
      <c r="O250" s="73"/>
      <c r="P250" s="57" t="s">
        <v>1488</v>
      </c>
      <c r="Q250" s="61">
        <v>118418.0</v>
      </c>
      <c r="R250" s="60">
        <v>2025.0</v>
      </c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>
      <c r="A251" s="19">
        <f t="shared" si="1"/>
        <v>250</v>
      </c>
      <c r="B251" s="57" t="s">
        <v>1483</v>
      </c>
      <c r="C251" s="58" t="s">
        <v>1489</v>
      </c>
      <c r="D251" s="57" t="s">
        <v>1485</v>
      </c>
      <c r="E251" s="57" t="s">
        <v>31</v>
      </c>
      <c r="F251" s="57" t="s">
        <v>32</v>
      </c>
      <c r="G251" s="57" t="s">
        <v>23</v>
      </c>
      <c r="H251" s="80">
        <v>45854.0</v>
      </c>
      <c r="I251" s="60">
        <v>2025.0</v>
      </c>
      <c r="J251" s="60">
        <v>25.0</v>
      </c>
      <c r="K251" s="58" t="s">
        <v>1490</v>
      </c>
      <c r="L251" s="57" t="s">
        <v>1487</v>
      </c>
      <c r="M251" s="61">
        <v>45000.0</v>
      </c>
      <c r="N251" s="62"/>
      <c r="O251" s="73"/>
      <c r="P251" s="57" t="s">
        <v>1488</v>
      </c>
      <c r="Q251" s="61">
        <v>118418.0</v>
      </c>
      <c r="R251" s="60">
        <v>2025.0</v>
      </c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>
      <c r="A252" s="19">
        <f t="shared" si="1"/>
        <v>251</v>
      </c>
      <c r="B252" s="57" t="s">
        <v>1491</v>
      </c>
      <c r="C252" s="58" t="s">
        <v>1492</v>
      </c>
      <c r="D252" s="57" t="s">
        <v>1493</v>
      </c>
      <c r="E252" s="57" t="s">
        <v>21</v>
      </c>
      <c r="F252" s="57" t="s">
        <v>22</v>
      </c>
      <c r="G252" s="57" t="s">
        <v>23</v>
      </c>
      <c r="H252" s="95"/>
      <c r="I252" s="60">
        <v>2025.0</v>
      </c>
      <c r="J252" s="57" t="s">
        <v>640</v>
      </c>
      <c r="K252" s="57" t="s">
        <v>640</v>
      </c>
      <c r="L252" s="57" t="s">
        <v>911</v>
      </c>
      <c r="M252" s="61">
        <v>40000.0</v>
      </c>
      <c r="N252" s="62"/>
      <c r="O252" s="73"/>
      <c r="P252" s="57" t="s">
        <v>1494</v>
      </c>
      <c r="Q252" s="61">
        <v>204673.0</v>
      </c>
      <c r="R252" s="60">
        <v>2023.0</v>
      </c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>
      <c r="A253" s="19">
        <f t="shared" si="1"/>
        <v>252</v>
      </c>
      <c r="B253" s="57" t="s">
        <v>1495</v>
      </c>
      <c r="C253" s="58" t="s">
        <v>1496</v>
      </c>
      <c r="D253" s="57" t="s">
        <v>1497</v>
      </c>
      <c r="E253" s="57" t="s">
        <v>115</v>
      </c>
      <c r="F253" s="57" t="s">
        <v>32</v>
      </c>
      <c r="G253" s="57" t="s">
        <v>23</v>
      </c>
      <c r="H253" s="80">
        <v>45897.0</v>
      </c>
      <c r="I253" s="60">
        <v>2025.0</v>
      </c>
      <c r="J253" s="60">
        <v>25.0</v>
      </c>
      <c r="K253" s="58" t="s">
        <v>1498</v>
      </c>
      <c r="L253" s="57" t="s">
        <v>1499</v>
      </c>
      <c r="M253" s="61">
        <v>65000.0</v>
      </c>
      <c r="N253" s="62"/>
      <c r="O253" s="73"/>
      <c r="P253" s="57" t="s">
        <v>1500</v>
      </c>
      <c r="Q253" s="61">
        <v>177777.0</v>
      </c>
      <c r="R253" s="60">
        <v>2025.0</v>
      </c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>
      <c r="A254" s="19">
        <f t="shared" si="1"/>
        <v>253</v>
      </c>
      <c r="B254" s="57" t="s">
        <v>1501</v>
      </c>
      <c r="C254" s="58" t="s">
        <v>1502</v>
      </c>
      <c r="D254" s="57" t="s">
        <v>1503</v>
      </c>
      <c r="E254" s="57" t="s">
        <v>76</v>
      </c>
      <c r="F254" s="57" t="s">
        <v>1504</v>
      </c>
      <c r="G254" s="57" t="s">
        <v>23</v>
      </c>
      <c r="H254" s="80">
        <v>45818.0</v>
      </c>
      <c r="I254" s="60">
        <v>2025.0</v>
      </c>
      <c r="J254" s="57" t="s">
        <v>640</v>
      </c>
      <c r="K254" s="58" t="s">
        <v>1505</v>
      </c>
      <c r="L254" s="57" t="s">
        <v>911</v>
      </c>
      <c r="M254" s="61">
        <v>65000.0</v>
      </c>
      <c r="N254" s="62"/>
      <c r="O254" s="73"/>
      <c r="P254" s="57" t="s">
        <v>1506</v>
      </c>
      <c r="Q254" s="61">
        <v>314969.0</v>
      </c>
      <c r="R254" s="60">
        <v>2025.0</v>
      </c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>
      <c r="A255" s="19">
        <f t="shared" si="1"/>
        <v>254</v>
      </c>
      <c r="B255" s="20" t="s">
        <v>1507</v>
      </c>
      <c r="C255" s="21" t="s">
        <v>1508</v>
      </c>
      <c r="D255" s="20" t="s">
        <v>1509</v>
      </c>
      <c r="E255" s="20" t="s">
        <v>91</v>
      </c>
      <c r="F255" s="20" t="s">
        <v>43</v>
      </c>
      <c r="G255" s="20" t="s">
        <v>68</v>
      </c>
      <c r="H255" s="22">
        <v>45853.0</v>
      </c>
      <c r="I255" s="20">
        <v>2025.0</v>
      </c>
      <c r="J255" s="27"/>
      <c r="K255" s="53" t="s">
        <v>1510</v>
      </c>
      <c r="L255" s="20" t="s">
        <v>1511</v>
      </c>
      <c r="M255" s="35"/>
      <c r="N255" s="20" t="s">
        <v>1512</v>
      </c>
      <c r="O255" s="27"/>
      <c r="P255" s="20" t="s">
        <v>1513</v>
      </c>
      <c r="Q255" s="26">
        <v>122737.0</v>
      </c>
      <c r="R255" s="20">
        <v>2025.0</v>
      </c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>
      <c r="A256" s="19">
        <f t="shared" si="1"/>
        <v>255</v>
      </c>
      <c r="B256" s="20" t="s">
        <v>1483</v>
      </c>
      <c r="C256" s="53" t="s">
        <v>1514</v>
      </c>
      <c r="D256" s="20" t="s">
        <v>1485</v>
      </c>
      <c r="E256" s="20" t="s">
        <v>31</v>
      </c>
      <c r="F256" s="20" t="s">
        <v>32</v>
      </c>
      <c r="G256" s="20" t="s">
        <v>23</v>
      </c>
      <c r="H256" s="22">
        <v>45854.0</v>
      </c>
      <c r="I256" s="20">
        <v>2025.0</v>
      </c>
      <c r="J256" s="20">
        <v>25.0</v>
      </c>
      <c r="K256" s="53" t="s">
        <v>1515</v>
      </c>
      <c r="L256" s="20" t="s">
        <v>1487</v>
      </c>
      <c r="M256" s="23">
        <v>45000.0</v>
      </c>
      <c r="N256" s="27"/>
      <c r="O256" s="27"/>
      <c r="P256" s="20" t="s">
        <v>1488</v>
      </c>
      <c r="Q256" s="26">
        <v>118418.0</v>
      </c>
      <c r="R256" s="20">
        <v>2025.0</v>
      </c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>
      <c r="A257" s="19">
        <f t="shared" si="1"/>
        <v>256</v>
      </c>
      <c r="B257" s="20" t="s">
        <v>1516</v>
      </c>
      <c r="C257" s="53" t="s">
        <v>1517</v>
      </c>
      <c r="D257" s="27"/>
      <c r="E257" s="27"/>
      <c r="F257" s="27"/>
      <c r="G257" s="20" t="s">
        <v>23</v>
      </c>
      <c r="H257" s="22">
        <v>45858.0</v>
      </c>
      <c r="I257" s="20">
        <v>2025.0</v>
      </c>
      <c r="J257" s="96">
        <v>10000.0</v>
      </c>
      <c r="K257" s="53" t="s">
        <v>1518</v>
      </c>
      <c r="L257" s="20" t="s">
        <v>1519</v>
      </c>
      <c r="M257" s="23">
        <v>5000.0</v>
      </c>
      <c r="N257" s="20" t="s">
        <v>1520</v>
      </c>
      <c r="O257" s="21" t="s">
        <v>1521</v>
      </c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>
      <c r="A258" s="19">
        <f t="shared" si="1"/>
        <v>257</v>
      </c>
      <c r="B258" s="20" t="s">
        <v>1522</v>
      </c>
      <c r="C258" s="21" t="s">
        <v>1523</v>
      </c>
      <c r="D258" s="20" t="s">
        <v>1493</v>
      </c>
      <c r="E258" s="20" t="s">
        <v>662</v>
      </c>
      <c r="F258" s="20" t="s">
        <v>22</v>
      </c>
      <c r="G258" s="20" t="s">
        <v>237</v>
      </c>
      <c r="H258" s="22">
        <v>45860.0</v>
      </c>
      <c r="I258" s="20">
        <v>2025.0</v>
      </c>
      <c r="J258" s="27"/>
      <c r="K258" s="27"/>
      <c r="L258" s="20" t="s">
        <v>1524</v>
      </c>
      <c r="M258" s="23">
        <v>24000.0</v>
      </c>
      <c r="N258" s="27"/>
      <c r="O258" s="21" t="s">
        <v>1525</v>
      </c>
      <c r="P258" s="20" t="s">
        <v>1526</v>
      </c>
      <c r="Q258" s="26">
        <v>137888.0</v>
      </c>
      <c r="R258" s="20">
        <v>2025.0</v>
      </c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>
      <c r="A259" s="19">
        <f t="shared" si="1"/>
        <v>258</v>
      </c>
      <c r="B259" s="20" t="s">
        <v>1527</v>
      </c>
      <c r="C259" s="21" t="s">
        <v>1523</v>
      </c>
      <c r="D259" s="20" t="s">
        <v>1528</v>
      </c>
      <c r="E259" s="20" t="s">
        <v>165</v>
      </c>
      <c r="F259" s="20" t="s">
        <v>22</v>
      </c>
      <c r="G259" s="20" t="s">
        <v>237</v>
      </c>
      <c r="H259" s="22">
        <v>45860.0</v>
      </c>
      <c r="I259" s="20">
        <v>2025.0</v>
      </c>
      <c r="J259" s="27"/>
      <c r="K259" s="27"/>
      <c r="L259" s="20" t="s">
        <v>1524</v>
      </c>
      <c r="M259" s="23">
        <v>24000.0</v>
      </c>
      <c r="N259" s="27"/>
      <c r="O259" s="21" t="s">
        <v>1525</v>
      </c>
      <c r="P259" s="20" t="s">
        <v>1529</v>
      </c>
      <c r="Q259" s="26">
        <v>106022.0</v>
      </c>
      <c r="R259" s="20">
        <v>2025.0</v>
      </c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>
      <c r="A260" s="19">
        <f t="shared" si="1"/>
        <v>259</v>
      </c>
      <c r="B260" s="20" t="s">
        <v>1530</v>
      </c>
      <c r="C260" s="21" t="s">
        <v>1531</v>
      </c>
      <c r="D260" s="20" t="s">
        <v>1532</v>
      </c>
      <c r="E260" s="20" t="s">
        <v>31</v>
      </c>
      <c r="F260" s="20" t="s">
        <v>32</v>
      </c>
      <c r="G260" s="20" t="s">
        <v>23</v>
      </c>
      <c r="H260" s="22">
        <v>45863.0</v>
      </c>
      <c r="I260" s="20">
        <v>2025.0</v>
      </c>
      <c r="J260" s="20">
        <v>72.0</v>
      </c>
      <c r="K260" s="53" t="s">
        <v>1533</v>
      </c>
      <c r="L260" s="20" t="s">
        <v>1534</v>
      </c>
      <c r="M260" s="35"/>
      <c r="N260" s="20" t="s">
        <v>1535</v>
      </c>
      <c r="O260" s="27"/>
      <c r="P260" s="20" t="s">
        <v>1536</v>
      </c>
      <c r="Q260" s="26">
        <v>74689.0</v>
      </c>
      <c r="R260" s="20">
        <v>2025.0</v>
      </c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>
      <c r="A261" s="19">
        <f t="shared" si="1"/>
        <v>260</v>
      </c>
      <c r="B261" s="20" t="s">
        <v>1537</v>
      </c>
      <c r="C261" s="53" t="s">
        <v>1154</v>
      </c>
      <c r="D261" s="20" t="s">
        <v>1538</v>
      </c>
      <c r="E261" s="20" t="s">
        <v>122</v>
      </c>
      <c r="F261" s="20" t="s">
        <v>32</v>
      </c>
      <c r="G261" s="20" t="s">
        <v>68</v>
      </c>
      <c r="H261" s="22">
        <v>45863.0</v>
      </c>
      <c r="I261" s="20">
        <v>2025.0</v>
      </c>
      <c r="J261" s="20">
        <v>60.0</v>
      </c>
      <c r="K261" s="53" t="s">
        <v>1539</v>
      </c>
      <c r="L261" s="20" t="s">
        <v>1540</v>
      </c>
      <c r="M261" s="23">
        <v>12500.0</v>
      </c>
      <c r="N261" s="20" t="s">
        <v>1158</v>
      </c>
      <c r="O261" s="27"/>
      <c r="P261" s="20" t="s">
        <v>1541</v>
      </c>
      <c r="Q261" s="26">
        <v>82313.0</v>
      </c>
      <c r="R261" s="20">
        <v>2025.0</v>
      </c>
      <c r="S261" s="20" t="s">
        <v>1442</v>
      </c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>
      <c r="A262" s="19">
        <f t="shared" si="1"/>
        <v>261</v>
      </c>
      <c r="B262" s="20" t="s">
        <v>1542</v>
      </c>
      <c r="C262" s="53" t="s">
        <v>1543</v>
      </c>
      <c r="D262" s="20" t="s">
        <v>1544</v>
      </c>
      <c r="E262" s="20" t="s">
        <v>197</v>
      </c>
      <c r="F262" s="20" t="s">
        <v>67</v>
      </c>
      <c r="G262" s="20" t="s">
        <v>68</v>
      </c>
      <c r="H262" s="22">
        <v>45869.0</v>
      </c>
      <c r="I262" s="20">
        <v>2025.0</v>
      </c>
      <c r="J262" s="20">
        <v>30.0</v>
      </c>
      <c r="K262" s="21" t="s">
        <v>1545</v>
      </c>
      <c r="L262" s="20" t="s">
        <v>1546</v>
      </c>
      <c r="M262" s="23">
        <v>9000.0</v>
      </c>
      <c r="N262" s="27"/>
      <c r="O262" s="53" t="s">
        <v>1545</v>
      </c>
      <c r="P262" s="20" t="s">
        <v>1547</v>
      </c>
      <c r="Q262" s="26">
        <v>107249.0</v>
      </c>
      <c r="R262" s="20">
        <v>2025.0</v>
      </c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>
      <c r="A263" s="19">
        <f t="shared" si="1"/>
        <v>262</v>
      </c>
      <c r="B263" s="20" t="s">
        <v>1548</v>
      </c>
      <c r="C263" s="21" t="s">
        <v>1549</v>
      </c>
      <c r="D263" s="20" t="s">
        <v>1550</v>
      </c>
      <c r="E263" s="20" t="s">
        <v>436</v>
      </c>
      <c r="F263" s="20" t="s">
        <v>32</v>
      </c>
      <c r="G263" s="20" t="s">
        <v>23</v>
      </c>
      <c r="H263" s="22">
        <v>45873.0</v>
      </c>
      <c r="I263" s="20">
        <v>2025.0</v>
      </c>
      <c r="J263" s="27"/>
      <c r="K263" s="21" t="s">
        <v>1551</v>
      </c>
      <c r="L263" s="20" t="s">
        <v>1552</v>
      </c>
      <c r="M263" s="23">
        <v>14850.0</v>
      </c>
      <c r="N263" s="27"/>
      <c r="O263" s="21" t="s">
        <v>1553</v>
      </c>
      <c r="P263" s="20" t="s">
        <v>1554</v>
      </c>
      <c r="Q263" s="26">
        <v>122125.0</v>
      </c>
      <c r="R263" s="20">
        <v>2025.0</v>
      </c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>
      <c r="A264" s="19">
        <f t="shared" si="1"/>
        <v>263</v>
      </c>
      <c r="B264" s="20" t="s">
        <v>1555</v>
      </c>
      <c r="C264" s="21" t="s">
        <v>1556</v>
      </c>
      <c r="D264" s="20" t="s">
        <v>1557</v>
      </c>
      <c r="E264" s="20" t="s">
        <v>21</v>
      </c>
      <c r="F264" s="20" t="s">
        <v>22</v>
      </c>
      <c r="G264" s="20" t="s">
        <v>23</v>
      </c>
      <c r="H264" s="22">
        <v>45882.0</v>
      </c>
      <c r="I264" s="20">
        <v>2025.0</v>
      </c>
      <c r="J264" s="27"/>
      <c r="K264" s="53" t="s">
        <v>1558</v>
      </c>
      <c r="L264" s="20" t="s">
        <v>1559</v>
      </c>
      <c r="M264" s="23">
        <v>21600.0</v>
      </c>
      <c r="N264" s="20" t="s">
        <v>1560</v>
      </c>
      <c r="O264" s="21" t="s">
        <v>1561</v>
      </c>
      <c r="P264" s="20" t="s">
        <v>1562</v>
      </c>
      <c r="Q264" s="26">
        <v>152490.0</v>
      </c>
      <c r="R264" s="20">
        <v>2025.0</v>
      </c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>
      <c r="A265" s="19">
        <f t="shared" si="1"/>
        <v>264</v>
      </c>
      <c r="B265" s="20" t="s">
        <v>1563</v>
      </c>
      <c r="C265" s="53" t="s">
        <v>1564</v>
      </c>
      <c r="D265" s="20" t="s">
        <v>1565</v>
      </c>
      <c r="E265" s="20" t="s">
        <v>107</v>
      </c>
      <c r="F265" s="20" t="s">
        <v>67</v>
      </c>
      <c r="G265" s="20" t="s">
        <v>68</v>
      </c>
      <c r="H265" s="22">
        <v>45888.0</v>
      </c>
      <c r="I265" s="20">
        <v>2025.0</v>
      </c>
      <c r="J265" s="27"/>
      <c r="K265" s="53" t="s">
        <v>1566</v>
      </c>
      <c r="L265" s="27"/>
      <c r="M265" s="35"/>
      <c r="N265" s="27"/>
      <c r="O265" s="27"/>
      <c r="P265" s="20" t="s">
        <v>1567</v>
      </c>
      <c r="Q265" s="26">
        <v>95008.0</v>
      </c>
      <c r="R265" s="20">
        <v>2025.0</v>
      </c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>
      <c r="A266" s="19">
        <f t="shared" si="1"/>
        <v>265</v>
      </c>
      <c r="B266" s="20" t="s">
        <v>1568</v>
      </c>
      <c r="C266" s="21" t="s">
        <v>1569</v>
      </c>
      <c r="D266" s="20" t="s">
        <v>1570</v>
      </c>
      <c r="E266" s="20" t="s">
        <v>468</v>
      </c>
      <c r="F266" s="20" t="s">
        <v>32</v>
      </c>
      <c r="G266" s="20" t="s">
        <v>68</v>
      </c>
      <c r="H266" s="22">
        <v>45889.0</v>
      </c>
      <c r="I266" s="20">
        <v>2025.0</v>
      </c>
      <c r="J266" s="20">
        <v>74.0</v>
      </c>
      <c r="K266" s="53" t="s">
        <v>1571</v>
      </c>
      <c r="L266" s="20" t="s">
        <v>1572</v>
      </c>
      <c r="M266" s="23">
        <v>3200.0</v>
      </c>
      <c r="N266" s="27"/>
      <c r="O266" s="21" t="s">
        <v>1573</v>
      </c>
      <c r="P266" s="20" t="s">
        <v>1574</v>
      </c>
      <c r="Q266" s="26">
        <v>107336.0</v>
      </c>
      <c r="R266" s="20">
        <v>2025.0</v>
      </c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>
      <c r="A267" s="19">
        <f t="shared" si="1"/>
        <v>266</v>
      </c>
      <c r="B267" s="20" t="s">
        <v>1575</v>
      </c>
      <c r="C267" s="53" t="s">
        <v>1576</v>
      </c>
      <c r="D267" s="20" t="s">
        <v>253</v>
      </c>
      <c r="E267" s="20" t="s">
        <v>122</v>
      </c>
      <c r="F267" s="20" t="s">
        <v>22</v>
      </c>
      <c r="G267" s="20" t="s">
        <v>23</v>
      </c>
      <c r="H267" s="22">
        <v>45889.0</v>
      </c>
      <c r="I267" s="20">
        <v>2025.0</v>
      </c>
      <c r="J267" s="27"/>
      <c r="K267" s="53" t="s">
        <v>1577</v>
      </c>
      <c r="L267" s="20" t="s">
        <v>1578</v>
      </c>
      <c r="M267" s="23">
        <v>19200.0</v>
      </c>
      <c r="N267" s="27"/>
      <c r="O267" s="21" t="s">
        <v>1579</v>
      </c>
      <c r="P267" s="20" t="s">
        <v>1580</v>
      </c>
      <c r="Q267" s="26">
        <v>100056.0</v>
      </c>
      <c r="R267" s="20">
        <v>2025.0</v>
      </c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>
      <c r="A268" s="19">
        <f t="shared" si="1"/>
        <v>267</v>
      </c>
      <c r="B268" s="20" t="s">
        <v>1581</v>
      </c>
      <c r="C268" s="21" t="s">
        <v>1582</v>
      </c>
      <c r="D268" s="20" t="s">
        <v>1583</v>
      </c>
      <c r="E268" s="20" t="s">
        <v>436</v>
      </c>
      <c r="F268" s="20" t="s">
        <v>32</v>
      </c>
      <c r="G268" s="20" t="s">
        <v>23</v>
      </c>
      <c r="H268" s="22">
        <v>45891.0</v>
      </c>
      <c r="I268" s="20">
        <v>2028.0</v>
      </c>
      <c r="J268" s="20">
        <v>1700.0</v>
      </c>
      <c r="K268" s="53" t="s">
        <v>1584</v>
      </c>
      <c r="L268" s="20" t="s">
        <v>1585</v>
      </c>
      <c r="M268" s="35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>
      <c r="A269" s="19">
        <f t="shared" si="1"/>
        <v>268</v>
      </c>
      <c r="B269" s="20" t="s">
        <v>1586</v>
      </c>
      <c r="C269" s="53" t="s">
        <v>1587</v>
      </c>
      <c r="D269" s="20" t="s">
        <v>1588</v>
      </c>
      <c r="E269" s="20" t="s">
        <v>83</v>
      </c>
      <c r="F269" s="20" t="s">
        <v>43</v>
      </c>
      <c r="G269" s="20" t="s">
        <v>33</v>
      </c>
      <c r="H269" s="22">
        <v>45895.0</v>
      </c>
      <c r="I269" s="20">
        <v>2025.0</v>
      </c>
      <c r="J269" s="27"/>
      <c r="K269" s="27"/>
      <c r="L269" s="27"/>
      <c r="M269" s="23">
        <v>10500.0</v>
      </c>
      <c r="N269" s="27"/>
      <c r="O269" s="53" t="s">
        <v>1589</v>
      </c>
      <c r="P269" s="20" t="s">
        <v>1590</v>
      </c>
      <c r="Q269" s="26">
        <v>75786.0</v>
      </c>
      <c r="R269" s="20">
        <v>2025.0</v>
      </c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>
      <c r="A270" s="19">
        <f t="shared" si="1"/>
        <v>269</v>
      </c>
      <c r="B270" s="20" t="s">
        <v>1591</v>
      </c>
      <c r="C270" s="53" t="s">
        <v>1592</v>
      </c>
      <c r="D270" s="20" t="s">
        <v>1593</v>
      </c>
      <c r="E270" s="20" t="s">
        <v>1262</v>
      </c>
      <c r="F270" s="20" t="s">
        <v>22</v>
      </c>
      <c r="G270" s="20" t="s">
        <v>23</v>
      </c>
      <c r="H270" s="22">
        <v>45898.0</v>
      </c>
      <c r="I270" s="20">
        <v>2025.0</v>
      </c>
      <c r="J270" s="20">
        <v>35.0</v>
      </c>
      <c r="K270" s="53" t="s">
        <v>1594</v>
      </c>
      <c r="L270" s="20" t="s">
        <v>1595</v>
      </c>
      <c r="M270" s="23">
        <v>9000.0</v>
      </c>
      <c r="N270" s="27"/>
      <c r="O270" s="27"/>
      <c r="P270" s="20" t="s">
        <v>1596</v>
      </c>
      <c r="Q270" s="26">
        <v>115565.0</v>
      </c>
      <c r="R270" s="20">
        <v>2025.0</v>
      </c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>
      <c r="A271" s="19">
        <f t="shared" si="1"/>
        <v>270</v>
      </c>
      <c r="B271" s="20" t="s">
        <v>1597</v>
      </c>
      <c r="C271" s="21" t="s">
        <v>1598</v>
      </c>
      <c r="D271" s="20" t="s">
        <v>1599</v>
      </c>
      <c r="E271" s="20" t="s">
        <v>100</v>
      </c>
      <c r="F271" s="20" t="s">
        <v>43</v>
      </c>
      <c r="G271" s="20" t="s">
        <v>23</v>
      </c>
      <c r="H271" s="22">
        <v>45905.0</v>
      </c>
      <c r="I271" s="20">
        <v>2025.0</v>
      </c>
      <c r="J271" s="27"/>
      <c r="K271" s="53" t="s">
        <v>1600</v>
      </c>
      <c r="L271" s="20" t="s">
        <v>1601</v>
      </c>
      <c r="M271" s="23">
        <v>32500.0</v>
      </c>
      <c r="N271" s="27"/>
      <c r="O271" s="27"/>
      <c r="P271" s="20" t="s">
        <v>1602</v>
      </c>
      <c r="Q271" s="26">
        <v>87215.0</v>
      </c>
      <c r="R271" s="20">
        <v>2025.0</v>
      </c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>
      <c r="A272" s="19">
        <f t="shared" si="1"/>
        <v>271</v>
      </c>
      <c r="B272" s="20" t="s">
        <v>829</v>
      </c>
      <c r="C272" s="53" t="s">
        <v>830</v>
      </c>
      <c r="D272" s="20" t="s">
        <v>1603</v>
      </c>
      <c r="E272" s="20" t="s">
        <v>327</v>
      </c>
      <c r="F272" s="20" t="s">
        <v>67</v>
      </c>
      <c r="G272" s="20" t="s">
        <v>23</v>
      </c>
      <c r="H272" s="56">
        <v>45926.0</v>
      </c>
      <c r="I272" s="20">
        <v>2026.0</v>
      </c>
      <c r="J272" s="27"/>
      <c r="K272" s="53" t="s">
        <v>1604</v>
      </c>
      <c r="L272" s="20" t="s">
        <v>1605</v>
      </c>
      <c r="M272" s="35"/>
      <c r="N272" s="27"/>
      <c r="O272" s="27"/>
      <c r="P272" s="20" t="s">
        <v>1606</v>
      </c>
      <c r="Q272" s="26">
        <v>94803.0</v>
      </c>
      <c r="R272" s="20">
        <v>2025.0</v>
      </c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>
      <c r="A273" s="19">
        <f t="shared" si="1"/>
        <v>272</v>
      </c>
      <c r="B273" s="20" t="s">
        <v>1607</v>
      </c>
      <c r="C273" s="53" t="s">
        <v>1608</v>
      </c>
      <c r="D273" s="20" t="s">
        <v>1609</v>
      </c>
      <c r="E273" s="20" t="s">
        <v>42</v>
      </c>
      <c r="F273" s="20" t="s">
        <v>43</v>
      </c>
      <c r="G273" s="20" t="s">
        <v>33</v>
      </c>
      <c r="H273" s="22">
        <v>45970.0</v>
      </c>
      <c r="I273" s="20">
        <v>2026.0</v>
      </c>
      <c r="J273" s="27"/>
      <c r="K273" s="27"/>
      <c r="L273" s="20" t="s">
        <v>1610</v>
      </c>
      <c r="M273" s="35"/>
      <c r="N273" s="20" t="s">
        <v>1611</v>
      </c>
      <c r="O273" s="21" t="s">
        <v>1612</v>
      </c>
      <c r="P273" s="20" t="s">
        <v>1613</v>
      </c>
      <c r="Q273" s="26">
        <v>49070.0</v>
      </c>
      <c r="R273" s="20">
        <v>2025.0</v>
      </c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>
      <c r="A274" s="19">
        <f t="shared" si="1"/>
        <v>273</v>
      </c>
      <c r="B274" s="20" t="s">
        <v>1614</v>
      </c>
      <c r="C274" s="21" t="s">
        <v>1615</v>
      </c>
      <c r="D274" s="20" t="s">
        <v>1155</v>
      </c>
      <c r="E274" s="20" t="s">
        <v>122</v>
      </c>
      <c r="F274" s="20" t="s">
        <v>32</v>
      </c>
      <c r="G274" s="20" t="s">
        <v>23</v>
      </c>
      <c r="H274" s="22">
        <v>45947.0</v>
      </c>
      <c r="I274" s="20">
        <v>2025.0</v>
      </c>
      <c r="J274" s="27"/>
      <c r="K274" s="21" t="s">
        <v>1616</v>
      </c>
      <c r="L274" s="20" t="s">
        <v>1617</v>
      </c>
      <c r="M274" s="23">
        <v>26200.0</v>
      </c>
      <c r="N274" s="20" t="s">
        <v>1618</v>
      </c>
      <c r="O274" s="21" t="s">
        <v>1619</v>
      </c>
      <c r="P274" s="20" t="s">
        <v>1620</v>
      </c>
      <c r="Q274" s="26">
        <v>217287.0</v>
      </c>
      <c r="R274" s="20">
        <v>2025.0</v>
      </c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>
      <c r="A275" s="19">
        <f t="shared" si="1"/>
        <v>274</v>
      </c>
      <c r="B275" s="31" t="s">
        <v>1621</v>
      </c>
      <c r="C275" s="32"/>
      <c r="D275" s="31" t="s">
        <v>184</v>
      </c>
      <c r="E275" s="31" t="s">
        <v>91</v>
      </c>
      <c r="F275" s="31" t="s">
        <v>43</v>
      </c>
      <c r="G275" s="31" t="s">
        <v>33</v>
      </c>
      <c r="H275" s="22">
        <v>45971.0</v>
      </c>
      <c r="I275" s="20">
        <v>2026.0</v>
      </c>
      <c r="J275" s="27"/>
      <c r="K275" s="53" t="s">
        <v>1622</v>
      </c>
      <c r="L275" s="20" t="s">
        <v>1623</v>
      </c>
      <c r="M275" s="35"/>
      <c r="N275" s="27"/>
      <c r="O275" s="27"/>
      <c r="P275" s="20" t="s">
        <v>1624</v>
      </c>
      <c r="Q275" s="26">
        <v>104792.0</v>
      </c>
      <c r="R275" s="36">
        <v>2025.0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>
      <c r="A276" s="19">
        <f t="shared" si="1"/>
        <v>275</v>
      </c>
      <c r="B276" s="20" t="s">
        <v>1625</v>
      </c>
      <c r="C276" s="21" t="s">
        <v>1626</v>
      </c>
      <c r="D276" s="20" t="s">
        <v>1627</v>
      </c>
      <c r="E276" s="20" t="s">
        <v>1628</v>
      </c>
      <c r="F276" s="20" t="s">
        <v>43</v>
      </c>
      <c r="G276" s="20" t="s">
        <v>33</v>
      </c>
      <c r="H276" s="22">
        <v>45986.0</v>
      </c>
      <c r="I276" s="20">
        <v>2026.0</v>
      </c>
      <c r="J276" s="20">
        <v>200.0</v>
      </c>
      <c r="K276" s="21" t="s">
        <v>1629</v>
      </c>
      <c r="L276" s="20" t="s">
        <v>1630</v>
      </c>
      <c r="M276" s="23">
        <v>14500.0</v>
      </c>
      <c r="N276" s="27"/>
      <c r="O276" s="53" t="s">
        <v>1631</v>
      </c>
      <c r="P276" s="20" t="s">
        <v>1632</v>
      </c>
      <c r="Q276" s="26">
        <v>56185.0</v>
      </c>
      <c r="R276" s="36">
        <v>2025.0</v>
      </c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>
      <c r="A277" s="19">
        <f t="shared" si="1"/>
        <v>276</v>
      </c>
      <c r="B277" s="57" t="s">
        <v>1633</v>
      </c>
      <c r="C277" s="77" t="s">
        <v>1634</v>
      </c>
      <c r="D277" s="57" t="s">
        <v>962</v>
      </c>
      <c r="E277" s="57" t="s">
        <v>662</v>
      </c>
      <c r="F277" s="57" t="s">
        <v>22</v>
      </c>
      <c r="G277" s="57" t="s">
        <v>1635</v>
      </c>
      <c r="H277" s="80">
        <v>45986.0</v>
      </c>
      <c r="I277" s="60">
        <v>2026.0</v>
      </c>
      <c r="J277" s="60"/>
      <c r="K277" s="77" t="s">
        <v>1636</v>
      </c>
      <c r="L277" s="57" t="s">
        <v>1637</v>
      </c>
      <c r="N277" s="57" t="s">
        <v>1638</v>
      </c>
      <c r="O277" s="77" t="s">
        <v>1634</v>
      </c>
      <c r="P277" s="57" t="s">
        <v>1639</v>
      </c>
      <c r="Q277" s="97">
        <v>141011.0</v>
      </c>
      <c r="R277" s="36">
        <v>2025.0</v>
      </c>
      <c r="S277" s="57" t="s">
        <v>1436</v>
      </c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>
      <c r="A278" s="19">
        <f t="shared" si="1"/>
        <v>277</v>
      </c>
      <c r="B278" s="57" t="s">
        <v>1640</v>
      </c>
      <c r="C278" s="77" t="s">
        <v>1641</v>
      </c>
      <c r="D278" s="57" t="s">
        <v>962</v>
      </c>
      <c r="E278" s="57" t="s">
        <v>662</v>
      </c>
      <c r="F278" s="57" t="s">
        <v>22</v>
      </c>
      <c r="G278" s="57" t="s">
        <v>1635</v>
      </c>
      <c r="H278" s="80">
        <v>46032.0</v>
      </c>
      <c r="I278" s="60">
        <v>2026.0</v>
      </c>
      <c r="J278" s="73"/>
      <c r="K278" s="77" t="s">
        <v>1641</v>
      </c>
      <c r="L278" s="57" t="s">
        <v>1642</v>
      </c>
      <c r="M278" s="61">
        <v>25000.0</v>
      </c>
      <c r="N278" s="57" t="s">
        <v>1643</v>
      </c>
      <c r="O278" s="77" t="s">
        <v>1644</v>
      </c>
      <c r="P278" s="57" t="s">
        <v>1645</v>
      </c>
      <c r="R278" s="60">
        <v>2024.0</v>
      </c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>
      <c r="A279" s="19">
        <f t="shared" si="1"/>
        <v>278</v>
      </c>
      <c r="B279" s="57" t="s">
        <v>1646</v>
      </c>
      <c r="C279" s="77" t="s">
        <v>1647</v>
      </c>
      <c r="D279" s="57" t="s">
        <v>1648</v>
      </c>
      <c r="E279" s="57" t="s">
        <v>21</v>
      </c>
      <c r="F279" s="57" t="s">
        <v>22</v>
      </c>
      <c r="G279" s="57" t="s">
        <v>1649</v>
      </c>
      <c r="H279" s="80">
        <v>46049.0</v>
      </c>
      <c r="I279" s="60">
        <v>2026.0</v>
      </c>
      <c r="J279" s="57">
        <v>150.0</v>
      </c>
      <c r="K279" s="77" t="s">
        <v>1650</v>
      </c>
      <c r="L279" s="57" t="s">
        <v>1651</v>
      </c>
      <c r="M279" s="61">
        <v>15980.0</v>
      </c>
      <c r="N279" s="57" t="s">
        <v>1652</v>
      </c>
      <c r="O279" s="77" t="s">
        <v>1653</v>
      </c>
      <c r="P279" s="57" t="s">
        <v>1654</v>
      </c>
      <c r="Q279" s="73"/>
      <c r="R279" s="60">
        <v>2024.0</v>
      </c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>
      <c r="A280" s="19">
        <f t="shared" si="1"/>
        <v>279</v>
      </c>
      <c r="B280" s="20" t="s">
        <v>1655</v>
      </c>
      <c r="C280" s="53" t="s">
        <v>1656</v>
      </c>
      <c r="D280" s="20" t="s">
        <v>1275</v>
      </c>
      <c r="E280" s="20" t="s">
        <v>702</v>
      </c>
      <c r="F280" s="20" t="s">
        <v>67</v>
      </c>
      <c r="G280" s="20" t="s">
        <v>33</v>
      </c>
      <c r="H280" s="22">
        <v>46039.0</v>
      </c>
      <c r="I280" s="20">
        <v>2026.0</v>
      </c>
      <c r="J280" s="27"/>
      <c r="K280" s="27"/>
      <c r="L280" s="27"/>
      <c r="M280" s="23">
        <v>8408.0</v>
      </c>
      <c r="N280" s="98"/>
      <c r="O280" s="53" t="s">
        <v>1657</v>
      </c>
      <c r="P280" s="20" t="s">
        <v>1658</v>
      </c>
      <c r="Q280" s="26">
        <v>63110.0</v>
      </c>
      <c r="R280" s="36">
        <v>2025.0</v>
      </c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>
      <c r="A281" s="19">
        <f t="shared" si="1"/>
        <v>280</v>
      </c>
      <c r="B281" s="20" t="s">
        <v>1659</v>
      </c>
      <c r="C281" s="21" t="s">
        <v>1660</v>
      </c>
      <c r="D281" s="20" t="s">
        <v>701</v>
      </c>
      <c r="E281" s="20" t="s">
        <v>702</v>
      </c>
      <c r="F281" s="20" t="s">
        <v>67</v>
      </c>
      <c r="G281" s="20" t="s">
        <v>33</v>
      </c>
      <c r="H281" s="22">
        <v>46049.0</v>
      </c>
      <c r="I281" s="20">
        <v>2026.0</v>
      </c>
      <c r="J281" s="27"/>
      <c r="K281" s="53" t="s">
        <v>1661</v>
      </c>
      <c r="L281" s="20" t="s">
        <v>1662</v>
      </c>
      <c r="M281" s="23">
        <v>8100.0</v>
      </c>
      <c r="N281" s="27"/>
      <c r="O281" s="21" t="s">
        <v>1663</v>
      </c>
      <c r="P281" s="20" t="s">
        <v>1664</v>
      </c>
      <c r="Q281" s="26">
        <v>126248.0</v>
      </c>
      <c r="R281" s="36">
        <v>2025.0</v>
      </c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>
      <c r="A282" s="19">
        <f t="shared" si="1"/>
        <v>281</v>
      </c>
      <c r="B282" s="20" t="s">
        <v>1665</v>
      </c>
      <c r="C282" s="21" t="s">
        <v>1666</v>
      </c>
      <c r="D282" s="20" t="s">
        <v>1667</v>
      </c>
      <c r="E282" s="20" t="s">
        <v>31</v>
      </c>
      <c r="F282" s="20" t="s">
        <v>32</v>
      </c>
      <c r="G282" s="20" t="s">
        <v>237</v>
      </c>
      <c r="H282" s="22">
        <v>46050.0</v>
      </c>
      <c r="I282" s="20">
        <v>2026.0</v>
      </c>
      <c r="J282" s="20">
        <v>200.0</v>
      </c>
      <c r="K282" s="53" t="s">
        <v>1668</v>
      </c>
      <c r="L282" s="20" t="s">
        <v>1669</v>
      </c>
      <c r="M282" s="23">
        <v>20500.0</v>
      </c>
      <c r="N282" s="27"/>
      <c r="O282" s="21" t="s">
        <v>1670</v>
      </c>
      <c r="P282" s="20" t="s">
        <v>1671</v>
      </c>
      <c r="Q282" s="26">
        <v>110268.0</v>
      </c>
      <c r="R282" s="36">
        <v>2025.0</v>
      </c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>
      <c r="A283" s="19">
        <f t="shared" si="1"/>
        <v>282</v>
      </c>
      <c r="B283" s="20" t="s">
        <v>1672</v>
      </c>
      <c r="C283" s="53" t="s">
        <v>1673</v>
      </c>
      <c r="D283" s="20" t="s">
        <v>1674</v>
      </c>
      <c r="E283" s="20" t="s">
        <v>436</v>
      </c>
      <c r="F283" s="20" t="s">
        <v>32</v>
      </c>
      <c r="G283" s="20" t="s">
        <v>68</v>
      </c>
      <c r="H283" s="22">
        <v>46052.0</v>
      </c>
      <c r="I283" s="20">
        <v>2027.0</v>
      </c>
      <c r="J283" s="20">
        <v>850.0</v>
      </c>
      <c r="K283" s="53" t="s">
        <v>1675</v>
      </c>
      <c r="L283" s="27"/>
      <c r="M283" s="35"/>
      <c r="N283" s="27"/>
      <c r="O283" s="27"/>
      <c r="P283" s="20" t="s">
        <v>1676</v>
      </c>
      <c r="Q283" s="26">
        <v>172079.0</v>
      </c>
      <c r="R283" s="36">
        <v>2025.0</v>
      </c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>
      <c r="A284" s="19">
        <f t="shared" si="1"/>
        <v>283</v>
      </c>
      <c r="B284" s="57" t="s">
        <v>1677</v>
      </c>
      <c r="C284" s="58" t="s">
        <v>1678</v>
      </c>
      <c r="D284" s="57" t="s">
        <v>1679</v>
      </c>
      <c r="E284" s="57" t="s">
        <v>21</v>
      </c>
      <c r="F284" s="57" t="s">
        <v>22</v>
      </c>
      <c r="G284" s="57" t="s">
        <v>23</v>
      </c>
      <c r="H284" s="93"/>
      <c r="I284" s="60">
        <v>2026.0</v>
      </c>
      <c r="J284" s="57" t="s">
        <v>640</v>
      </c>
      <c r="K284" s="57" t="s">
        <v>640</v>
      </c>
      <c r="L284" s="57" t="s">
        <v>911</v>
      </c>
      <c r="M284" s="61">
        <v>75000.0</v>
      </c>
      <c r="N284" s="62"/>
      <c r="O284" s="73"/>
      <c r="P284" s="57" t="s">
        <v>1680</v>
      </c>
      <c r="Q284" s="61">
        <v>265605.0</v>
      </c>
      <c r="R284" s="60">
        <v>2025.0</v>
      </c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>
      <c r="A285" s="19">
        <f t="shared" si="1"/>
        <v>284</v>
      </c>
      <c r="B285" s="57" t="s">
        <v>1681</v>
      </c>
      <c r="C285" s="58" t="s">
        <v>1682</v>
      </c>
      <c r="D285" s="57" t="s">
        <v>1683</v>
      </c>
      <c r="E285" s="57" t="s">
        <v>21</v>
      </c>
      <c r="F285" s="57" t="s">
        <v>22</v>
      </c>
      <c r="G285" s="57" t="s">
        <v>23</v>
      </c>
      <c r="H285" s="93"/>
      <c r="I285" s="60">
        <v>2026.0</v>
      </c>
      <c r="J285" s="57" t="s">
        <v>640</v>
      </c>
      <c r="K285" s="57" t="s">
        <v>640</v>
      </c>
      <c r="L285" s="57" t="s">
        <v>911</v>
      </c>
      <c r="M285" s="61">
        <v>65000.0</v>
      </c>
      <c r="N285" s="62"/>
      <c r="O285" s="73"/>
      <c r="P285" s="57" t="s">
        <v>1684</v>
      </c>
      <c r="Q285" s="61">
        <v>323963.0</v>
      </c>
      <c r="R285" s="60">
        <v>2025.0</v>
      </c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>
      <c r="A286" s="19">
        <f t="shared" si="1"/>
        <v>285</v>
      </c>
      <c r="B286" s="57" t="s">
        <v>1685</v>
      </c>
      <c r="C286" s="58" t="s">
        <v>1686</v>
      </c>
      <c r="D286" s="57" t="s">
        <v>1687</v>
      </c>
      <c r="E286" s="57" t="s">
        <v>21</v>
      </c>
      <c r="F286" s="57" t="s">
        <v>22</v>
      </c>
      <c r="G286" s="57" t="s">
        <v>23</v>
      </c>
      <c r="H286" s="93"/>
      <c r="I286" s="60">
        <v>2026.0</v>
      </c>
      <c r="J286" s="57" t="s">
        <v>640</v>
      </c>
      <c r="K286" s="57" t="s">
        <v>640</v>
      </c>
      <c r="L286" s="57" t="s">
        <v>911</v>
      </c>
      <c r="M286" s="61">
        <v>65000.0</v>
      </c>
      <c r="N286" s="62"/>
      <c r="O286" s="73"/>
      <c r="P286" s="57" t="s">
        <v>1688</v>
      </c>
      <c r="Q286" s="61">
        <v>172820.0</v>
      </c>
      <c r="R286" s="60">
        <v>2025.0</v>
      </c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>
      <c r="A287" s="19">
        <f t="shared" si="1"/>
        <v>286</v>
      </c>
      <c r="B287" s="57" t="s">
        <v>1689</v>
      </c>
      <c r="C287" s="58" t="s">
        <v>1690</v>
      </c>
      <c r="D287" s="57" t="s">
        <v>1691</v>
      </c>
      <c r="E287" s="57" t="s">
        <v>122</v>
      </c>
      <c r="F287" s="57" t="s">
        <v>32</v>
      </c>
      <c r="G287" s="57" t="s">
        <v>23</v>
      </c>
      <c r="H287" s="80">
        <v>46085.0</v>
      </c>
      <c r="I287" s="60">
        <v>2026.0</v>
      </c>
      <c r="J287" s="57" t="s">
        <v>640</v>
      </c>
      <c r="K287" s="77" t="s">
        <v>1692</v>
      </c>
      <c r="L287" s="57" t="s">
        <v>911</v>
      </c>
      <c r="M287" s="61">
        <v>40000.0</v>
      </c>
      <c r="N287" s="62"/>
      <c r="O287" s="73"/>
      <c r="P287" s="57" t="s">
        <v>1691</v>
      </c>
      <c r="Q287" s="61" t="s">
        <v>640</v>
      </c>
      <c r="R287" s="60" t="s">
        <v>640</v>
      </c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>
      <c r="A288" s="19">
        <f t="shared" si="1"/>
        <v>287</v>
      </c>
      <c r="B288" s="57" t="s">
        <v>1417</v>
      </c>
      <c r="C288" s="58" t="s">
        <v>1693</v>
      </c>
      <c r="D288" s="57" t="s">
        <v>1419</v>
      </c>
      <c r="E288" s="57" t="s">
        <v>436</v>
      </c>
      <c r="F288" s="57" t="s">
        <v>32</v>
      </c>
      <c r="G288" s="57" t="s">
        <v>23</v>
      </c>
      <c r="H288" s="95"/>
      <c r="I288" s="60">
        <v>2026.0</v>
      </c>
      <c r="J288" s="57" t="s">
        <v>640</v>
      </c>
      <c r="K288" s="57" t="s">
        <v>640</v>
      </c>
      <c r="L288" s="57" t="s">
        <v>1694</v>
      </c>
      <c r="M288" s="61">
        <v>40000.0</v>
      </c>
      <c r="N288" s="62"/>
      <c r="O288" s="73"/>
      <c r="P288" s="57" t="s">
        <v>1695</v>
      </c>
      <c r="Q288" s="61">
        <v>154900.0</v>
      </c>
      <c r="R288" s="60">
        <v>2025.0</v>
      </c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>
      <c r="A289" s="19">
        <f t="shared" si="1"/>
        <v>288</v>
      </c>
      <c r="B289" s="57" t="s">
        <v>1696</v>
      </c>
      <c r="C289" s="58" t="s">
        <v>1697</v>
      </c>
      <c r="D289" s="57" t="s">
        <v>1698</v>
      </c>
      <c r="E289" s="57" t="s">
        <v>1162</v>
      </c>
      <c r="F289" s="57" t="s">
        <v>67</v>
      </c>
      <c r="G289" s="57" t="s">
        <v>23</v>
      </c>
      <c r="H289" s="80">
        <v>46073.0</v>
      </c>
      <c r="I289" s="60">
        <v>2026.0</v>
      </c>
      <c r="J289" s="57" t="s">
        <v>640</v>
      </c>
      <c r="K289" s="58" t="s">
        <v>1699</v>
      </c>
      <c r="L289" s="57" t="s">
        <v>911</v>
      </c>
      <c r="M289" s="61">
        <v>55000.0</v>
      </c>
      <c r="N289" s="62"/>
      <c r="O289" s="73"/>
      <c r="P289" s="57" t="s">
        <v>1700</v>
      </c>
      <c r="Q289" s="61">
        <v>232922.0</v>
      </c>
      <c r="R289" s="60">
        <v>2024.0</v>
      </c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>
      <c r="A290" s="19">
        <f t="shared" si="1"/>
        <v>289</v>
      </c>
      <c r="B290" s="57" t="s">
        <v>1701</v>
      </c>
      <c r="C290" s="58" t="s">
        <v>1702</v>
      </c>
      <c r="D290" s="57" t="s">
        <v>1703</v>
      </c>
      <c r="E290" s="57" t="s">
        <v>1704</v>
      </c>
      <c r="F290" s="57" t="s">
        <v>1705</v>
      </c>
      <c r="G290" s="57" t="s">
        <v>23</v>
      </c>
      <c r="H290" s="80">
        <v>45927.0</v>
      </c>
      <c r="I290" s="60">
        <v>2026.0</v>
      </c>
      <c r="J290" s="57" t="s">
        <v>640</v>
      </c>
      <c r="K290" s="58" t="s">
        <v>1706</v>
      </c>
      <c r="L290" s="57" t="s">
        <v>911</v>
      </c>
      <c r="M290" s="61">
        <v>50000.0</v>
      </c>
      <c r="N290" s="62"/>
      <c r="O290" s="73"/>
      <c r="P290" s="57" t="s">
        <v>1691</v>
      </c>
      <c r="Q290" s="97" t="s">
        <v>1707</v>
      </c>
      <c r="R290" s="60">
        <v>2025.0</v>
      </c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>
      <c r="A291" s="19">
        <f t="shared" si="1"/>
        <v>290</v>
      </c>
      <c r="B291" s="20" t="s">
        <v>1708</v>
      </c>
      <c r="C291" s="53" t="s">
        <v>1709</v>
      </c>
      <c r="D291" s="20" t="s">
        <v>1710</v>
      </c>
      <c r="E291" s="20" t="s">
        <v>1162</v>
      </c>
      <c r="F291" s="20" t="s">
        <v>67</v>
      </c>
      <c r="G291" s="20" t="s">
        <v>23</v>
      </c>
      <c r="H291" s="22">
        <v>46059.0</v>
      </c>
      <c r="I291" s="20">
        <v>2026.0</v>
      </c>
      <c r="J291" s="27"/>
      <c r="K291" s="53" t="s">
        <v>1711</v>
      </c>
      <c r="L291" s="27"/>
      <c r="M291" s="23">
        <v>12000.0</v>
      </c>
      <c r="N291" s="20" t="s">
        <v>1712</v>
      </c>
      <c r="O291" s="27"/>
      <c r="P291" s="20" t="s">
        <v>1713</v>
      </c>
      <c r="Q291" s="26">
        <v>140902.0</v>
      </c>
      <c r="R291" s="36">
        <v>2025.0</v>
      </c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>
      <c r="A292" s="19">
        <f t="shared" si="1"/>
        <v>291</v>
      </c>
      <c r="B292" s="20" t="s">
        <v>1714</v>
      </c>
      <c r="C292" s="53" t="s">
        <v>1715</v>
      </c>
      <c r="D292" s="20" t="s">
        <v>516</v>
      </c>
      <c r="E292" s="20" t="s">
        <v>246</v>
      </c>
      <c r="F292" s="20" t="s">
        <v>67</v>
      </c>
      <c r="G292" s="20" t="s">
        <v>23</v>
      </c>
      <c r="H292" s="56">
        <v>46060.0</v>
      </c>
      <c r="I292" s="20">
        <v>2026.0</v>
      </c>
      <c r="J292" s="20">
        <v>100.0</v>
      </c>
      <c r="K292" s="53" t="s">
        <v>1716</v>
      </c>
      <c r="L292" s="20" t="s">
        <v>1717</v>
      </c>
      <c r="M292" s="23">
        <v>15000.0</v>
      </c>
      <c r="N292" s="20" t="s">
        <v>1718</v>
      </c>
      <c r="O292" s="27"/>
      <c r="P292" s="20" t="s">
        <v>1719</v>
      </c>
      <c r="Q292" s="26">
        <v>74096.0</v>
      </c>
      <c r="R292" s="36">
        <v>2025.0</v>
      </c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>
      <c r="A293" s="19">
        <f t="shared" si="1"/>
        <v>292</v>
      </c>
      <c r="B293" s="20" t="s">
        <v>1720</v>
      </c>
      <c r="C293" s="53" t="s">
        <v>1721</v>
      </c>
      <c r="D293" s="20" t="s">
        <v>1722</v>
      </c>
      <c r="E293" s="20" t="s">
        <v>321</v>
      </c>
      <c r="F293" s="20" t="s">
        <v>22</v>
      </c>
      <c r="G293" s="20" t="s">
        <v>23</v>
      </c>
      <c r="H293" s="22">
        <v>46072.0</v>
      </c>
      <c r="I293" s="20">
        <v>2026.0</v>
      </c>
      <c r="J293" s="20">
        <v>180.0</v>
      </c>
      <c r="K293" s="53" t="s">
        <v>1723</v>
      </c>
      <c r="L293" s="20" t="s">
        <v>1724</v>
      </c>
      <c r="M293" s="23">
        <v>9500.0</v>
      </c>
      <c r="N293" s="20" t="s">
        <v>1725</v>
      </c>
      <c r="O293" s="27"/>
      <c r="P293" s="20" t="s">
        <v>1726</v>
      </c>
      <c r="Q293" s="26">
        <v>117782.0</v>
      </c>
      <c r="R293" s="36">
        <v>2025.0</v>
      </c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>
      <c r="A294" s="19">
        <f t="shared" si="1"/>
        <v>293</v>
      </c>
      <c r="B294" s="20" t="s">
        <v>1727</v>
      </c>
      <c r="C294" s="53" t="s">
        <v>1728</v>
      </c>
      <c r="D294" s="20" t="s">
        <v>1729</v>
      </c>
      <c r="E294" s="20" t="s">
        <v>122</v>
      </c>
      <c r="F294" s="20" t="s">
        <v>22</v>
      </c>
      <c r="G294" s="20" t="s">
        <v>23</v>
      </c>
      <c r="H294" s="22">
        <v>46078.0</v>
      </c>
      <c r="I294" s="20">
        <v>2026.0</v>
      </c>
      <c r="J294" s="20">
        <v>10.0</v>
      </c>
      <c r="K294" s="21" t="s">
        <v>1730</v>
      </c>
      <c r="L294" s="20" t="s">
        <v>911</v>
      </c>
      <c r="M294" s="23">
        <v>7200.0</v>
      </c>
      <c r="N294" s="27"/>
      <c r="O294" s="27"/>
      <c r="P294" s="20" t="s">
        <v>721</v>
      </c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>
      <c r="A295" s="19">
        <f t="shared" si="1"/>
        <v>294</v>
      </c>
      <c r="B295" s="20" t="s">
        <v>1731</v>
      </c>
      <c r="C295" s="53" t="s">
        <v>1732</v>
      </c>
      <c r="D295" s="20" t="s">
        <v>1733</v>
      </c>
      <c r="E295" s="20" t="s">
        <v>21</v>
      </c>
      <c r="F295" s="20" t="s">
        <v>22</v>
      </c>
      <c r="G295" s="20" t="s">
        <v>33</v>
      </c>
      <c r="H295" s="22">
        <v>46079.0</v>
      </c>
      <c r="I295" s="20">
        <v>2026.0</v>
      </c>
      <c r="J295" s="20">
        <v>20.0</v>
      </c>
      <c r="K295" s="53" t="s">
        <v>1734</v>
      </c>
      <c r="L295" s="20" t="s">
        <v>1735</v>
      </c>
      <c r="M295" s="23">
        <v>7500.0</v>
      </c>
      <c r="N295" s="27"/>
      <c r="O295" s="27"/>
      <c r="P295" s="20" t="s">
        <v>721</v>
      </c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>
      <c r="A296" s="19">
        <f t="shared" si="1"/>
        <v>295</v>
      </c>
      <c r="B296" s="20" t="s">
        <v>1736</v>
      </c>
      <c r="C296" s="27"/>
      <c r="D296" s="20" t="s">
        <v>718</v>
      </c>
      <c r="E296" s="20" t="s">
        <v>91</v>
      </c>
      <c r="F296" s="20" t="s">
        <v>43</v>
      </c>
      <c r="G296" s="20" t="s">
        <v>1338</v>
      </c>
      <c r="H296" s="22">
        <v>46084.0</v>
      </c>
      <c r="I296" s="20">
        <v>2027.0</v>
      </c>
      <c r="J296" s="27"/>
      <c r="K296" s="53" t="s">
        <v>1737</v>
      </c>
      <c r="L296" s="20" t="s">
        <v>1738</v>
      </c>
      <c r="M296" s="35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>
      <c r="A297" s="19">
        <f t="shared" si="1"/>
        <v>296</v>
      </c>
      <c r="B297" s="20" t="s">
        <v>1739</v>
      </c>
      <c r="C297" s="53" t="s">
        <v>1740</v>
      </c>
      <c r="D297" s="20" t="s">
        <v>1741</v>
      </c>
      <c r="E297" s="20" t="s">
        <v>1062</v>
      </c>
      <c r="F297" s="20" t="s">
        <v>67</v>
      </c>
      <c r="G297" s="20" t="s">
        <v>68</v>
      </c>
      <c r="H297" s="22">
        <v>46056.0</v>
      </c>
      <c r="I297" s="20">
        <v>2026.0</v>
      </c>
      <c r="J297" s="27"/>
      <c r="K297" s="53" t="s">
        <v>1742</v>
      </c>
      <c r="L297" s="20" t="s">
        <v>1743</v>
      </c>
      <c r="M297" s="23">
        <v>8000.0</v>
      </c>
      <c r="N297" s="27"/>
      <c r="O297" s="27"/>
      <c r="P297" s="20" t="s">
        <v>1744</v>
      </c>
      <c r="Q297" s="26">
        <v>102727.0</v>
      </c>
      <c r="R297" s="20">
        <v>2025.0</v>
      </c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>
      <c r="A298" s="19">
        <f t="shared" si="1"/>
        <v>297</v>
      </c>
      <c r="B298" s="57" t="s">
        <v>1745</v>
      </c>
      <c r="C298" s="77" t="s">
        <v>1746</v>
      </c>
      <c r="D298" s="57" t="s">
        <v>1747</v>
      </c>
      <c r="E298" s="57" t="s">
        <v>115</v>
      </c>
      <c r="F298" s="57" t="s">
        <v>32</v>
      </c>
      <c r="G298" s="57" t="s">
        <v>68</v>
      </c>
      <c r="H298" s="80">
        <v>46127.0</v>
      </c>
      <c r="I298" s="60">
        <v>2026.0</v>
      </c>
      <c r="J298" s="60">
        <v>85.0</v>
      </c>
      <c r="K298" s="77" t="s">
        <v>1748</v>
      </c>
      <c r="L298" s="57"/>
      <c r="M298" s="57"/>
      <c r="N298" s="57" t="s">
        <v>1638</v>
      </c>
      <c r="O298" s="57"/>
      <c r="P298" s="57" t="s">
        <v>1749</v>
      </c>
      <c r="Q298" s="97">
        <v>181263.0</v>
      </c>
      <c r="R298" s="20">
        <v>2025.0</v>
      </c>
      <c r="S298" s="73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>
      <c r="A299" s="19">
        <f t="shared" si="1"/>
        <v>298</v>
      </c>
      <c r="B299" s="57" t="s">
        <v>1750</v>
      </c>
      <c r="C299" s="77" t="s">
        <v>1751</v>
      </c>
      <c r="D299" s="57" t="s">
        <v>1752</v>
      </c>
      <c r="E299" s="57" t="s">
        <v>197</v>
      </c>
      <c r="F299" s="57" t="s">
        <v>67</v>
      </c>
      <c r="G299" s="57" t="s">
        <v>68</v>
      </c>
      <c r="H299" s="80">
        <v>46120.0</v>
      </c>
      <c r="I299" s="60">
        <v>2026.0</v>
      </c>
      <c r="J299" s="60">
        <v>126.0</v>
      </c>
      <c r="K299" s="99" t="s">
        <v>1753</v>
      </c>
      <c r="L299" s="57" t="s">
        <v>1754</v>
      </c>
      <c r="M299" s="57"/>
      <c r="N299" s="57" t="s">
        <v>1755</v>
      </c>
      <c r="O299" s="57"/>
      <c r="P299" s="57" t="s">
        <v>1756</v>
      </c>
      <c r="Q299" s="97">
        <v>46144.0</v>
      </c>
      <c r="R299" s="20">
        <v>2025.0</v>
      </c>
      <c r="S299" s="73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>
      <c r="A300" s="19">
        <f t="shared" si="1"/>
        <v>299</v>
      </c>
      <c r="B300" s="57" t="s">
        <v>1757</v>
      </c>
      <c r="C300" s="77" t="s">
        <v>1758</v>
      </c>
      <c r="D300" s="57" t="s">
        <v>1759</v>
      </c>
      <c r="E300" s="57" t="s">
        <v>321</v>
      </c>
      <c r="F300" s="57" t="s">
        <v>22</v>
      </c>
      <c r="G300" s="57" t="s">
        <v>33</v>
      </c>
      <c r="H300" s="80">
        <v>46128.0</v>
      </c>
      <c r="I300" s="60">
        <v>2026.0</v>
      </c>
      <c r="J300" s="57">
        <v>15.0</v>
      </c>
      <c r="K300" s="77" t="s">
        <v>1760</v>
      </c>
      <c r="L300" s="57" t="s">
        <v>1761</v>
      </c>
      <c r="M300" s="57"/>
      <c r="N300" s="57" t="s">
        <v>1762</v>
      </c>
      <c r="O300" s="57"/>
      <c r="P300" s="57" t="s">
        <v>1763</v>
      </c>
      <c r="Q300" s="97">
        <v>71149.0</v>
      </c>
      <c r="R300" s="20">
        <v>2025.0</v>
      </c>
      <c r="S300" s="73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>
      <c r="A301" s="19">
        <f t="shared" si="1"/>
        <v>300</v>
      </c>
      <c r="B301" s="57" t="s">
        <v>829</v>
      </c>
      <c r="C301" s="77" t="s">
        <v>830</v>
      </c>
      <c r="D301" s="57" t="s">
        <v>1764</v>
      </c>
      <c r="E301" s="57" t="s">
        <v>327</v>
      </c>
      <c r="F301" s="57" t="s">
        <v>67</v>
      </c>
      <c r="G301" s="57" t="s">
        <v>23</v>
      </c>
      <c r="H301" s="80">
        <v>46132.0</v>
      </c>
      <c r="I301" s="60">
        <v>2027.0</v>
      </c>
      <c r="J301" s="57">
        <v>50.0</v>
      </c>
      <c r="K301" s="77" t="s">
        <v>1765</v>
      </c>
      <c r="L301" s="57" t="s">
        <v>1766</v>
      </c>
      <c r="M301" s="57"/>
      <c r="N301" s="57" t="s">
        <v>1767</v>
      </c>
      <c r="O301" s="57"/>
      <c r="P301" s="57" t="s">
        <v>1768</v>
      </c>
      <c r="Q301" s="97">
        <v>94803.0</v>
      </c>
      <c r="R301" s="20">
        <v>2025.0</v>
      </c>
      <c r="S301" s="73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>
      <c r="A302" s="19">
        <f t="shared" si="1"/>
        <v>301</v>
      </c>
      <c r="B302" s="57" t="s">
        <v>1769</v>
      </c>
      <c r="C302" s="77" t="s">
        <v>1770</v>
      </c>
      <c r="D302" s="57" t="s">
        <v>1771</v>
      </c>
      <c r="E302" s="57" t="s">
        <v>436</v>
      </c>
      <c r="F302" s="57" t="s">
        <v>32</v>
      </c>
      <c r="G302" s="57" t="s">
        <v>23</v>
      </c>
      <c r="H302" s="80">
        <v>46121.0</v>
      </c>
      <c r="I302" s="60">
        <v>2026.0</v>
      </c>
      <c r="J302" s="57"/>
      <c r="K302" s="77" t="s">
        <v>1772</v>
      </c>
      <c r="L302" s="57"/>
      <c r="M302" s="57"/>
      <c r="N302" s="57" t="s">
        <v>1773</v>
      </c>
      <c r="O302" s="57"/>
      <c r="P302" s="57" t="s">
        <v>1774</v>
      </c>
      <c r="Q302" s="97">
        <v>125752.0</v>
      </c>
      <c r="R302" s="20">
        <v>2025.0</v>
      </c>
      <c r="S302" s="57" t="s">
        <v>1324</v>
      </c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>
      <c r="A303" s="19">
        <f t="shared" si="1"/>
        <v>302</v>
      </c>
      <c r="B303" s="57" t="s">
        <v>1775</v>
      </c>
      <c r="C303" s="73"/>
      <c r="D303" s="57" t="s">
        <v>1776</v>
      </c>
      <c r="E303" s="57" t="s">
        <v>76</v>
      </c>
      <c r="F303" s="57" t="s">
        <v>43</v>
      </c>
      <c r="G303" s="57" t="s">
        <v>1338</v>
      </c>
      <c r="H303" s="80">
        <v>46132.0</v>
      </c>
      <c r="I303" s="60">
        <v>2026.0</v>
      </c>
      <c r="J303" s="57"/>
      <c r="K303" s="77" t="s">
        <v>1777</v>
      </c>
      <c r="L303" s="57" t="s">
        <v>1778</v>
      </c>
      <c r="M303" s="57"/>
      <c r="N303" s="57"/>
      <c r="O303" s="57"/>
      <c r="P303" s="57" t="s">
        <v>1779</v>
      </c>
      <c r="Q303" s="73"/>
      <c r="R303" s="73"/>
      <c r="S303" s="73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>
      <c r="A304" s="19">
        <f t="shared" si="1"/>
        <v>303</v>
      </c>
      <c r="B304" s="20" t="s">
        <v>1780</v>
      </c>
      <c r="C304" s="21" t="s">
        <v>1781</v>
      </c>
      <c r="D304" s="20" t="s">
        <v>1782</v>
      </c>
      <c r="E304" s="20" t="s">
        <v>327</v>
      </c>
      <c r="F304" s="20" t="s">
        <v>67</v>
      </c>
      <c r="G304" s="20" t="s">
        <v>506</v>
      </c>
      <c r="H304" s="22">
        <v>46153.0</v>
      </c>
      <c r="I304" s="20">
        <v>2026.0</v>
      </c>
      <c r="J304" s="20">
        <v>15.0</v>
      </c>
      <c r="K304" s="21" t="s">
        <v>1783</v>
      </c>
      <c r="L304" s="20" t="s">
        <v>1784</v>
      </c>
      <c r="M304" s="27"/>
      <c r="N304" s="20" t="s">
        <v>1785</v>
      </c>
      <c r="O304" s="27"/>
      <c r="P304" s="20" t="s">
        <v>1786</v>
      </c>
      <c r="Q304" s="26">
        <v>92800.0</v>
      </c>
      <c r="R304" s="20">
        <v>2025.0</v>
      </c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>
      <c r="A305" s="19">
        <f t="shared" si="1"/>
        <v>304</v>
      </c>
      <c r="B305" s="20" t="s">
        <v>1787</v>
      </c>
      <c r="C305" s="21" t="s">
        <v>1788</v>
      </c>
      <c r="D305" s="20" t="s">
        <v>1789</v>
      </c>
      <c r="E305" s="20" t="s">
        <v>31</v>
      </c>
      <c r="F305" s="20" t="s">
        <v>1790</v>
      </c>
      <c r="G305" s="20" t="s">
        <v>33</v>
      </c>
      <c r="H305" s="22">
        <v>46156.0</v>
      </c>
      <c r="I305" s="20">
        <v>2026.0</v>
      </c>
      <c r="J305" s="27"/>
      <c r="K305" s="21" t="s">
        <v>1791</v>
      </c>
      <c r="L305" s="20" t="s">
        <v>1792</v>
      </c>
      <c r="M305" s="26">
        <v>10000.0</v>
      </c>
      <c r="N305" s="20" t="s">
        <v>1793</v>
      </c>
      <c r="O305" s="21" t="s">
        <v>1791</v>
      </c>
      <c r="P305" s="20" t="s">
        <v>1794</v>
      </c>
      <c r="Q305" s="26">
        <v>104200.0</v>
      </c>
      <c r="R305" s="20">
        <v>2025.0</v>
      </c>
      <c r="S305" s="5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>
      <c r="A306" s="19">
        <f t="shared" si="1"/>
        <v>305</v>
      </c>
      <c r="B306" s="20" t="s">
        <v>545</v>
      </c>
      <c r="C306" s="21" t="s">
        <v>1795</v>
      </c>
      <c r="D306" s="20" t="s">
        <v>1796</v>
      </c>
      <c r="E306" s="20" t="s">
        <v>133</v>
      </c>
      <c r="F306" s="20" t="s">
        <v>1790</v>
      </c>
      <c r="G306" s="20" t="s">
        <v>68</v>
      </c>
      <c r="H306" s="22">
        <v>46157.0</v>
      </c>
      <c r="I306" s="20">
        <v>2026.0</v>
      </c>
      <c r="J306" s="20">
        <v>50.0</v>
      </c>
      <c r="K306" s="21" t="s">
        <v>1797</v>
      </c>
      <c r="L306" s="20" t="s">
        <v>1798</v>
      </c>
      <c r="M306" s="26">
        <v>10643.0</v>
      </c>
      <c r="N306" s="27"/>
      <c r="O306" s="21" t="s">
        <v>1799</v>
      </c>
      <c r="P306" s="20" t="s">
        <v>1800</v>
      </c>
      <c r="Q306" s="26">
        <v>135300.0</v>
      </c>
      <c r="R306" s="20">
        <v>2025.0</v>
      </c>
      <c r="S306" s="5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>
      <c r="A307" s="19">
        <f t="shared" si="1"/>
        <v>306</v>
      </c>
      <c r="B307" s="20" t="s">
        <v>1177</v>
      </c>
      <c r="C307" s="21" t="s">
        <v>1801</v>
      </c>
      <c r="D307" s="20" t="s">
        <v>1802</v>
      </c>
      <c r="E307" s="20" t="s">
        <v>115</v>
      </c>
      <c r="F307" s="20" t="s">
        <v>1790</v>
      </c>
      <c r="G307" s="20" t="s">
        <v>68</v>
      </c>
      <c r="H307" s="22">
        <v>46162.0</v>
      </c>
      <c r="I307" s="20">
        <v>2026.0</v>
      </c>
      <c r="J307" s="20">
        <v>15.0</v>
      </c>
      <c r="K307" s="53" t="s">
        <v>1803</v>
      </c>
      <c r="L307" s="20" t="s">
        <v>1804</v>
      </c>
      <c r="M307" s="35"/>
      <c r="N307" s="27"/>
      <c r="O307" s="27"/>
      <c r="P307" s="20" t="s">
        <v>1805</v>
      </c>
      <c r="Q307" s="26">
        <v>78100.0</v>
      </c>
      <c r="R307" s="20">
        <v>2025.0</v>
      </c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>
      <c r="A308" s="19">
        <f t="shared" si="1"/>
        <v>307</v>
      </c>
      <c r="B308" s="20" t="s">
        <v>1806</v>
      </c>
      <c r="C308" s="21" t="s">
        <v>1807</v>
      </c>
      <c r="D308" s="20" t="s">
        <v>1503</v>
      </c>
      <c r="E308" s="20" t="s">
        <v>76</v>
      </c>
      <c r="F308" s="20" t="s">
        <v>1808</v>
      </c>
      <c r="G308" s="20" t="s">
        <v>237</v>
      </c>
      <c r="H308" s="22">
        <v>46162.0</v>
      </c>
      <c r="I308" s="20">
        <v>2026.0</v>
      </c>
      <c r="J308" s="27"/>
      <c r="K308" s="21" t="s">
        <v>1809</v>
      </c>
      <c r="L308" s="27"/>
      <c r="M308" s="35"/>
      <c r="N308" s="20" t="s">
        <v>1785</v>
      </c>
      <c r="O308" s="27"/>
      <c r="P308" s="20" t="s">
        <v>1810</v>
      </c>
      <c r="Q308" s="26">
        <v>107700.0</v>
      </c>
      <c r="R308" s="20">
        <v>2025.0</v>
      </c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>
      <c r="A309" s="19">
        <f t="shared" si="1"/>
        <v>308</v>
      </c>
      <c r="B309" s="20" t="s">
        <v>1811</v>
      </c>
      <c r="C309" s="21" t="s">
        <v>1812</v>
      </c>
      <c r="D309" s="20" t="s">
        <v>1813</v>
      </c>
      <c r="E309" s="20" t="s">
        <v>1306</v>
      </c>
      <c r="F309" s="20" t="s">
        <v>1814</v>
      </c>
      <c r="G309" s="20" t="s">
        <v>23</v>
      </c>
      <c r="H309" s="22">
        <v>46162.0</v>
      </c>
      <c r="I309" s="20">
        <v>2026.0</v>
      </c>
      <c r="J309" s="27"/>
      <c r="K309" s="21" t="s">
        <v>1815</v>
      </c>
      <c r="L309" s="20" t="s">
        <v>1816</v>
      </c>
      <c r="M309" s="23">
        <v>500.0</v>
      </c>
      <c r="N309" s="27"/>
      <c r="O309" s="21" t="s">
        <v>1815</v>
      </c>
      <c r="P309" s="20" t="s">
        <v>1817</v>
      </c>
      <c r="Q309" s="26">
        <v>77700.0</v>
      </c>
      <c r="R309" s="20">
        <v>2025.0</v>
      </c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>
      <c r="A310" s="19">
        <f t="shared" si="1"/>
        <v>309</v>
      </c>
      <c r="B310" s="20" t="s">
        <v>1818</v>
      </c>
      <c r="C310" s="21" t="s">
        <v>1819</v>
      </c>
      <c r="D310" s="20" t="s">
        <v>121</v>
      </c>
      <c r="E310" s="20" t="s">
        <v>122</v>
      </c>
      <c r="F310" s="20" t="s">
        <v>1820</v>
      </c>
      <c r="G310" s="20" t="s">
        <v>23</v>
      </c>
      <c r="H310" s="22">
        <v>46167.0</v>
      </c>
      <c r="I310" s="20">
        <v>2026.0</v>
      </c>
      <c r="J310" s="20">
        <v>72.0</v>
      </c>
      <c r="K310" s="21" t="s">
        <v>1821</v>
      </c>
      <c r="L310" s="20" t="s">
        <v>1822</v>
      </c>
      <c r="M310" s="35"/>
      <c r="N310" s="27"/>
      <c r="O310" s="27"/>
      <c r="P310" s="20" t="s">
        <v>1823</v>
      </c>
      <c r="Q310" s="26">
        <v>117300.0</v>
      </c>
      <c r="R310" s="20">
        <v>2025.0</v>
      </c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>
      <c r="A311" s="19">
        <f t="shared" si="1"/>
        <v>310</v>
      </c>
      <c r="B311" s="20" t="s">
        <v>1824</v>
      </c>
      <c r="C311" s="21" t="s">
        <v>1825</v>
      </c>
      <c r="D311" s="20" t="s">
        <v>1826</v>
      </c>
      <c r="E311" s="20" t="s">
        <v>260</v>
      </c>
      <c r="F311" s="20" t="s">
        <v>1790</v>
      </c>
      <c r="G311" s="20" t="s">
        <v>23</v>
      </c>
      <c r="H311" s="22">
        <v>46169.0</v>
      </c>
      <c r="I311" s="20">
        <v>2026.0</v>
      </c>
      <c r="J311" s="20">
        <v>36.0</v>
      </c>
      <c r="K311" s="21" t="s">
        <v>1827</v>
      </c>
      <c r="L311" s="20" t="s">
        <v>1828</v>
      </c>
      <c r="M311" s="35"/>
      <c r="N311" s="20" t="s">
        <v>1829</v>
      </c>
      <c r="O311" s="27"/>
      <c r="P311" s="20" t="s">
        <v>1830</v>
      </c>
      <c r="Q311" s="26">
        <v>110700.0</v>
      </c>
      <c r="R311" s="20">
        <v>2025.0</v>
      </c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>
      <c r="A312" s="19">
        <f t="shared" si="1"/>
        <v>311</v>
      </c>
      <c r="B312" s="20" t="s">
        <v>1831</v>
      </c>
      <c r="C312" s="21" t="s">
        <v>1832</v>
      </c>
      <c r="D312" s="20" t="s">
        <v>1833</v>
      </c>
      <c r="E312" s="20" t="s">
        <v>21</v>
      </c>
      <c r="F312" s="20" t="s">
        <v>1073</v>
      </c>
      <c r="G312" s="20" t="s">
        <v>68</v>
      </c>
      <c r="H312" s="22">
        <v>46170.0</v>
      </c>
      <c r="I312" s="20">
        <v>2026.0</v>
      </c>
      <c r="J312" s="20">
        <v>35.0</v>
      </c>
      <c r="K312" s="21" t="s">
        <v>1834</v>
      </c>
      <c r="L312" s="20" t="s">
        <v>1835</v>
      </c>
      <c r="M312" s="23">
        <v>4750.0</v>
      </c>
      <c r="N312" s="20" t="s">
        <v>1836</v>
      </c>
      <c r="O312" s="21" t="s">
        <v>1834</v>
      </c>
      <c r="P312" s="20" t="s">
        <v>1837</v>
      </c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>
      <c r="A313" s="19">
        <f t="shared" si="1"/>
        <v>312</v>
      </c>
      <c r="B313" s="20" t="s">
        <v>80</v>
      </c>
      <c r="C313" s="21" t="s">
        <v>1838</v>
      </c>
      <c r="D313" s="20" t="s">
        <v>1839</v>
      </c>
      <c r="E313" s="20" t="s">
        <v>91</v>
      </c>
      <c r="F313" s="20" t="s">
        <v>1808</v>
      </c>
      <c r="G313" s="20" t="s">
        <v>23</v>
      </c>
      <c r="H313" s="22">
        <v>46170.0</v>
      </c>
      <c r="I313" s="20">
        <v>2026.0</v>
      </c>
      <c r="J313" s="27"/>
      <c r="K313" s="21" t="s">
        <v>1840</v>
      </c>
      <c r="L313" s="20" t="s">
        <v>1841</v>
      </c>
      <c r="M313" s="35"/>
      <c r="N313" s="20" t="s">
        <v>1842</v>
      </c>
      <c r="O313" s="21" t="s">
        <v>1843</v>
      </c>
      <c r="P313" s="20" t="s">
        <v>1844</v>
      </c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>
      <c r="A314" s="19">
        <f t="shared" si="1"/>
        <v>313</v>
      </c>
      <c r="B314" s="20" t="s">
        <v>1845</v>
      </c>
      <c r="C314" s="21" t="s">
        <v>1846</v>
      </c>
      <c r="D314" s="20" t="s">
        <v>1383</v>
      </c>
      <c r="E314" s="20" t="s">
        <v>1847</v>
      </c>
      <c r="F314" s="20" t="s">
        <v>1790</v>
      </c>
      <c r="G314" s="20" t="s">
        <v>23</v>
      </c>
      <c r="H314" s="22">
        <v>46175.0</v>
      </c>
      <c r="I314" s="20">
        <v>2026.0</v>
      </c>
      <c r="J314" s="27"/>
      <c r="K314" s="21" t="s">
        <v>1848</v>
      </c>
      <c r="L314" s="20" t="s">
        <v>1841</v>
      </c>
      <c r="M314" s="23">
        <v>35000.0</v>
      </c>
      <c r="N314" s="20" t="s">
        <v>1849</v>
      </c>
      <c r="O314" s="21" t="s">
        <v>1850</v>
      </c>
      <c r="P314" s="20" t="s">
        <v>1851</v>
      </c>
      <c r="Q314" s="26">
        <v>135300.0</v>
      </c>
      <c r="R314" s="20">
        <v>2025.0</v>
      </c>
      <c r="S314" s="20" t="s">
        <v>1324</v>
      </c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>
      <c r="A315" s="19">
        <f t="shared" si="1"/>
        <v>314</v>
      </c>
      <c r="B315" s="20" t="s">
        <v>1852</v>
      </c>
      <c r="C315" s="21" t="s">
        <v>1853</v>
      </c>
      <c r="D315" s="20" t="s">
        <v>1854</v>
      </c>
      <c r="E315" s="20" t="s">
        <v>436</v>
      </c>
      <c r="F315" s="20" t="s">
        <v>1790</v>
      </c>
      <c r="G315" s="20" t="s">
        <v>23</v>
      </c>
      <c r="H315" s="22">
        <v>46177.0</v>
      </c>
      <c r="I315" s="20">
        <v>2026.0</v>
      </c>
      <c r="J315" s="27"/>
      <c r="K315" s="21" t="s">
        <v>1855</v>
      </c>
      <c r="L315" s="20" t="s">
        <v>1856</v>
      </c>
      <c r="M315" s="23">
        <v>44000.0</v>
      </c>
      <c r="N315" s="27"/>
      <c r="O315" s="21" t="s">
        <v>1857</v>
      </c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>
      <c r="A316" s="19">
        <f t="shared" si="1"/>
        <v>315</v>
      </c>
      <c r="B316" s="20" t="s">
        <v>1858</v>
      </c>
      <c r="C316" s="21" t="s">
        <v>1859</v>
      </c>
      <c r="D316" s="20" t="s">
        <v>1860</v>
      </c>
      <c r="E316" s="20" t="s">
        <v>327</v>
      </c>
      <c r="F316" s="20" t="s">
        <v>1861</v>
      </c>
      <c r="G316" s="20" t="s">
        <v>237</v>
      </c>
      <c r="H316" s="22">
        <v>46179.0</v>
      </c>
      <c r="I316" s="20">
        <v>2026.0</v>
      </c>
      <c r="J316" s="27"/>
      <c r="K316" s="21" t="s">
        <v>1862</v>
      </c>
      <c r="L316" s="20" t="s">
        <v>1863</v>
      </c>
      <c r="M316" s="35"/>
      <c r="N316" s="27"/>
      <c r="O316" s="27"/>
      <c r="P316" s="20" t="s">
        <v>1864</v>
      </c>
      <c r="Q316" s="26">
        <v>98600.0</v>
      </c>
      <c r="R316" s="20">
        <v>2025.0</v>
      </c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>
      <c r="A317" s="19">
        <f t="shared" si="1"/>
        <v>316</v>
      </c>
      <c r="B317" s="20" t="s">
        <v>1865</v>
      </c>
      <c r="C317" s="27"/>
      <c r="D317" s="20" t="s">
        <v>1344</v>
      </c>
      <c r="E317" s="20" t="s">
        <v>662</v>
      </c>
      <c r="F317" s="20" t="s">
        <v>1866</v>
      </c>
      <c r="G317" s="20" t="s">
        <v>237</v>
      </c>
      <c r="H317" s="22">
        <v>46178.0</v>
      </c>
      <c r="I317" s="20">
        <v>2026.0</v>
      </c>
      <c r="J317" s="27"/>
      <c r="K317" s="21" t="s">
        <v>1867</v>
      </c>
      <c r="L317" s="20" t="s">
        <v>1868</v>
      </c>
      <c r="M317" s="35"/>
      <c r="N317" s="20" t="s">
        <v>1433</v>
      </c>
      <c r="O317" s="27"/>
      <c r="P317" s="20" t="s">
        <v>1869</v>
      </c>
      <c r="Q317" s="26">
        <v>96100.0</v>
      </c>
      <c r="R317" s="20">
        <v>2025.0</v>
      </c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>
      <c r="A318" s="19">
        <f t="shared" si="1"/>
        <v>317</v>
      </c>
      <c r="B318" s="20" t="s">
        <v>1870</v>
      </c>
      <c r="C318" s="53" t="s">
        <v>1871</v>
      </c>
      <c r="D318" s="20" t="s">
        <v>1674</v>
      </c>
      <c r="E318" s="20" t="s">
        <v>436</v>
      </c>
      <c r="F318" s="20" t="s">
        <v>1790</v>
      </c>
      <c r="G318" s="20" t="s">
        <v>68</v>
      </c>
      <c r="H318" s="22">
        <v>46182.0</v>
      </c>
      <c r="I318" s="20">
        <v>2026.0</v>
      </c>
      <c r="J318" s="27"/>
      <c r="K318" s="21" t="s">
        <v>1872</v>
      </c>
      <c r="L318" s="20" t="s">
        <v>1873</v>
      </c>
      <c r="M318" s="23">
        <v>19000.0</v>
      </c>
      <c r="N318" s="27"/>
      <c r="O318" s="21" t="s">
        <v>1872</v>
      </c>
      <c r="P318" s="20" t="s">
        <v>1676</v>
      </c>
      <c r="Q318" s="26">
        <v>102300.0</v>
      </c>
      <c r="R318" s="20">
        <v>2025.0</v>
      </c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>
      <c r="A319" s="19">
        <f t="shared" si="1"/>
        <v>318</v>
      </c>
      <c r="B319" s="20" t="s">
        <v>1874</v>
      </c>
      <c r="C319" s="21" t="s">
        <v>1875</v>
      </c>
      <c r="D319" s="20" t="s">
        <v>1876</v>
      </c>
      <c r="E319" s="20" t="s">
        <v>578</v>
      </c>
      <c r="F319" s="20" t="s">
        <v>1866</v>
      </c>
      <c r="G319" s="20" t="s">
        <v>23</v>
      </c>
      <c r="H319" s="100">
        <v>46184.0</v>
      </c>
      <c r="I319" s="20">
        <v>2026.0</v>
      </c>
      <c r="J319" s="20">
        <v>30.0</v>
      </c>
      <c r="K319" s="21" t="s">
        <v>1877</v>
      </c>
      <c r="L319" s="20" t="s">
        <v>1878</v>
      </c>
      <c r="M319" s="23">
        <v>7200.0</v>
      </c>
      <c r="N319" s="20" t="s">
        <v>1879</v>
      </c>
      <c r="O319" s="21" t="s">
        <v>1877</v>
      </c>
      <c r="P319" s="20" t="s">
        <v>1880</v>
      </c>
      <c r="Q319" s="26">
        <v>102800.0</v>
      </c>
      <c r="R319" s="20">
        <v>2025.0</v>
      </c>
      <c r="S319" s="20" t="s">
        <v>1324</v>
      </c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>
      <c r="A320" s="19">
        <f t="shared" si="1"/>
        <v>319</v>
      </c>
      <c r="B320" s="20" t="s">
        <v>1881</v>
      </c>
      <c r="C320" s="21" t="s">
        <v>1882</v>
      </c>
      <c r="D320" s="20" t="s">
        <v>1883</v>
      </c>
      <c r="E320" s="20" t="s">
        <v>100</v>
      </c>
      <c r="F320" s="20" t="s">
        <v>1808</v>
      </c>
      <c r="G320" s="20" t="s">
        <v>1338</v>
      </c>
      <c r="H320" s="22">
        <v>46194.0</v>
      </c>
      <c r="I320" s="20">
        <v>2026.0</v>
      </c>
      <c r="J320" s="27"/>
      <c r="K320" s="21" t="s">
        <v>1884</v>
      </c>
      <c r="L320" s="20" t="s">
        <v>1885</v>
      </c>
      <c r="M320" s="35"/>
      <c r="N320" s="27"/>
      <c r="O320" s="27"/>
      <c r="P320" s="27"/>
      <c r="Q320" s="26">
        <v>137600.0</v>
      </c>
      <c r="R320" s="20">
        <v>2025.0</v>
      </c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>
      <c r="A321" s="19">
        <f t="shared" si="1"/>
        <v>320</v>
      </c>
      <c r="B321" s="20" t="s">
        <v>1886</v>
      </c>
      <c r="C321" s="21" t="s">
        <v>1887</v>
      </c>
      <c r="D321" s="20" t="s">
        <v>75</v>
      </c>
      <c r="E321" s="20" t="s">
        <v>76</v>
      </c>
      <c r="F321" s="20" t="s">
        <v>1808</v>
      </c>
      <c r="G321" s="20" t="s">
        <v>23</v>
      </c>
      <c r="H321" s="22">
        <v>46197.0</v>
      </c>
      <c r="I321" s="20">
        <v>2026.0</v>
      </c>
      <c r="J321" s="20">
        <v>20.0</v>
      </c>
      <c r="K321" s="21" t="s">
        <v>1888</v>
      </c>
      <c r="L321" s="20" t="s">
        <v>1889</v>
      </c>
      <c r="M321" s="23">
        <v>150000.0</v>
      </c>
      <c r="N321" s="27"/>
      <c r="O321" s="21" t="s">
        <v>1888</v>
      </c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>
      <c r="A322" s="19">
        <f t="shared" si="1"/>
        <v>321</v>
      </c>
      <c r="B322" s="20" t="s">
        <v>1890</v>
      </c>
      <c r="C322" s="21" t="s">
        <v>1891</v>
      </c>
      <c r="D322" s="20" t="s">
        <v>1892</v>
      </c>
      <c r="E322" s="20" t="s">
        <v>260</v>
      </c>
      <c r="F322" s="20" t="s">
        <v>1790</v>
      </c>
      <c r="G322" s="20" t="s">
        <v>68</v>
      </c>
      <c r="H322" s="22">
        <v>46198.0</v>
      </c>
      <c r="I322" s="20">
        <v>2026.0</v>
      </c>
      <c r="J322" s="27"/>
      <c r="K322" s="21" t="s">
        <v>1893</v>
      </c>
      <c r="L322" s="20" t="s">
        <v>1894</v>
      </c>
      <c r="M322" s="35"/>
      <c r="N322" s="27"/>
      <c r="O322" s="27"/>
      <c r="P322" s="20" t="s">
        <v>1895</v>
      </c>
      <c r="Q322" s="26">
        <v>110700.0</v>
      </c>
      <c r="R322" s="20">
        <v>2025.0</v>
      </c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>
      <c r="A323" s="19">
        <f t="shared" si="1"/>
        <v>322</v>
      </c>
      <c r="B323" s="20" t="s">
        <v>1896</v>
      </c>
      <c r="C323" s="21" t="s">
        <v>1897</v>
      </c>
      <c r="D323" s="20" t="s">
        <v>1241</v>
      </c>
      <c r="E323" s="20" t="s">
        <v>436</v>
      </c>
      <c r="F323" s="20" t="s">
        <v>1790</v>
      </c>
      <c r="G323" s="20" t="s">
        <v>23</v>
      </c>
      <c r="H323" s="22">
        <v>46199.0</v>
      </c>
      <c r="I323" s="20">
        <v>2026.0</v>
      </c>
      <c r="J323" s="20">
        <v>100.0</v>
      </c>
      <c r="K323" s="21" t="s">
        <v>1898</v>
      </c>
      <c r="L323" s="20" t="s">
        <v>1899</v>
      </c>
      <c r="M323" s="35"/>
      <c r="N323" s="20" t="s">
        <v>1900</v>
      </c>
      <c r="O323" s="21" t="s">
        <v>1901</v>
      </c>
      <c r="P323" s="20" t="s">
        <v>1902</v>
      </c>
      <c r="Q323" s="26">
        <v>87200.0</v>
      </c>
      <c r="R323" s="20">
        <v>2025.0</v>
      </c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>
      <c r="A324" s="19">
        <f t="shared" si="1"/>
        <v>323</v>
      </c>
      <c r="B324" s="20" t="s">
        <v>1659</v>
      </c>
      <c r="C324" s="21" t="s">
        <v>1660</v>
      </c>
      <c r="D324" s="20" t="s">
        <v>701</v>
      </c>
      <c r="E324" s="20" t="s">
        <v>702</v>
      </c>
      <c r="F324" s="20" t="s">
        <v>1861</v>
      </c>
      <c r="G324" s="20" t="s">
        <v>33</v>
      </c>
      <c r="H324" s="22">
        <v>46207.0</v>
      </c>
      <c r="I324" s="20">
        <v>2026.0</v>
      </c>
      <c r="J324" s="27"/>
      <c r="K324" s="21" t="s">
        <v>1903</v>
      </c>
      <c r="L324" s="20" t="s">
        <v>1904</v>
      </c>
      <c r="M324" s="35"/>
      <c r="N324" s="27"/>
      <c r="O324" s="27"/>
      <c r="P324" s="20" t="s">
        <v>1664</v>
      </c>
      <c r="Q324" s="26">
        <v>108600.0</v>
      </c>
      <c r="R324" s="20">
        <v>2025.0</v>
      </c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>
      <c r="A325" s="19">
        <f t="shared" si="1"/>
        <v>324</v>
      </c>
      <c r="B325" s="20" t="s">
        <v>1905</v>
      </c>
      <c r="C325" s="21" t="s">
        <v>1906</v>
      </c>
      <c r="D325" s="20" t="s">
        <v>1907</v>
      </c>
      <c r="E325" s="20" t="s">
        <v>83</v>
      </c>
      <c r="F325" s="20" t="s">
        <v>1908</v>
      </c>
      <c r="G325" s="20" t="s">
        <v>33</v>
      </c>
      <c r="H325" s="22">
        <v>46204.0</v>
      </c>
      <c r="I325" s="20">
        <v>2026.0</v>
      </c>
      <c r="J325" s="27"/>
      <c r="K325" s="21" t="s">
        <v>1909</v>
      </c>
      <c r="L325" s="20" t="s">
        <v>1910</v>
      </c>
      <c r="M325" s="35"/>
      <c r="N325" s="27"/>
      <c r="O325" s="21" t="s">
        <v>1909</v>
      </c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>
      <c r="A326" s="19">
        <f t="shared" si="1"/>
        <v>325</v>
      </c>
      <c r="B326" s="20" t="s">
        <v>1911</v>
      </c>
      <c r="C326" s="21" t="s">
        <v>1912</v>
      </c>
      <c r="D326" s="20" t="s">
        <v>1913</v>
      </c>
      <c r="E326" s="20" t="s">
        <v>83</v>
      </c>
      <c r="F326" s="20" t="s">
        <v>1908</v>
      </c>
      <c r="G326" s="20" t="s">
        <v>23</v>
      </c>
      <c r="H326" s="22">
        <v>46094.0</v>
      </c>
      <c r="I326" s="20">
        <v>2026.0</v>
      </c>
      <c r="J326" s="27"/>
      <c r="K326" s="21" t="s">
        <v>1914</v>
      </c>
      <c r="L326" s="20" t="s">
        <v>1915</v>
      </c>
      <c r="M326" s="23">
        <v>63000.0</v>
      </c>
      <c r="N326" s="20" t="s">
        <v>1916</v>
      </c>
      <c r="O326" s="21" t="s">
        <v>1917</v>
      </c>
      <c r="P326" s="20" t="s">
        <v>1918</v>
      </c>
      <c r="Q326" s="26">
        <v>155300.0</v>
      </c>
      <c r="R326" s="20">
        <v>2025.0</v>
      </c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>
      <c r="A327" s="19">
        <f t="shared" si="1"/>
        <v>326</v>
      </c>
      <c r="B327" s="20" t="s">
        <v>1919</v>
      </c>
      <c r="C327" s="27"/>
      <c r="D327" s="20" t="s">
        <v>1920</v>
      </c>
      <c r="E327" s="20" t="s">
        <v>327</v>
      </c>
      <c r="F327" s="20" t="s">
        <v>1861</v>
      </c>
      <c r="G327" s="20" t="s">
        <v>68</v>
      </c>
      <c r="H327" s="22">
        <v>46212.0</v>
      </c>
      <c r="I327" s="20">
        <v>2026.0</v>
      </c>
      <c r="J327" s="27"/>
      <c r="K327" s="21" t="s">
        <v>1921</v>
      </c>
      <c r="L327" s="20" t="s">
        <v>1922</v>
      </c>
      <c r="M327" s="35"/>
      <c r="N327" s="27"/>
      <c r="O327" s="27"/>
      <c r="P327" s="20" t="s">
        <v>1923</v>
      </c>
      <c r="Q327" s="26">
        <v>92800.0</v>
      </c>
      <c r="R327" s="20">
        <v>2025.0</v>
      </c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>
      <c r="A328" s="19">
        <f t="shared" si="1"/>
        <v>327</v>
      </c>
      <c r="B328" s="20" t="s">
        <v>1924</v>
      </c>
      <c r="C328" s="27"/>
      <c r="D328" s="20" t="s">
        <v>1925</v>
      </c>
      <c r="E328" s="20" t="s">
        <v>584</v>
      </c>
      <c r="F328" s="20" t="s">
        <v>1790</v>
      </c>
      <c r="G328" s="20" t="s">
        <v>68</v>
      </c>
      <c r="H328" s="22">
        <v>46216.0</v>
      </c>
      <c r="I328" s="20">
        <v>2026.0</v>
      </c>
      <c r="J328" s="20">
        <v>28.0</v>
      </c>
      <c r="K328" s="21" t="s">
        <v>1926</v>
      </c>
      <c r="L328" s="20" t="s">
        <v>1927</v>
      </c>
      <c r="M328" s="35"/>
      <c r="N328" s="27"/>
      <c r="O328" s="27"/>
      <c r="P328" s="20" t="s">
        <v>1928</v>
      </c>
      <c r="Q328" s="26">
        <v>71300.0</v>
      </c>
      <c r="R328" s="20">
        <v>2025.0</v>
      </c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>
      <c r="A329" s="19">
        <f t="shared" si="1"/>
        <v>328</v>
      </c>
      <c r="B329" s="20" t="s">
        <v>1929</v>
      </c>
      <c r="C329" s="21" t="s">
        <v>1930</v>
      </c>
      <c r="D329" s="20" t="s">
        <v>1931</v>
      </c>
      <c r="E329" s="20" t="s">
        <v>436</v>
      </c>
      <c r="F329" s="20" t="s">
        <v>1790</v>
      </c>
      <c r="G329" s="20" t="s">
        <v>23</v>
      </c>
      <c r="H329" s="22">
        <v>46213.0</v>
      </c>
      <c r="I329" s="20">
        <v>2026.0</v>
      </c>
      <c r="J329" s="27"/>
      <c r="K329" s="21" t="s">
        <v>1932</v>
      </c>
      <c r="L329" s="20" t="s">
        <v>1933</v>
      </c>
      <c r="M329" s="35"/>
      <c r="N329" s="20" t="s">
        <v>1934</v>
      </c>
      <c r="O329" s="21" t="s">
        <v>1932</v>
      </c>
      <c r="P329" s="20" t="s">
        <v>1935</v>
      </c>
      <c r="Q329" s="26">
        <v>111800.0</v>
      </c>
      <c r="R329" s="20">
        <v>2025.0</v>
      </c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>
      <c r="A330" s="27"/>
      <c r="B330" s="27"/>
      <c r="C330" s="27"/>
      <c r="D330" s="27"/>
      <c r="E330" s="27"/>
      <c r="F330" s="27"/>
      <c r="G330" s="20"/>
      <c r="H330" s="27"/>
      <c r="I330" s="27"/>
      <c r="J330" s="27"/>
      <c r="K330" s="27"/>
      <c r="L330" s="27"/>
      <c r="M330" s="35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>
      <c r="A331" s="27"/>
      <c r="B331" s="27"/>
      <c r="C331" s="27"/>
      <c r="D331" s="27"/>
      <c r="E331" s="27"/>
      <c r="F331" s="27"/>
      <c r="G331" s="20"/>
      <c r="H331" s="27"/>
      <c r="I331" s="27"/>
      <c r="J331" s="27"/>
      <c r="K331" s="27"/>
      <c r="L331" s="27"/>
      <c r="M331" s="35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>
      <c r="A332" s="27"/>
      <c r="B332" s="27"/>
      <c r="C332" s="27"/>
      <c r="D332" s="27"/>
      <c r="E332" s="27"/>
      <c r="F332" s="27"/>
      <c r="G332" s="20"/>
      <c r="H332" s="27"/>
      <c r="I332" s="27"/>
      <c r="J332" s="27"/>
      <c r="K332" s="27"/>
      <c r="L332" s="27"/>
      <c r="M332" s="35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>
      <c r="A333" s="27"/>
      <c r="B333" s="27"/>
      <c r="C333" s="27"/>
      <c r="D333" s="27"/>
      <c r="E333" s="27"/>
      <c r="F333" s="27"/>
      <c r="G333" s="20"/>
      <c r="H333" s="27"/>
      <c r="I333" s="27"/>
      <c r="J333" s="27"/>
      <c r="K333" s="27"/>
      <c r="L333" s="27"/>
      <c r="M333" s="35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>
      <c r="A334" s="27"/>
      <c r="B334" s="27"/>
      <c r="C334" s="27"/>
      <c r="D334" s="27"/>
      <c r="E334" s="27"/>
      <c r="F334" s="27"/>
      <c r="G334" s="20"/>
      <c r="H334" s="27"/>
      <c r="I334" s="27"/>
      <c r="J334" s="27"/>
      <c r="K334" s="27"/>
      <c r="L334" s="27"/>
      <c r="M334" s="35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>
      <c r="A335" s="27"/>
      <c r="B335" s="27"/>
      <c r="C335" s="27"/>
      <c r="D335" s="27"/>
      <c r="E335" s="27"/>
      <c r="F335" s="27"/>
      <c r="G335" s="20"/>
      <c r="H335" s="27"/>
      <c r="I335" s="27"/>
      <c r="J335" s="27"/>
      <c r="K335" s="27"/>
      <c r="L335" s="27"/>
      <c r="M335" s="35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>
      <c r="A336" s="27"/>
      <c r="B336" s="27"/>
      <c r="C336" s="27"/>
      <c r="D336" s="27"/>
      <c r="E336" s="27"/>
      <c r="F336" s="27"/>
      <c r="G336" s="20"/>
      <c r="H336" s="27"/>
      <c r="I336" s="27"/>
      <c r="J336" s="27"/>
      <c r="K336" s="27"/>
      <c r="L336" s="27"/>
      <c r="M336" s="35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>
      <c r="A337" s="27"/>
      <c r="B337" s="27"/>
      <c r="C337" s="27"/>
      <c r="D337" s="27"/>
      <c r="E337" s="27"/>
      <c r="F337" s="27"/>
      <c r="G337" s="20"/>
      <c r="H337" s="27"/>
      <c r="I337" s="27"/>
      <c r="J337" s="27"/>
      <c r="K337" s="27"/>
      <c r="L337" s="27"/>
      <c r="M337" s="35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>
      <c r="A338" s="27"/>
      <c r="B338" s="27"/>
      <c r="C338" s="27"/>
      <c r="D338" s="27"/>
      <c r="E338" s="27"/>
      <c r="F338" s="27"/>
      <c r="G338" s="20"/>
      <c r="H338" s="27"/>
      <c r="I338" s="27"/>
      <c r="J338" s="27"/>
      <c r="K338" s="27"/>
      <c r="L338" s="27"/>
      <c r="M338" s="35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>
      <c r="A339" s="27"/>
      <c r="B339" s="27"/>
      <c r="C339" s="27"/>
      <c r="D339" s="27"/>
      <c r="E339" s="27"/>
      <c r="F339" s="27"/>
      <c r="G339" s="20"/>
      <c r="H339" s="27"/>
      <c r="I339" s="27"/>
      <c r="J339" s="27"/>
      <c r="K339" s="27"/>
      <c r="L339" s="27"/>
      <c r="M339" s="35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>
      <c r="A340" s="27"/>
      <c r="B340" s="27"/>
      <c r="C340" s="27"/>
      <c r="D340" s="27"/>
      <c r="E340" s="27"/>
      <c r="F340" s="27"/>
      <c r="G340" s="20"/>
      <c r="H340" s="27"/>
      <c r="I340" s="27"/>
      <c r="J340" s="27"/>
      <c r="K340" s="27"/>
      <c r="L340" s="27"/>
      <c r="M340" s="35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>
      <c r="A341" s="27"/>
      <c r="B341" s="27"/>
      <c r="C341" s="27"/>
      <c r="D341" s="27"/>
      <c r="E341" s="27"/>
      <c r="F341" s="27"/>
      <c r="G341" s="20"/>
      <c r="H341" s="27"/>
      <c r="I341" s="27"/>
      <c r="J341" s="27"/>
      <c r="K341" s="27"/>
      <c r="L341" s="27"/>
      <c r="M341" s="35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>
      <c r="A342" s="27"/>
      <c r="B342" s="27"/>
      <c r="C342" s="27"/>
      <c r="D342" s="27"/>
      <c r="E342" s="27"/>
      <c r="F342" s="27"/>
      <c r="G342" s="20"/>
      <c r="H342" s="27"/>
      <c r="I342" s="27"/>
      <c r="J342" s="27"/>
      <c r="K342" s="27"/>
      <c r="L342" s="27"/>
      <c r="M342" s="35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>
      <c r="A343" s="27"/>
      <c r="B343" s="27"/>
      <c r="C343" s="27"/>
      <c r="D343" s="27"/>
      <c r="E343" s="27"/>
      <c r="F343" s="27"/>
      <c r="G343" s="20"/>
      <c r="H343" s="27"/>
      <c r="I343" s="27"/>
      <c r="J343" s="27"/>
      <c r="K343" s="27"/>
      <c r="L343" s="27"/>
      <c r="M343" s="35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>
      <c r="A344" s="27"/>
      <c r="B344" s="27"/>
      <c r="C344" s="27"/>
      <c r="D344" s="27"/>
      <c r="E344" s="27"/>
      <c r="F344" s="27"/>
      <c r="G344" s="20"/>
      <c r="H344" s="27"/>
      <c r="I344" s="27"/>
      <c r="J344" s="27"/>
      <c r="K344" s="27"/>
      <c r="L344" s="27"/>
      <c r="M344" s="35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>
      <c r="A345" s="27"/>
      <c r="B345" s="27"/>
      <c r="C345" s="27"/>
      <c r="D345" s="27"/>
      <c r="E345" s="27"/>
      <c r="F345" s="27"/>
      <c r="G345" s="20"/>
      <c r="H345" s="27"/>
      <c r="I345" s="27"/>
      <c r="J345" s="27"/>
      <c r="K345" s="27"/>
      <c r="L345" s="27"/>
      <c r="M345" s="35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>
      <c r="A346" s="27"/>
      <c r="B346" s="27"/>
      <c r="C346" s="27"/>
      <c r="D346" s="27"/>
      <c r="E346" s="27"/>
      <c r="F346" s="27"/>
      <c r="G346" s="20"/>
      <c r="H346" s="27"/>
      <c r="I346" s="27"/>
      <c r="J346" s="27"/>
      <c r="K346" s="27"/>
      <c r="L346" s="27"/>
      <c r="M346" s="35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>
      <c r="A347" s="27"/>
      <c r="B347" s="27"/>
      <c r="C347" s="27"/>
      <c r="D347" s="27"/>
      <c r="E347" s="27"/>
      <c r="F347" s="27"/>
      <c r="G347" s="20"/>
      <c r="H347" s="27"/>
      <c r="I347" s="27"/>
      <c r="J347" s="27"/>
      <c r="K347" s="27"/>
      <c r="L347" s="27"/>
      <c r="M347" s="35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>
      <c r="A348" s="27"/>
      <c r="B348" s="27"/>
      <c r="C348" s="27"/>
      <c r="D348" s="27"/>
      <c r="E348" s="27"/>
      <c r="F348" s="27"/>
      <c r="G348" s="20"/>
      <c r="H348" s="27"/>
      <c r="I348" s="27"/>
      <c r="J348" s="27"/>
      <c r="K348" s="27"/>
      <c r="L348" s="27"/>
      <c r="M348" s="35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>
      <c r="A349" s="27"/>
      <c r="B349" s="27"/>
      <c r="C349" s="27"/>
      <c r="D349" s="27"/>
      <c r="E349" s="27"/>
      <c r="F349" s="27"/>
      <c r="G349" s="20"/>
      <c r="H349" s="27"/>
      <c r="I349" s="27"/>
      <c r="J349" s="27"/>
      <c r="K349" s="27"/>
      <c r="L349" s="27"/>
      <c r="M349" s="35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>
      <c r="A350" s="27"/>
      <c r="B350" s="27"/>
      <c r="C350" s="27"/>
      <c r="D350" s="27"/>
      <c r="E350" s="27"/>
      <c r="F350" s="27"/>
      <c r="G350" s="20"/>
      <c r="H350" s="27"/>
      <c r="I350" s="27"/>
      <c r="J350" s="27"/>
      <c r="K350" s="27"/>
      <c r="L350" s="27"/>
      <c r="M350" s="35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>
      <c r="A351" s="27"/>
      <c r="B351" s="27"/>
      <c r="C351" s="27"/>
      <c r="D351" s="27"/>
      <c r="E351" s="27"/>
      <c r="F351" s="27"/>
      <c r="G351" s="20"/>
      <c r="H351" s="27"/>
      <c r="I351" s="27"/>
      <c r="J351" s="27"/>
      <c r="K351" s="27"/>
      <c r="L351" s="27"/>
      <c r="M351" s="35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>
      <c r="A352" s="27"/>
      <c r="B352" s="27"/>
      <c r="C352" s="27"/>
      <c r="D352" s="27"/>
      <c r="E352" s="27"/>
      <c r="F352" s="27"/>
      <c r="G352" s="20"/>
      <c r="H352" s="27"/>
      <c r="I352" s="27"/>
      <c r="J352" s="27"/>
      <c r="K352" s="27"/>
      <c r="L352" s="27"/>
      <c r="M352" s="35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>
      <c r="A353" s="27"/>
      <c r="B353" s="27"/>
      <c r="C353" s="27"/>
      <c r="D353" s="27"/>
      <c r="E353" s="27"/>
      <c r="F353" s="27"/>
      <c r="G353" s="20"/>
      <c r="H353" s="27"/>
      <c r="I353" s="27"/>
      <c r="J353" s="27"/>
      <c r="K353" s="27"/>
      <c r="L353" s="27"/>
      <c r="M353" s="35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>
      <c r="A354" s="27"/>
      <c r="B354" s="27"/>
      <c r="C354" s="27"/>
      <c r="D354" s="27"/>
      <c r="E354" s="27"/>
      <c r="F354" s="27"/>
      <c r="G354" s="20"/>
      <c r="H354" s="27"/>
      <c r="I354" s="27"/>
      <c r="J354" s="27"/>
      <c r="K354" s="27"/>
      <c r="L354" s="27"/>
      <c r="M354" s="35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>
      <c r="A355" s="27"/>
      <c r="B355" s="27"/>
      <c r="C355" s="27"/>
      <c r="D355" s="27"/>
      <c r="E355" s="27"/>
      <c r="F355" s="27"/>
      <c r="G355" s="20"/>
      <c r="H355" s="27"/>
      <c r="I355" s="27"/>
      <c r="J355" s="27"/>
      <c r="K355" s="27"/>
      <c r="L355" s="27"/>
      <c r="M355" s="35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>
      <c r="A356" s="27"/>
      <c r="B356" s="27"/>
      <c r="C356" s="27"/>
      <c r="D356" s="27"/>
      <c r="E356" s="27"/>
      <c r="F356" s="27"/>
      <c r="G356" s="20"/>
      <c r="H356" s="27"/>
      <c r="I356" s="27"/>
      <c r="J356" s="27"/>
      <c r="K356" s="27"/>
      <c r="L356" s="27"/>
      <c r="M356" s="35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>
      <c r="A357" s="27"/>
      <c r="B357" s="27"/>
      <c r="C357" s="27"/>
      <c r="D357" s="27"/>
      <c r="E357" s="27"/>
      <c r="F357" s="27"/>
      <c r="G357" s="20"/>
      <c r="H357" s="27"/>
      <c r="I357" s="27"/>
      <c r="J357" s="27"/>
      <c r="K357" s="27"/>
      <c r="L357" s="27"/>
      <c r="M357" s="35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>
      <c r="A358" s="27"/>
      <c r="B358" s="27"/>
      <c r="C358" s="27"/>
      <c r="D358" s="27"/>
      <c r="E358" s="27"/>
      <c r="F358" s="27"/>
      <c r="G358" s="20"/>
      <c r="H358" s="27"/>
      <c r="I358" s="27"/>
      <c r="J358" s="27"/>
      <c r="K358" s="27"/>
      <c r="L358" s="27"/>
      <c r="M358" s="35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>
      <c r="A359" s="27"/>
      <c r="B359" s="27"/>
      <c r="C359" s="27"/>
      <c r="D359" s="27"/>
      <c r="E359" s="27"/>
      <c r="F359" s="27"/>
      <c r="G359" s="20"/>
      <c r="H359" s="27"/>
      <c r="I359" s="27"/>
      <c r="J359" s="27"/>
      <c r="K359" s="27"/>
      <c r="L359" s="27"/>
      <c r="M359" s="35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>
      <c r="A360" s="27"/>
      <c r="B360" s="27"/>
      <c r="C360" s="27"/>
      <c r="D360" s="27"/>
      <c r="E360" s="27"/>
      <c r="F360" s="27"/>
      <c r="G360" s="20"/>
      <c r="H360" s="27"/>
      <c r="I360" s="27"/>
      <c r="J360" s="27"/>
      <c r="K360" s="27"/>
      <c r="L360" s="27"/>
      <c r="M360" s="35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>
      <c r="A361" s="27"/>
      <c r="B361" s="27"/>
      <c r="C361" s="27"/>
      <c r="D361" s="27"/>
      <c r="E361" s="27"/>
      <c r="F361" s="27"/>
      <c r="G361" s="20"/>
      <c r="H361" s="27"/>
      <c r="I361" s="27"/>
      <c r="J361" s="27"/>
      <c r="K361" s="27"/>
      <c r="L361" s="27"/>
      <c r="M361" s="35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>
      <c r="A362" s="27"/>
      <c r="B362" s="27"/>
      <c r="C362" s="27"/>
      <c r="D362" s="27"/>
      <c r="E362" s="27"/>
      <c r="F362" s="27"/>
      <c r="G362" s="20"/>
      <c r="H362" s="27"/>
      <c r="I362" s="27"/>
      <c r="J362" s="27"/>
      <c r="K362" s="27"/>
      <c r="L362" s="27"/>
      <c r="M362" s="35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>
      <c r="A363" s="27"/>
      <c r="B363" s="27"/>
      <c r="C363" s="27"/>
      <c r="D363" s="27"/>
      <c r="E363" s="27"/>
      <c r="F363" s="27"/>
      <c r="G363" s="20"/>
      <c r="H363" s="27"/>
      <c r="I363" s="27"/>
      <c r="J363" s="27"/>
      <c r="K363" s="27"/>
      <c r="L363" s="27"/>
      <c r="M363" s="35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>
      <c r="A364" s="27"/>
      <c r="B364" s="27"/>
      <c r="C364" s="27"/>
      <c r="D364" s="27"/>
      <c r="E364" s="27"/>
      <c r="F364" s="27"/>
      <c r="G364" s="20"/>
      <c r="H364" s="27"/>
      <c r="I364" s="27"/>
      <c r="J364" s="27"/>
      <c r="K364" s="27"/>
      <c r="L364" s="27"/>
      <c r="M364" s="35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>
      <c r="A365" s="27"/>
      <c r="B365" s="27"/>
      <c r="C365" s="27"/>
      <c r="D365" s="27"/>
      <c r="E365" s="27"/>
      <c r="F365" s="27"/>
      <c r="G365" s="20"/>
      <c r="H365" s="27"/>
      <c r="I365" s="27"/>
      <c r="J365" s="27"/>
      <c r="K365" s="27"/>
      <c r="L365" s="27"/>
      <c r="M365" s="35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>
      <c r="A366" s="27"/>
      <c r="B366" s="27"/>
      <c r="C366" s="27"/>
      <c r="D366" s="27"/>
      <c r="E366" s="27"/>
      <c r="F366" s="27"/>
      <c r="G366" s="20"/>
      <c r="H366" s="27"/>
      <c r="I366" s="27"/>
      <c r="J366" s="27"/>
      <c r="K366" s="27"/>
      <c r="L366" s="27"/>
      <c r="M366" s="35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>
      <c r="A367" s="27"/>
      <c r="B367" s="27"/>
      <c r="C367" s="27"/>
      <c r="D367" s="27"/>
      <c r="E367" s="27"/>
      <c r="F367" s="27"/>
      <c r="G367" s="20"/>
      <c r="H367" s="27"/>
      <c r="I367" s="27"/>
      <c r="J367" s="27"/>
      <c r="K367" s="27"/>
      <c r="L367" s="27"/>
      <c r="M367" s="35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>
      <c r="A368" s="27"/>
      <c r="B368" s="27"/>
      <c r="C368" s="27"/>
      <c r="D368" s="27"/>
      <c r="E368" s="27"/>
      <c r="F368" s="27"/>
      <c r="G368" s="20"/>
      <c r="H368" s="27"/>
      <c r="I368" s="27"/>
      <c r="J368" s="27"/>
      <c r="K368" s="27"/>
      <c r="L368" s="27"/>
      <c r="M368" s="35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>
      <c r="A369" s="27"/>
      <c r="B369" s="27"/>
      <c r="C369" s="27"/>
      <c r="D369" s="27"/>
      <c r="E369" s="27"/>
      <c r="F369" s="27"/>
      <c r="G369" s="20"/>
      <c r="H369" s="27"/>
      <c r="I369" s="27"/>
      <c r="J369" s="27"/>
      <c r="K369" s="27"/>
      <c r="L369" s="27"/>
      <c r="M369" s="35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>
      <c r="A370" s="27"/>
      <c r="B370" s="27"/>
      <c r="C370" s="27"/>
      <c r="D370" s="27"/>
      <c r="E370" s="27"/>
      <c r="F370" s="27"/>
      <c r="G370" s="20"/>
      <c r="H370" s="27"/>
      <c r="I370" s="27"/>
      <c r="J370" s="27"/>
      <c r="K370" s="27"/>
      <c r="L370" s="27"/>
      <c r="M370" s="35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>
      <c r="A371" s="27"/>
      <c r="B371" s="27"/>
      <c r="C371" s="27"/>
      <c r="D371" s="27"/>
      <c r="E371" s="27"/>
      <c r="F371" s="27"/>
      <c r="G371" s="20"/>
      <c r="H371" s="27"/>
      <c r="I371" s="27"/>
      <c r="J371" s="27"/>
      <c r="K371" s="27"/>
      <c r="L371" s="27"/>
      <c r="M371" s="35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>
      <c r="A372" s="27"/>
      <c r="B372" s="27"/>
      <c r="C372" s="27"/>
      <c r="D372" s="27"/>
      <c r="E372" s="27"/>
      <c r="F372" s="27"/>
      <c r="G372" s="20"/>
      <c r="H372" s="27"/>
      <c r="I372" s="27"/>
      <c r="J372" s="27"/>
      <c r="K372" s="27"/>
      <c r="L372" s="27"/>
      <c r="M372" s="35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>
      <c r="A373" s="27"/>
      <c r="B373" s="27"/>
      <c r="C373" s="27"/>
      <c r="D373" s="27"/>
      <c r="E373" s="27"/>
      <c r="F373" s="27"/>
      <c r="G373" s="20"/>
      <c r="H373" s="27"/>
      <c r="I373" s="27"/>
      <c r="J373" s="27"/>
      <c r="K373" s="27"/>
      <c r="L373" s="27"/>
      <c r="M373" s="35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>
      <c r="A374" s="27"/>
      <c r="B374" s="27"/>
      <c r="C374" s="27"/>
      <c r="D374" s="27"/>
      <c r="E374" s="27"/>
      <c r="F374" s="27"/>
      <c r="G374" s="20"/>
      <c r="H374" s="27"/>
      <c r="I374" s="27"/>
      <c r="J374" s="27"/>
      <c r="K374" s="27"/>
      <c r="L374" s="27"/>
      <c r="M374" s="35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>
      <c r="A375" s="27"/>
      <c r="B375" s="27"/>
      <c r="C375" s="27"/>
      <c r="D375" s="27"/>
      <c r="E375" s="27"/>
      <c r="F375" s="27"/>
      <c r="G375" s="20"/>
      <c r="H375" s="27"/>
      <c r="I375" s="27"/>
      <c r="J375" s="27"/>
      <c r="K375" s="27"/>
      <c r="L375" s="27"/>
      <c r="M375" s="35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>
      <c r="A376" s="27"/>
      <c r="B376" s="27"/>
      <c r="C376" s="27"/>
      <c r="D376" s="27"/>
      <c r="E376" s="27"/>
      <c r="F376" s="27"/>
      <c r="G376" s="20"/>
      <c r="H376" s="27"/>
      <c r="I376" s="27"/>
      <c r="J376" s="27"/>
      <c r="K376" s="27"/>
      <c r="L376" s="27"/>
      <c r="M376" s="35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>
      <c r="A377" s="27"/>
      <c r="B377" s="27"/>
      <c r="C377" s="27"/>
      <c r="D377" s="27"/>
      <c r="E377" s="27"/>
      <c r="F377" s="27"/>
      <c r="G377" s="20"/>
      <c r="H377" s="27"/>
      <c r="I377" s="27"/>
      <c r="J377" s="27"/>
      <c r="K377" s="27"/>
      <c r="L377" s="27"/>
      <c r="M377" s="35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>
      <c r="A378" s="27"/>
      <c r="B378" s="27"/>
      <c r="C378" s="27"/>
      <c r="D378" s="27"/>
      <c r="E378" s="27"/>
      <c r="F378" s="27"/>
      <c r="G378" s="20"/>
      <c r="H378" s="27"/>
      <c r="I378" s="27"/>
      <c r="J378" s="27"/>
      <c r="K378" s="27"/>
      <c r="L378" s="27"/>
      <c r="M378" s="35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>
      <c r="A379" s="27"/>
      <c r="B379" s="27"/>
      <c r="C379" s="27"/>
      <c r="D379" s="27"/>
      <c r="E379" s="27"/>
      <c r="F379" s="27"/>
      <c r="G379" s="20"/>
      <c r="H379" s="27"/>
      <c r="I379" s="27"/>
      <c r="J379" s="27"/>
      <c r="K379" s="27"/>
      <c r="L379" s="27"/>
      <c r="M379" s="35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>
      <c r="A380" s="27"/>
      <c r="B380" s="27"/>
      <c r="C380" s="27"/>
      <c r="D380" s="27"/>
      <c r="E380" s="27"/>
      <c r="F380" s="27"/>
      <c r="G380" s="20"/>
      <c r="H380" s="27"/>
      <c r="I380" s="27"/>
      <c r="J380" s="27"/>
      <c r="K380" s="27"/>
      <c r="L380" s="27"/>
      <c r="M380" s="35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>
      <c r="A381" s="27"/>
      <c r="B381" s="27"/>
      <c r="C381" s="27"/>
      <c r="D381" s="27"/>
      <c r="E381" s="27"/>
      <c r="F381" s="27"/>
      <c r="G381" s="20"/>
      <c r="H381" s="27"/>
      <c r="I381" s="27"/>
      <c r="J381" s="27"/>
      <c r="K381" s="27"/>
      <c r="L381" s="27"/>
      <c r="M381" s="35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>
      <c r="A382" s="27"/>
      <c r="B382" s="27"/>
      <c r="C382" s="27"/>
      <c r="D382" s="27"/>
      <c r="E382" s="27"/>
      <c r="F382" s="27"/>
      <c r="G382" s="20"/>
      <c r="H382" s="27"/>
      <c r="I382" s="27"/>
      <c r="J382" s="27"/>
      <c r="K382" s="27"/>
      <c r="L382" s="27"/>
      <c r="M382" s="35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>
      <c r="A383" s="27"/>
      <c r="B383" s="27"/>
      <c r="C383" s="27"/>
      <c r="D383" s="27"/>
      <c r="E383" s="27"/>
      <c r="F383" s="27"/>
      <c r="G383" s="20"/>
      <c r="H383" s="27"/>
      <c r="I383" s="27"/>
      <c r="J383" s="27"/>
      <c r="K383" s="27"/>
      <c r="L383" s="27"/>
      <c r="M383" s="35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>
      <c r="A384" s="27"/>
      <c r="B384" s="27"/>
      <c r="C384" s="27"/>
      <c r="D384" s="27"/>
      <c r="E384" s="27"/>
      <c r="F384" s="27"/>
      <c r="G384" s="20"/>
      <c r="H384" s="27"/>
      <c r="I384" s="27"/>
      <c r="J384" s="27"/>
      <c r="K384" s="27"/>
      <c r="L384" s="27"/>
      <c r="M384" s="35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>
      <c r="A385" s="27"/>
      <c r="B385" s="27"/>
      <c r="C385" s="27"/>
      <c r="D385" s="27"/>
      <c r="E385" s="27"/>
      <c r="F385" s="27"/>
      <c r="G385" s="20"/>
      <c r="H385" s="27"/>
      <c r="I385" s="27"/>
      <c r="J385" s="27"/>
      <c r="K385" s="27"/>
      <c r="L385" s="27"/>
      <c r="M385" s="35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>
      <c r="A386" s="27"/>
      <c r="B386" s="27"/>
      <c r="C386" s="27"/>
      <c r="D386" s="27"/>
      <c r="E386" s="27"/>
      <c r="F386" s="27"/>
      <c r="G386" s="20"/>
      <c r="H386" s="27"/>
      <c r="I386" s="27"/>
      <c r="J386" s="27"/>
      <c r="K386" s="27"/>
      <c r="L386" s="27"/>
      <c r="M386" s="35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>
      <c r="A387" s="27"/>
      <c r="B387" s="27"/>
      <c r="C387" s="27"/>
      <c r="D387" s="27"/>
      <c r="E387" s="27"/>
      <c r="F387" s="27"/>
      <c r="G387" s="20"/>
      <c r="H387" s="27"/>
      <c r="I387" s="27"/>
      <c r="J387" s="27"/>
      <c r="K387" s="27"/>
      <c r="L387" s="27"/>
      <c r="M387" s="35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>
      <c r="A388" s="27"/>
      <c r="B388" s="27"/>
      <c r="C388" s="27"/>
      <c r="D388" s="27"/>
      <c r="E388" s="27"/>
      <c r="F388" s="27"/>
      <c r="G388" s="20"/>
      <c r="H388" s="27"/>
      <c r="I388" s="27"/>
      <c r="J388" s="27"/>
      <c r="K388" s="27"/>
      <c r="L388" s="27"/>
      <c r="M388" s="35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>
      <c r="A389" s="27"/>
      <c r="B389" s="27"/>
      <c r="C389" s="27"/>
      <c r="D389" s="27"/>
      <c r="E389" s="27"/>
      <c r="F389" s="27"/>
      <c r="G389" s="20"/>
      <c r="H389" s="27"/>
      <c r="I389" s="27"/>
      <c r="J389" s="27"/>
      <c r="K389" s="27"/>
      <c r="L389" s="27"/>
      <c r="M389" s="35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>
      <c r="A390" s="27"/>
      <c r="B390" s="27"/>
      <c r="C390" s="27"/>
      <c r="D390" s="27"/>
      <c r="E390" s="27"/>
      <c r="F390" s="27"/>
      <c r="G390" s="20"/>
      <c r="H390" s="27"/>
      <c r="I390" s="27"/>
      <c r="J390" s="27"/>
      <c r="K390" s="27"/>
      <c r="L390" s="27"/>
      <c r="M390" s="35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>
      <c r="A391" s="27"/>
      <c r="B391" s="27"/>
      <c r="C391" s="27"/>
      <c r="D391" s="27"/>
      <c r="E391" s="27"/>
      <c r="F391" s="27"/>
      <c r="G391" s="20"/>
      <c r="H391" s="27"/>
      <c r="I391" s="27"/>
      <c r="J391" s="27"/>
      <c r="K391" s="27"/>
      <c r="L391" s="27"/>
      <c r="M391" s="35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>
      <c r="A392" s="27"/>
      <c r="B392" s="27"/>
      <c r="C392" s="27"/>
      <c r="D392" s="27"/>
      <c r="E392" s="27"/>
      <c r="F392" s="27"/>
      <c r="G392" s="20"/>
      <c r="H392" s="27"/>
      <c r="I392" s="27"/>
      <c r="J392" s="27"/>
      <c r="K392" s="27"/>
      <c r="L392" s="27"/>
      <c r="M392" s="35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>
      <c r="A393" s="27"/>
      <c r="B393" s="27"/>
      <c r="C393" s="27"/>
      <c r="D393" s="27"/>
      <c r="E393" s="27"/>
      <c r="F393" s="27"/>
      <c r="G393" s="20"/>
      <c r="H393" s="27"/>
      <c r="I393" s="27"/>
      <c r="J393" s="27"/>
      <c r="K393" s="27"/>
      <c r="L393" s="27"/>
      <c r="M393" s="35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>
      <c r="A394" s="27"/>
      <c r="B394" s="27"/>
      <c r="C394" s="27"/>
      <c r="D394" s="27"/>
      <c r="E394" s="27"/>
      <c r="F394" s="27"/>
      <c r="G394" s="20"/>
      <c r="H394" s="27"/>
      <c r="I394" s="27"/>
      <c r="J394" s="27"/>
      <c r="K394" s="27"/>
      <c r="L394" s="27"/>
      <c r="M394" s="35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>
      <c r="A395" s="27"/>
      <c r="B395" s="27"/>
      <c r="C395" s="27"/>
      <c r="D395" s="27"/>
      <c r="E395" s="27"/>
      <c r="F395" s="27"/>
      <c r="G395" s="20"/>
      <c r="H395" s="27"/>
      <c r="I395" s="27"/>
      <c r="J395" s="27"/>
      <c r="K395" s="27"/>
      <c r="L395" s="27"/>
      <c r="M395" s="35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>
      <c r="A396" s="27"/>
      <c r="B396" s="27"/>
      <c r="C396" s="27"/>
      <c r="D396" s="27"/>
      <c r="E396" s="27"/>
      <c r="F396" s="27"/>
      <c r="G396" s="20"/>
      <c r="H396" s="27"/>
      <c r="I396" s="27"/>
      <c r="J396" s="27"/>
      <c r="K396" s="27"/>
      <c r="L396" s="27"/>
      <c r="M396" s="35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>
      <c r="A397" s="27"/>
      <c r="B397" s="27"/>
      <c r="C397" s="27"/>
      <c r="D397" s="27"/>
      <c r="E397" s="27"/>
      <c r="F397" s="27"/>
      <c r="G397" s="20"/>
      <c r="H397" s="27"/>
      <c r="I397" s="27"/>
      <c r="J397" s="27"/>
      <c r="K397" s="27"/>
      <c r="L397" s="27"/>
      <c r="M397" s="35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>
      <c r="A398" s="27"/>
      <c r="B398" s="27"/>
      <c r="C398" s="27"/>
      <c r="D398" s="27"/>
      <c r="E398" s="27"/>
      <c r="F398" s="27"/>
      <c r="G398" s="20"/>
      <c r="H398" s="27"/>
      <c r="I398" s="27"/>
      <c r="J398" s="27"/>
      <c r="K398" s="27"/>
      <c r="L398" s="27"/>
      <c r="M398" s="35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>
      <c r="A399" s="27"/>
      <c r="B399" s="27"/>
      <c r="C399" s="27"/>
      <c r="D399" s="27"/>
      <c r="E399" s="27"/>
      <c r="F399" s="27"/>
      <c r="G399" s="20"/>
      <c r="H399" s="27"/>
      <c r="I399" s="27"/>
      <c r="J399" s="27"/>
      <c r="K399" s="27"/>
      <c r="L399" s="27"/>
      <c r="M399" s="35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>
      <c r="A400" s="27"/>
      <c r="B400" s="27"/>
      <c r="C400" s="27"/>
      <c r="D400" s="27"/>
      <c r="E400" s="27"/>
      <c r="F400" s="27"/>
      <c r="G400" s="20"/>
      <c r="H400" s="27"/>
      <c r="I400" s="27"/>
      <c r="J400" s="27"/>
      <c r="K400" s="27"/>
      <c r="L400" s="27"/>
      <c r="M400" s="35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>
      <c r="A401" s="27"/>
      <c r="B401" s="27"/>
      <c r="C401" s="27"/>
      <c r="D401" s="27"/>
      <c r="E401" s="27"/>
      <c r="F401" s="27"/>
      <c r="G401" s="20"/>
      <c r="H401" s="27"/>
      <c r="I401" s="27"/>
      <c r="J401" s="27"/>
      <c r="K401" s="27"/>
      <c r="L401" s="27"/>
      <c r="M401" s="35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>
      <c r="A402" s="27"/>
      <c r="B402" s="27"/>
      <c r="C402" s="27"/>
      <c r="D402" s="27"/>
      <c r="E402" s="27"/>
      <c r="F402" s="27"/>
      <c r="G402" s="20"/>
      <c r="H402" s="27"/>
      <c r="I402" s="27"/>
      <c r="J402" s="27"/>
      <c r="K402" s="27"/>
      <c r="L402" s="27"/>
      <c r="M402" s="35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>
      <c r="A403" s="27"/>
      <c r="B403" s="27"/>
      <c r="C403" s="27"/>
      <c r="D403" s="27"/>
      <c r="E403" s="27"/>
      <c r="F403" s="27"/>
      <c r="G403" s="20"/>
      <c r="H403" s="27"/>
      <c r="I403" s="27"/>
      <c r="J403" s="27"/>
      <c r="K403" s="27"/>
      <c r="L403" s="27"/>
      <c r="M403" s="35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>
      <c r="A404" s="27"/>
      <c r="B404" s="27"/>
      <c r="C404" s="27"/>
      <c r="D404" s="27"/>
      <c r="E404" s="27"/>
      <c r="F404" s="27"/>
      <c r="G404" s="20"/>
      <c r="H404" s="27"/>
      <c r="I404" s="27"/>
      <c r="J404" s="27"/>
      <c r="K404" s="27"/>
      <c r="L404" s="27"/>
      <c r="M404" s="35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>
      <c r="A405" s="27"/>
      <c r="B405" s="27"/>
      <c r="C405" s="27"/>
      <c r="D405" s="27"/>
      <c r="E405" s="27"/>
      <c r="F405" s="27"/>
      <c r="G405" s="20"/>
      <c r="H405" s="27"/>
      <c r="I405" s="27"/>
      <c r="J405" s="27"/>
      <c r="K405" s="27"/>
      <c r="L405" s="27"/>
      <c r="M405" s="35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>
      <c r="A406" s="27"/>
      <c r="B406" s="27"/>
      <c r="C406" s="27"/>
      <c r="D406" s="27"/>
      <c r="E406" s="27"/>
      <c r="F406" s="27"/>
      <c r="G406" s="20"/>
      <c r="H406" s="27"/>
      <c r="I406" s="27"/>
      <c r="J406" s="27"/>
      <c r="K406" s="27"/>
      <c r="L406" s="27"/>
      <c r="M406" s="35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>
      <c r="A407" s="27"/>
      <c r="B407" s="27"/>
      <c r="C407" s="27"/>
      <c r="D407" s="27"/>
      <c r="E407" s="27"/>
      <c r="F407" s="27"/>
      <c r="G407" s="20"/>
      <c r="H407" s="27"/>
      <c r="I407" s="27"/>
      <c r="J407" s="27"/>
      <c r="K407" s="27"/>
      <c r="L407" s="27"/>
      <c r="M407" s="35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>
      <c r="A408" s="27"/>
      <c r="B408" s="27"/>
      <c r="C408" s="27"/>
      <c r="D408" s="27"/>
      <c r="E408" s="27"/>
      <c r="F408" s="27"/>
      <c r="G408" s="20"/>
      <c r="H408" s="27"/>
      <c r="I408" s="27"/>
      <c r="J408" s="27"/>
      <c r="K408" s="27"/>
      <c r="L408" s="27"/>
      <c r="M408" s="35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>
      <c r="A409" s="27"/>
      <c r="B409" s="27"/>
      <c r="C409" s="27"/>
      <c r="D409" s="27"/>
      <c r="E409" s="27"/>
      <c r="F409" s="27"/>
      <c r="G409" s="20"/>
      <c r="H409" s="27"/>
      <c r="I409" s="27"/>
      <c r="J409" s="27"/>
      <c r="K409" s="27"/>
      <c r="L409" s="27"/>
      <c r="M409" s="35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>
      <c r="A410" s="27"/>
      <c r="B410" s="27"/>
      <c r="C410" s="27"/>
      <c r="D410" s="27"/>
      <c r="E410" s="27"/>
      <c r="F410" s="27"/>
      <c r="G410" s="20"/>
      <c r="H410" s="27"/>
      <c r="I410" s="27"/>
      <c r="J410" s="27"/>
      <c r="K410" s="27"/>
      <c r="L410" s="27"/>
      <c r="M410" s="35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>
      <c r="A411" s="27"/>
      <c r="B411" s="27"/>
      <c r="C411" s="27"/>
      <c r="D411" s="27"/>
      <c r="E411" s="27"/>
      <c r="F411" s="27"/>
      <c r="G411" s="20"/>
      <c r="H411" s="27"/>
      <c r="I411" s="27"/>
      <c r="J411" s="27"/>
      <c r="K411" s="27"/>
      <c r="L411" s="27"/>
      <c r="M411" s="35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>
      <c r="A412" s="27"/>
      <c r="B412" s="27"/>
      <c r="C412" s="27"/>
      <c r="D412" s="27"/>
      <c r="E412" s="27"/>
      <c r="F412" s="27"/>
      <c r="G412" s="20"/>
      <c r="H412" s="27"/>
      <c r="I412" s="27"/>
      <c r="J412" s="27"/>
      <c r="K412" s="27"/>
      <c r="L412" s="27"/>
      <c r="M412" s="35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>
      <c r="A413" s="27"/>
      <c r="B413" s="27"/>
      <c r="C413" s="27"/>
      <c r="D413" s="27"/>
      <c r="E413" s="27"/>
      <c r="F413" s="27"/>
      <c r="G413" s="20"/>
      <c r="H413" s="27"/>
      <c r="I413" s="27"/>
      <c r="J413" s="27"/>
      <c r="K413" s="27"/>
      <c r="L413" s="27"/>
      <c r="M413" s="35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>
      <c r="A414" s="27"/>
      <c r="B414" s="27"/>
      <c r="C414" s="27"/>
      <c r="D414" s="27"/>
      <c r="E414" s="27"/>
      <c r="F414" s="27"/>
      <c r="G414" s="20"/>
      <c r="H414" s="27"/>
      <c r="I414" s="27"/>
      <c r="J414" s="27"/>
      <c r="K414" s="27"/>
      <c r="L414" s="27"/>
      <c r="M414" s="35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>
      <c r="A415" s="27"/>
      <c r="B415" s="27"/>
      <c r="C415" s="27"/>
      <c r="D415" s="27"/>
      <c r="E415" s="27"/>
      <c r="F415" s="27"/>
      <c r="G415" s="20"/>
      <c r="H415" s="27"/>
      <c r="I415" s="27"/>
      <c r="J415" s="27"/>
      <c r="K415" s="27"/>
      <c r="L415" s="27"/>
      <c r="M415" s="35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>
      <c r="A416" s="27"/>
      <c r="B416" s="27"/>
      <c r="C416" s="27"/>
      <c r="D416" s="27"/>
      <c r="E416" s="27"/>
      <c r="F416" s="27"/>
      <c r="G416" s="20"/>
      <c r="H416" s="27"/>
      <c r="I416" s="27"/>
      <c r="J416" s="27"/>
      <c r="K416" s="27"/>
      <c r="L416" s="27"/>
      <c r="M416" s="35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>
      <c r="A417" s="27"/>
      <c r="B417" s="27"/>
      <c r="C417" s="27"/>
      <c r="D417" s="27"/>
      <c r="E417" s="27"/>
      <c r="F417" s="27"/>
      <c r="G417" s="20"/>
      <c r="H417" s="27"/>
      <c r="I417" s="27"/>
      <c r="J417" s="27"/>
      <c r="K417" s="27"/>
      <c r="L417" s="27"/>
      <c r="M417" s="35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>
      <c r="A418" s="27"/>
      <c r="B418" s="27"/>
      <c r="C418" s="27"/>
      <c r="D418" s="27"/>
      <c r="E418" s="27"/>
      <c r="F418" s="27"/>
      <c r="G418" s="20"/>
      <c r="H418" s="27"/>
      <c r="I418" s="27"/>
      <c r="J418" s="27"/>
      <c r="K418" s="27"/>
      <c r="L418" s="27"/>
      <c r="M418" s="35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>
      <c r="A419" s="27"/>
      <c r="B419" s="27"/>
      <c r="C419" s="27"/>
      <c r="D419" s="27"/>
      <c r="E419" s="27"/>
      <c r="F419" s="27"/>
      <c r="G419" s="20"/>
      <c r="H419" s="27"/>
      <c r="I419" s="27"/>
      <c r="J419" s="27"/>
      <c r="K419" s="27"/>
      <c r="L419" s="27"/>
      <c r="M419" s="35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>
      <c r="A420" s="27"/>
      <c r="B420" s="27"/>
      <c r="C420" s="27"/>
      <c r="D420" s="27"/>
      <c r="E420" s="27"/>
      <c r="F420" s="27"/>
      <c r="G420" s="20"/>
      <c r="H420" s="27"/>
      <c r="I420" s="27"/>
      <c r="J420" s="27"/>
      <c r="K420" s="27"/>
      <c r="L420" s="27"/>
      <c r="M420" s="35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>
      <c r="A421" s="27"/>
      <c r="B421" s="27"/>
      <c r="C421" s="27"/>
      <c r="D421" s="27"/>
      <c r="E421" s="27"/>
      <c r="F421" s="27"/>
      <c r="G421" s="20"/>
      <c r="H421" s="27"/>
      <c r="I421" s="27"/>
      <c r="J421" s="27"/>
      <c r="K421" s="27"/>
      <c r="L421" s="27"/>
      <c r="M421" s="35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>
      <c r="A422" s="27"/>
      <c r="B422" s="27"/>
      <c r="C422" s="27"/>
      <c r="D422" s="27"/>
      <c r="E422" s="27"/>
      <c r="F422" s="27"/>
      <c r="G422" s="20"/>
      <c r="H422" s="27"/>
      <c r="I422" s="27"/>
      <c r="J422" s="27"/>
      <c r="K422" s="27"/>
      <c r="L422" s="27"/>
      <c r="M422" s="35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>
      <c r="A423" s="27"/>
      <c r="B423" s="27"/>
      <c r="C423" s="27"/>
      <c r="D423" s="27"/>
      <c r="E423" s="27"/>
      <c r="F423" s="27"/>
      <c r="G423" s="20"/>
      <c r="H423" s="27"/>
      <c r="I423" s="27"/>
      <c r="J423" s="27"/>
      <c r="K423" s="27"/>
      <c r="L423" s="27"/>
      <c r="M423" s="35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>
      <c r="A424" s="27"/>
      <c r="B424" s="27"/>
      <c r="C424" s="27"/>
      <c r="D424" s="27"/>
      <c r="E424" s="27"/>
      <c r="F424" s="27"/>
      <c r="G424" s="20"/>
      <c r="H424" s="27"/>
      <c r="I424" s="27"/>
      <c r="J424" s="27"/>
      <c r="K424" s="27"/>
      <c r="L424" s="27"/>
      <c r="M424" s="35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>
      <c r="A425" s="27"/>
      <c r="B425" s="27"/>
      <c r="C425" s="27"/>
      <c r="D425" s="27"/>
      <c r="E425" s="27"/>
      <c r="F425" s="27"/>
      <c r="G425" s="20"/>
      <c r="H425" s="27"/>
      <c r="I425" s="27"/>
      <c r="J425" s="27"/>
      <c r="K425" s="27"/>
      <c r="L425" s="27"/>
      <c r="M425" s="35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>
      <c r="A426" s="27"/>
      <c r="B426" s="27"/>
      <c r="C426" s="27"/>
      <c r="D426" s="27"/>
      <c r="E426" s="27"/>
      <c r="F426" s="27"/>
      <c r="G426" s="20"/>
      <c r="H426" s="27"/>
      <c r="I426" s="27"/>
      <c r="J426" s="27"/>
      <c r="K426" s="27"/>
      <c r="L426" s="27"/>
      <c r="M426" s="35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>
      <c r="A427" s="27"/>
      <c r="B427" s="27"/>
      <c r="C427" s="27"/>
      <c r="D427" s="27"/>
      <c r="E427" s="27"/>
      <c r="F427" s="27"/>
      <c r="G427" s="20"/>
      <c r="H427" s="27"/>
      <c r="I427" s="27"/>
      <c r="J427" s="27"/>
      <c r="K427" s="27"/>
      <c r="L427" s="27"/>
      <c r="M427" s="35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>
      <c r="A428" s="27"/>
      <c r="B428" s="27"/>
      <c r="C428" s="27"/>
      <c r="D428" s="27"/>
      <c r="E428" s="27"/>
      <c r="F428" s="27"/>
      <c r="G428" s="20"/>
      <c r="H428" s="27"/>
      <c r="I428" s="27"/>
      <c r="J428" s="27"/>
      <c r="K428" s="27"/>
      <c r="L428" s="27"/>
      <c r="M428" s="35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>
      <c r="A429" s="27"/>
      <c r="B429" s="27"/>
      <c r="C429" s="27"/>
      <c r="D429" s="27"/>
      <c r="E429" s="27"/>
      <c r="F429" s="27"/>
      <c r="G429" s="20"/>
      <c r="H429" s="27"/>
      <c r="I429" s="27"/>
      <c r="J429" s="27"/>
      <c r="K429" s="27"/>
      <c r="L429" s="27"/>
      <c r="M429" s="35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>
      <c r="A430" s="27"/>
      <c r="B430" s="27"/>
      <c r="C430" s="27"/>
      <c r="D430" s="27"/>
      <c r="E430" s="27"/>
      <c r="F430" s="27"/>
      <c r="G430" s="20"/>
      <c r="H430" s="27"/>
      <c r="I430" s="27"/>
      <c r="J430" s="27"/>
      <c r="K430" s="27"/>
      <c r="L430" s="27"/>
      <c r="M430" s="35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>
      <c r="A431" s="27"/>
      <c r="B431" s="27"/>
      <c r="C431" s="27"/>
      <c r="D431" s="27"/>
      <c r="E431" s="27"/>
      <c r="F431" s="27"/>
      <c r="G431" s="20"/>
      <c r="H431" s="27"/>
      <c r="I431" s="27"/>
      <c r="J431" s="27"/>
      <c r="K431" s="27"/>
      <c r="L431" s="27"/>
      <c r="M431" s="35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>
      <c r="A432" s="27"/>
      <c r="B432" s="27"/>
      <c r="C432" s="27"/>
      <c r="D432" s="27"/>
      <c r="E432" s="27"/>
      <c r="F432" s="27"/>
      <c r="G432" s="20"/>
      <c r="H432" s="27"/>
      <c r="I432" s="27"/>
      <c r="J432" s="27"/>
      <c r="K432" s="27"/>
      <c r="L432" s="27"/>
      <c r="M432" s="35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>
      <c r="A433" s="27"/>
      <c r="B433" s="27"/>
      <c r="C433" s="27"/>
      <c r="D433" s="27"/>
      <c r="E433" s="27"/>
      <c r="F433" s="27"/>
      <c r="G433" s="20"/>
      <c r="H433" s="27"/>
      <c r="I433" s="27"/>
      <c r="J433" s="27"/>
      <c r="K433" s="27"/>
      <c r="L433" s="27"/>
      <c r="M433" s="35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>
      <c r="A434" s="27"/>
      <c r="B434" s="27"/>
      <c r="C434" s="27"/>
      <c r="D434" s="27"/>
      <c r="E434" s="27"/>
      <c r="F434" s="27"/>
      <c r="G434" s="20"/>
      <c r="H434" s="27"/>
      <c r="I434" s="27"/>
      <c r="J434" s="27"/>
      <c r="K434" s="27"/>
      <c r="L434" s="27"/>
      <c r="M434" s="35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>
      <c r="A435" s="27"/>
      <c r="B435" s="27"/>
      <c r="C435" s="27"/>
      <c r="D435" s="27"/>
      <c r="E435" s="27"/>
      <c r="F435" s="27"/>
      <c r="G435" s="20"/>
      <c r="H435" s="27"/>
      <c r="I435" s="27"/>
      <c r="J435" s="27"/>
      <c r="K435" s="27"/>
      <c r="L435" s="27"/>
      <c r="M435" s="35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>
      <c r="A436" s="27"/>
      <c r="B436" s="27"/>
      <c r="C436" s="27"/>
      <c r="D436" s="27"/>
      <c r="E436" s="27"/>
      <c r="F436" s="27"/>
      <c r="G436" s="20"/>
      <c r="H436" s="27"/>
      <c r="I436" s="27"/>
      <c r="J436" s="27"/>
      <c r="K436" s="27"/>
      <c r="L436" s="27"/>
      <c r="M436" s="35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>
      <c r="A437" s="27"/>
      <c r="B437" s="27"/>
      <c r="C437" s="27"/>
      <c r="D437" s="27"/>
      <c r="E437" s="27"/>
      <c r="F437" s="27"/>
      <c r="G437" s="20"/>
      <c r="H437" s="27"/>
      <c r="I437" s="27"/>
      <c r="J437" s="27"/>
      <c r="K437" s="27"/>
      <c r="L437" s="27"/>
      <c r="M437" s="35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>
      <c r="A438" s="27"/>
      <c r="B438" s="27"/>
      <c r="C438" s="27"/>
      <c r="D438" s="27"/>
      <c r="E438" s="27"/>
      <c r="F438" s="27"/>
      <c r="G438" s="20"/>
      <c r="H438" s="27"/>
      <c r="I438" s="27"/>
      <c r="J438" s="27"/>
      <c r="K438" s="27"/>
      <c r="L438" s="27"/>
      <c r="M438" s="35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>
      <c r="A439" s="27"/>
      <c r="B439" s="27"/>
      <c r="C439" s="27"/>
      <c r="D439" s="27"/>
      <c r="E439" s="27"/>
      <c r="F439" s="27"/>
      <c r="G439" s="20"/>
      <c r="H439" s="27"/>
      <c r="I439" s="27"/>
      <c r="J439" s="27"/>
      <c r="K439" s="27"/>
      <c r="L439" s="27"/>
      <c r="M439" s="35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>
      <c r="A440" s="27"/>
      <c r="B440" s="27"/>
      <c r="C440" s="27"/>
      <c r="D440" s="27"/>
      <c r="E440" s="27"/>
      <c r="F440" s="27"/>
      <c r="G440" s="20"/>
      <c r="H440" s="27"/>
      <c r="I440" s="27"/>
      <c r="J440" s="27"/>
      <c r="K440" s="27"/>
      <c r="L440" s="27"/>
      <c r="M440" s="35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>
      <c r="A441" s="27"/>
      <c r="B441" s="27"/>
      <c r="C441" s="27"/>
      <c r="D441" s="27"/>
      <c r="E441" s="27"/>
      <c r="F441" s="27"/>
      <c r="G441" s="20"/>
      <c r="H441" s="27"/>
      <c r="I441" s="27"/>
      <c r="J441" s="27"/>
      <c r="K441" s="27"/>
      <c r="L441" s="27"/>
      <c r="M441" s="35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>
      <c r="A442" s="27"/>
      <c r="B442" s="27"/>
      <c r="C442" s="27"/>
      <c r="D442" s="27"/>
      <c r="E442" s="27"/>
      <c r="F442" s="27"/>
      <c r="G442" s="20"/>
      <c r="H442" s="27"/>
      <c r="I442" s="27"/>
      <c r="J442" s="27"/>
      <c r="K442" s="27"/>
      <c r="L442" s="27"/>
      <c r="M442" s="35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>
      <c r="A443" s="27"/>
      <c r="B443" s="27"/>
      <c r="C443" s="27"/>
      <c r="D443" s="27"/>
      <c r="E443" s="27"/>
      <c r="F443" s="27"/>
      <c r="G443" s="20"/>
      <c r="H443" s="27"/>
      <c r="I443" s="27"/>
      <c r="J443" s="27"/>
      <c r="K443" s="27"/>
      <c r="L443" s="27"/>
      <c r="M443" s="35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>
      <c r="A444" s="27"/>
      <c r="B444" s="27"/>
      <c r="C444" s="27"/>
      <c r="D444" s="27"/>
      <c r="E444" s="27"/>
      <c r="F444" s="27"/>
      <c r="G444" s="20"/>
      <c r="H444" s="27"/>
      <c r="I444" s="27"/>
      <c r="J444" s="27"/>
      <c r="K444" s="27"/>
      <c r="L444" s="27"/>
      <c r="M444" s="35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>
      <c r="A445" s="27"/>
      <c r="B445" s="27"/>
      <c r="C445" s="27"/>
      <c r="D445" s="27"/>
      <c r="E445" s="27"/>
      <c r="F445" s="27"/>
      <c r="G445" s="20"/>
      <c r="H445" s="27"/>
      <c r="I445" s="27"/>
      <c r="J445" s="27"/>
      <c r="K445" s="27"/>
      <c r="L445" s="27"/>
      <c r="M445" s="35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>
      <c r="A446" s="27"/>
      <c r="B446" s="27"/>
      <c r="C446" s="27"/>
      <c r="D446" s="27"/>
      <c r="E446" s="27"/>
      <c r="F446" s="27"/>
      <c r="G446" s="20"/>
      <c r="H446" s="27"/>
      <c r="I446" s="27"/>
      <c r="J446" s="27"/>
      <c r="K446" s="27"/>
      <c r="L446" s="27"/>
      <c r="M446" s="35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>
      <c r="A447" s="27"/>
      <c r="B447" s="27"/>
      <c r="C447" s="27"/>
      <c r="D447" s="27"/>
      <c r="E447" s="27"/>
      <c r="F447" s="27"/>
      <c r="G447" s="20"/>
      <c r="H447" s="27"/>
      <c r="I447" s="27"/>
      <c r="J447" s="27"/>
      <c r="K447" s="27"/>
      <c r="L447" s="27"/>
      <c r="M447" s="35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>
      <c r="A448" s="27"/>
      <c r="B448" s="27"/>
      <c r="C448" s="27"/>
      <c r="D448" s="27"/>
      <c r="E448" s="27"/>
      <c r="F448" s="27"/>
      <c r="G448" s="20"/>
      <c r="H448" s="27"/>
      <c r="I448" s="27"/>
      <c r="J448" s="27"/>
      <c r="K448" s="27"/>
      <c r="L448" s="27"/>
      <c r="M448" s="35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>
      <c r="A449" s="27"/>
      <c r="B449" s="27"/>
      <c r="C449" s="27"/>
      <c r="D449" s="27"/>
      <c r="E449" s="27"/>
      <c r="F449" s="27"/>
      <c r="G449" s="20"/>
      <c r="H449" s="27"/>
      <c r="I449" s="27"/>
      <c r="J449" s="27"/>
      <c r="K449" s="27"/>
      <c r="L449" s="27"/>
      <c r="M449" s="35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>
      <c r="A450" s="27"/>
      <c r="B450" s="27"/>
      <c r="C450" s="27"/>
      <c r="D450" s="27"/>
      <c r="E450" s="27"/>
      <c r="F450" s="27"/>
      <c r="G450" s="20"/>
      <c r="H450" s="27"/>
      <c r="I450" s="27"/>
      <c r="J450" s="27"/>
      <c r="K450" s="27"/>
      <c r="L450" s="27"/>
      <c r="M450" s="35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>
      <c r="A451" s="27"/>
      <c r="B451" s="27"/>
      <c r="C451" s="27"/>
      <c r="D451" s="27"/>
      <c r="E451" s="27"/>
      <c r="F451" s="27"/>
      <c r="G451" s="20"/>
      <c r="H451" s="27"/>
      <c r="I451" s="27"/>
      <c r="J451" s="27"/>
      <c r="K451" s="27"/>
      <c r="L451" s="27"/>
      <c r="M451" s="35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>
      <c r="A452" s="27"/>
      <c r="B452" s="27"/>
      <c r="C452" s="27"/>
      <c r="D452" s="27"/>
      <c r="E452" s="27"/>
      <c r="F452" s="27"/>
      <c r="G452" s="20"/>
      <c r="H452" s="27"/>
      <c r="I452" s="27"/>
      <c r="J452" s="27"/>
      <c r="K452" s="27"/>
      <c r="L452" s="27"/>
      <c r="M452" s="35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>
      <c r="A453" s="27"/>
      <c r="B453" s="27"/>
      <c r="C453" s="27"/>
      <c r="D453" s="27"/>
      <c r="E453" s="27"/>
      <c r="F453" s="27"/>
      <c r="G453" s="20"/>
      <c r="H453" s="27"/>
      <c r="I453" s="27"/>
      <c r="J453" s="27"/>
      <c r="K453" s="27"/>
      <c r="L453" s="27"/>
      <c r="M453" s="35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>
      <c r="A454" s="27"/>
      <c r="B454" s="27"/>
      <c r="C454" s="27"/>
      <c r="D454" s="27"/>
      <c r="E454" s="27"/>
      <c r="F454" s="27"/>
      <c r="G454" s="20"/>
      <c r="H454" s="27"/>
      <c r="I454" s="27"/>
      <c r="J454" s="27"/>
      <c r="K454" s="27"/>
      <c r="L454" s="27"/>
      <c r="M454" s="35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>
      <c r="A455" s="27"/>
      <c r="B455" s="27"/>
      <c r="C455" s="27"/>
      <c r="D455" s="27"/>
      <c r="E455" s="27"/>
      <c r="F455" s="27"/>
      <c r="G455" s="20"/>
      <c r="H455" s="27"/>
      <c r="I455" s="27"/>
      <c r="J455" s="27"/>
      <c r="K455" s="27"/>
      <c r="L455" s="27"/>
      <c r="M455" s="35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>
      <c r="A456" s="27"/>
      <c r="B456" s="27"/>
      <c r="C456" s="27"/>
      <c r="D456" s="27"/>
      <c r="E456" s="27"/>
      <c r="F456" s="27"/>
      <c r="G456" s="20"/>
      <c r="H456" s="27"/>
      <c r="I456" s="27"/>
      <c r="J456" s="27"/>
      <c r="K456" s="27"/>
      <c r="L456" s="27"/>
      <c r="M456" s="35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>
      <c r="A457" s="27"/>
      <c r="B457" s="27"/>
      <c r="C457" s="27"/>
      <c r="D457" s="27"/>
      <c r="E457" s="27"/>
      <c r="F457" s="27"/>
      <c r="G457" s="20"/>
      <c r="H457" s="27"/>
      <c r="I457" s="27"/>
      <c r="J457" s="27"/>
      <c r="K457" s="27"/>
      <c r="L457" s="27"/>
      <c r="M457" s="35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>
      <c r="A458" s="27"/>
      <c r="B458" s="27"/>
      <c r="C458" s="27"/>
      <c r="D458" s="27"/>
      <c r="E458" s="27"/>
      <c r="F458" s="27"/>
      <c r="G458" s="20"/>
      <c r="H458" s="27"/>
      <c r="I458" s="27"/>
      <c r="J458" s="27"/>
      <c r="K458" s="27"/>
      <c r="L458" s="27"/>
      <c r="M458" s="35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>
      <c r="A459" s="27"/>
      <c r="B459" s="27"/>
      <c r="C459" s="27"/>
      <c r="D459" s="27"/>
      <c r="E459" s="27"/>
      <c r="F459" s="27"/>
      <c r="G459" s="20"/>
      <c r="H459" s="27"/>
      <c r="I459" s="27"/>
      <c r="J459" s="27"/>
      <c r="K459" s="27"/>
      <c r="L459" s="27"/>
      <c r="M459" s="35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>
      <c r="A460" s="27"/>
      <c r="B460" s="27"/>
      <c r="C460" s="27"/>
      <c r="D460" s="27"/>
      <c r="E460" s="27"/>
      <c r="F460" s="27"/>
      <c r="G460" s="20"/>
      <c r="H460" s="27"/>
      <c r="I460" s="27"/>
      <c r="J460" s="27"/>
      <c r="K460" s="27"/>
      <c r="L460" s="27"/>
      <c r="M460" s="35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>
      <c r="A461" s="27"/>
      <c r="B461" s="27"/>
      <c r="C461" s="27"/>
      <c r="D461" s="27"/>
      <c r="E461" s="27"/>
      <c r="F461" s="27"/>
      <c r="G461" s="20"/>
      <c r="H461" s="27"/>
      <c r="I461" s="27"/>
      <c r="J461" s="27"/>
      <c r="K461" s="27"/>
      <c r="L461" s="27"/>
      <c r="M461" s="35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>
      <c r="A462" s="27"/>
      <c r="B462" s="27"/>
      <c r="C462" s="27"/>
      <c r="D462" s="27"/>
      <c r="E462" s="27"/>
      <c r="F462" s="27"/>
      <c r="G462" s="20"/>
      <c r="H462" s="27"/>
      <c r="I462" s="27"/>
      <c r="J462" s="27"/>
      <c r="K462" s="27"/>
      <c r="L462" s="27"/>
      <c r="M462" s="35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>
      <c r="A463" s="27"/>
      <c r="B463" s="27"/>
      <c r="C463" s="27"/>
      <c r="D463" s="27"/>
      <c r="E463" s="27"/>
      <c r="F463" s="27"/>
      <c r="G463" s="20"/>
      <c r="H463" s="27"/>
      <c r="I463" s="27"/>
      <c r="J463" s="27"/>
      <c r="K463" s="27"/>
      <c r="L463" s="27"/>
      <c r="M463" s="35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>
      <c r="A464" s="27"/>
      <c r="B464" s="27"/>
      <c r="C464" s="27"/>
      <c r="D464" s="27"/>
      <c r="E464" s="27"/>
      <c r="F464" s="27"/>
      <c r="G464" s="20"/>
      <c r="H464" s="27"/>
      <c r="I464" s="27"/>
      <c r="J464" s="27"/>
      <c r="K464" s="27"/>
      <c r="L464" s="27"/>
      <c r="M464" s="35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>
      <c r="A465" s="27"/>
      <c r="B465" s="27"/>
      <c r="C465" s="27"/>
      <c r="D465" s="27"/>
      <c r="E465" s="27"/>
      <c r="F465" s="27"/>
      <c r="G465" s="20"/>
      <c r="H465" s="27"/>
      <c r="I465" s="27"/>
      <c r="J465" s="27"/>
      <c r="K465" s="27"/>
      <c r="L465" s="27"/>
      <c r="M465" s="35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>
      <c r="A466" s="27"/>
      <c r="B466" s="27"/>
      <c r="C466" s="27"/>
      <c r="D466" s="27"/>
      <c r="E466" s="27"/>
      <c r="F466" s="27"/>
      <c r="G466" s="20"/>
      <c r="H466" s="27"/>
      <c r="I466" s="27"/>
      <c r="J466" s="27"/>
      <c r="K466" s="27"/>
      <c r="L466" s="27"/>
      <c r="M466" s="35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>
      <c r="A467" s="27"/>
      <c r="B467" s="27"/>
      <c r="C467" s="27"/>
      <c r="D467" s="27"/>
      <c r="E467" s="27"/>
      <c r="F467" s="27"/>
      <c r="G467" s="20"/>
      <c r="H467" s="27"/>
      <c r="I467" s="27"/>
      <c r="J467" s="27"/>
      <c r="K467" s="27"/>
      <c r="L467" s="27"/>
      <c r="M467" s="35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>
      <c r="A468" s="27"/>
      <c r="B468" s="27"/>
      <c r="C468" s="27"/>
      <c r="D468" s="27"/>
      <c r="E468" s="27"/>
      <c r="F468" s="27"/>
      <c r="G468" s="20"/>
      <c r="H468" s="27"/>
      <c r="I468" s="27"/>
      <c r="J468" s="27"/>
      <c r="K468" s="27"/>
      <c r="L468" s="27"/>
      <c r="M468" s="35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>
      <c r="A469" s="27"/>
      <c r="B469" s="27"/>
      <c r="C469" s="27"/>
      <c r="D469" s="27"/>
      <c r="E469" s="27"/>
      <c r="F469" s="27"/>
      <c r="G469" s="20"/>
      <c r="H469" s="27"/>
      <c r="I469" s="27"/>
      <c r="J469" s="27"/>
      <c r="K469" s="27"/>
      <c r="L469" s="27"/>
      <c r="M469" s="35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>
      <c r="A470" s="27"/>
      <c r="B470" s="27"/>
      <c r="C470" s="27"/>
      <c r="D470" s="27"/>
      <c r="E470" s="27"/>
      <c r="F470" s="27"/>
      <c r="G470" s="20"/>
      <c r="H470" s="27"/>
      <c r="I470" s="27"/>
      <c r="J470" s="27"/>
      <c r="K470" s="27"/>
      <c r="L470" s="27"/>
      <c r="M470" s="35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>
      <c r="A471" s="27"/>
      <c r="B471" s="27"/>
      <c r="C471" s="27"/>
      <c r="D471" s="27"/>
      <c r="E471" s="27"/>
      <c r="F471" s="27"/>
      <c r="G471" s="20"/>
      <c r="H471" s="27"/>
      <c r="I471" s="27"/>
      <c r="J471" s="27"/>
      <c r="K471" s="27"/>
      <c r="L471" s="27"/>
      <c r="M471" s="35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>
      <c r="A472" s="27"/>
      <c r="B472" s="27"/>
      <c r="C472" s="27"/>
      <c r="D472" s="27"/>
      <c r="E472" s="27"/>
      <c r="F472" s="27"/>
      <c r="G472" s="20"/>
      <c r="H472" s="27"/>
      <c r="I472" s="27"/>
      <c r="J472" s="27"/>
      <c r="K472" s="27"/>
      <c r="L472" s="27"/>
      <c r="M472" s="35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>
      <c r="A473" s="27"/>
      <c r="B473" s="27"/>
      <c r="C473" s="27"/>
      <c r="D473" s="27"/>
      <c r="E473" s="27"/>
      <c r="F473" s="27"/>
      <c r="G473" s="20"/>
      <c r="H473" s="27"/>
      <c r="I473" s="27"/>
      <c r="J473" s="27"/>
      <c r="K473" s="27"/>
      <c r="L473" s="27"/>
      <c r="M473" s="35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>
      <c r="A474" s="27"/>
      <c r="B474" s="27"/>
      <c r="C474" s="27"/>
      <c r="D474" s="27"/>
      <c r="E474" s="27"/>
      <c r="F474" s="27"/>
      <c r="G474" s="20"/>
      <c r="H474" s="27"/>
      <c r="I474" s="27"/>
      <c r="J474" s="27"/>
      <c r="K474" s="27"/>
      <c r="L474" s="27"/>
      <c r="M474" s="35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>
      <c r="A475" s="27"/>
      <c r="B475" s="27"/>
      <c r="C475" s="27"/>
      <c r="D475" s="27"/>
      <c r="E475" s="27"/>
      <c r="F475" s="27"/>
      <c r="G475" s="20"/>
      <c r="H475" s="27"/>
      <c r="I475" s="27"/>
      <c r="J475" s="27"/>
      <c r="K475" s="27"/>
      <c r="L475" s="27"/>
      <c r="M475" s="35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>
      <c r="A476" s="27"/>
      <c r="B476" s="27"/>
      <c r="C476" s="27"/>
      <c r="D476" s="27"/>
      <c r="E476" s="27"/>
      <c r="F476" s="27"/>
      <c r="G476" s="20"/>
      <c r="H476" s="27"/>
      <c r="I476" s="27"/>
      <c r="J476" s="27"/>
      <c r="K476" s="27"/>
      <c r="L476" s="27"/>
      <c r="M476" s="35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>
      <c r="A477" s="27"/>
      <c r="B477" s="27"/>
      <c r="C477" s="27"/>
      <c r="D477" s="27"/>
      <c r="E477" s="27"/>
      <c r="F477" s="27"/>
      <c r="G477" s="20"/>
      <c r="H477" s="27"/>
      <c r="I477" s="27"/>
      <c r="J477" s="27"/>
      <c r="K477" s="27"/>
      <c r="L477" s="27"/>
      <c r="M477" s="35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>
      <c r="A478" s="27"/>
      <c r="B478" s="27"/>
      <c r="C478" s="27"/>
      <c r="D478" s="27"/>
      <c r="E478" s="27"/>
      <c r="F478" s="27"/>
      <c r="G478" s="20"/>
      <c r="H478" s="27"/>
      <c r="I478" s="27"/>
      <c r="J478" s="27"/>
      <c r="K478" s="27"/>
      <c r="L478" s="27"/>
      <c r="M478" s="35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>
      <c r="A479" s="27"/>
      <c r="B479" s="27"/>
      <c r="C479" s="27"/>
      <c r="D479" s="27"/>
      <c r="E479" s="27"/>
      <c r="F479" s="27"/>
      <c r="G479" s="20"/>
      <c r="H479" s="27"/>
      <c r="I479" s="27"/>
      <c r="J479" s="27"/>
      <c r="K479" s="27"/>
      <c r="L479" s="27"/>
      <c r="M479" s="35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>
      <c r="A480" s="27"/>
      <c r="B480" s="27"/>
      <c r="C480" s="27"/>
      <c r="D480" s="27"/>
      <c r="E480" s="27"/>
      <c r="F480" s="27"/>
      <c r="G480" s="20"/>
      <c r="H480" s="27"/>
      <c r="I480" s="27"/>
      <c r="J480" s="27"/>
      <c r="K480" s="27"/>
      <c r="L480" s="27"/>
      <c r="M480" s="35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>
      <c r="A481" s="27"/>
      <c r="B481" s="27"/>
      <c r="C481" s="27"/>
      <c r="D481" s="27"/>
      <c r="E481" s="27"/>
      <c r="F481" s="27"/>
      <c r="G481" s="20"/>
      <c r="H481" s="27"/>
      <c r="I481" s="27"/>
      <c r="J481" s="27"/>
      <c r="K481" s="27"/>
      <c r="L481" s="27"/>
      <c r="M481" s="35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>
      <c r="A482" s="27"/>
      <c r="B482" s="27"/>
      <c r="C482" s="27"/>
      <c r="D482" s="27"/>
      <c r="E482" s="27"/>
      <c r="F482" s="27"/>
      <c r="G482" s="20"/>
      <c r="H482" s="27"/>
      <c r="I482" s="27"/>
      <c r="J482" s="27"/>
      <c r="K482" s="27"/>
      <c r="L482" s="27"/>
      <c r="M482" s="35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>
      <c r="A483" s="27"/>
      <c r="B483" s="27"/>
      <c r="C483" s="27"/>
      <c r="D483" s="27"/>
      <c r="E483" s="27"/>
      <c r="F483" s="27"/>
      <c r="G483" s="20"/>
      <c r="H483" s="27"/>
      <c r="I483" s="27"/>
      <c r="J483" s="27"/>
      <c r="K483" s="27"/>
      <c r="L483" s="27"/>
      <c r="M483" s="35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>
      <c r="A484" s="27"/>
      <c r="B484" s="27"/>
      <c r="C484" s="27"/>
      <c r="D484" s="27"/>
      <c r="E484" s="27"/>
      <c r="F484" s="27"/>
      <c r="G484" s="20"/>
      <c r="H484" s="27"/>
      <c r="I484" s="27"/>
      <c r="J484" s="27"/>
      <c r="K484" s="27"/>
      <c r="L484" s="27"/>
      <c r="M484" s="35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>
      <c r="A485" s="27"/>
      <c r="B485" s="27"/>
      <c r="C485" s="27"/>
      <c r="D485" s="27"/>
      <c r="E485" s="27"/>
      <c r="F485" s="27"/>
      <c r="G485" s="20"/>
      <c r="H485" s="27"/>
      <c r="I485" s="27"/>
      <c r="J485" s="27"/>
      <c r="K485" s="27"/>
      <c r="L485" s="27"/>
      <c r="M485" s="35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>
      <c r="A486" s="27"/>
      <c r="B486" s="27"/>
      <c r="C486" s="27"/>
      <c r="D486" s="27"/>
      <c r="E486" s="27"/>
      <c r="F486" s="27"/>
      <c r="G486" s="20"/>
      <c r="H486" s="27"/>
      <c r="I486" s="27"/>
      <c r="J486" s="27"/>
      <c r="K486" s="27"/>
      <c r="L486" s="27"/>
      <c r="M486" s="35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>
      <c r="A487" s="27"/>
      <c r="B487" s="27"/>
      <c r="C487" s="27"/>
      <c r="D487" s="27"/>
      <c r="E487" s="27"/>
      <c r="F487" s="27"/>
      <c r="G487" s="20"/>
      <c r="H487" s="27"/>
      <c r="I487" s="27"/>
      <c r="J487" s="27"/>
      <c r="K487" s="27"/>
      <c r="L487" s="27"/>
      <c r="M487" s="35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>
      <c r="A488" s="27"/>
      <c r="B488" s="27"/>
      <c r="C488" s="27"/>
      <c r="D488" s="27"/>
      <c r="E488" s="27"/>
      <c r="F488" s="27"/>
      <c r="G488" s="20"/>
      <c r="H488" s="27"/>
      <c r="I488" s="27"/>
      <c r="J488" s="27"/>
      <c r="K488" s="27"/>
      <c r="L488" s="27"/>
      <c r="M488" s="35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>
      <c r="A489" s="27"/>
      <c r="B489" s="27"/>
      <c r="C489" s="27"/>
      <c r="D489" s="27"/>
      <c r="E489" s="27"/>
      <c r="F489" s="27"/>
      <c r="G489" s="20"/>
      <c r="H489" s="27"/>
      <c r="I489" s="27"/>
      <c r="J489" s="27"/>
      <c r="K489" s="27"/>
      <c r="L489" s="27"/>
      <c r="M489" s="35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>
      <c r="A490" s="27"/>
      <c r="B490" s="27"/>
      <c r="C490" s="27"/>
      <c r="D490" s="27"/>
      <c r="E490" s="27"/>
      <c r="F490" s="27"/>
      <c r="G490" s="20"/>
      <c r="H490" s="27"/>
      <c r="I490" s="27"/>
      <c r="J490" s="27"/>
      <c r="K490" s="27"/>
      <c r="L490" s="27"/>
      <c r="M490" s="35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>
      <c r="A491" s="27"/>
      <c r="B491" s="27"/>
      <c r="C491" s="27"/>
      <c r="D491" s="27"/>
      <c r="E491" s="27"/>
      <c r="F491" s="27"/>
      <c r="G491" s="20"/>
      <c r="H491" s="27"/>
      <c r="I491" s="27"/>
      <c r="J491" s="27"/>
      <c r="K491" s="27"/>
      <c r="L491" s="27"/>
      <c r="M491" s="35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>
      <c r="A492" s="27"/>
      <c r="B492" s="27"/>
      <c r="C492" s="27"/>
      <c r="D492" s="27"/>
      <c r="E492" s="27"/>
      <c r="F492" s="27"/>
      <c r="G492" s="20"/>
      <c r="H492" s="27"/>
      <c r="I492" s="27"/>
      <c r="J492" s="27"/>
      <c r="K492" s="27"/>
      <c r="L492" s="27"/>
      <c r="M492" s="35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>
      <c r="A493" s="27"/>
      <c r="B493" s="27"/>
      <c r="C493" s="27"/>
      <c r="D493" s="27"/>
      <c r="E493" s="27"/>
      <c r="F493" s="27"/>
      <c r="G493" s="20"/>
      <c r="H493" s="27"/>
      <c r="I493" s="27"/>
      <c r="J493" s="27"/>
      <c r="K493" s="27"/>
      <c r="L493" s="27"/>
      <c r="M493" s="35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>
      <c r="A494" s="27"/>
      <c r="B494" s="27"/>
      <c r="C494" s="27"/>
      <c r="D494" s="27"/>
      <c r="E494" s="27"/>
      <c r="F494" s="27"/>
      <c r="G494" s="20"/>
      <c r="H494" s="27"/>
      <c r="I494" s="27"/>
      <c r="J494" s="27"/>
      <c r="K494" s="27"/>
      <c r="L494" s="27"/>
      <c r="M494" s="35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>
      <c r="A495" s="27"/>
      <c r="B495" s="27"/>
      <c r="C495" s="27"/>
      <c r="D495" s="27"/>
      <c r="E495" s="27"/>
      <c r="F495" s="27"/>
      <c r="G495" s="20"/>
      <c r="H495" s="27"/>
      <c r="I495" s="27"/>
      <c r="J495" s="27"/>
      <c r="K495" s="27"/>
      <c r="L495" s="27"/>
      <c r="M495" s="35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>
      <c r="A496" s="27"/>
      <c r="B496" s="27"/>
      <c r="C496" s="27"/>
      <c r="D496" s="27"/>
      <c r="E496" s="27"/>
      <c r="F496" s="27"/>
      <c r="G496" s="20"/>
      <c r="H496" s="27"/>
      <c r="I496" s="27"/>
      <c r="J496" s="27"/>
      <c r="K496" s="27"/>
      <c r="L496" s="27"/>
      <c r="M496" s="35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>
      <c r="A497" s="27"/>
      <c r="B497" s="27"/>
      <c r="C497" s="27"/>
      <c r="D497" s="27"/>
      <c r="E497" s="27"/>
      <c r="F497" s="27"/>
      <c r="G497" s="20"/>
      <c r="H497" s="27"/>
      <c r="I497" s="27"/>
      <c r="J497" s="27"/>
      <c r="K497" s="27"/>
      <c r="L497" s="27"/>
      <c r="M497" s="35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>
      <c r="A498" s="27"/>
      <c r="B498" s="27"/>
      <c r="C498" s="27"/>
      <c r="D498" s="27"/>
      <c r="E498" s="27"/>
      <c r="F498" s="27"/>
      <c r="G498" s="20"/>
      <c r="H498" s="27"/>
      <c r="I498" s="27"/>
      <c r="J498" s="27"/>
      <c r="K498" s="27"/>
      <c r="L498" s="27"/>
      <c r="M498" s="35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>
      <c r="A499" s="27"/>
      <c r="B499" s="27"/>
      <c r="C499" s="27"/>
      <c r="D499" s="27"/>
      <c r="E499" s="27"/>
      <c r="F499" s="27"/>
      <c r="G499" s="20"/>
      <c r="H499" s="27"/>
      <c r="I499" s="27"/>
      <c r="J499" s="27"/>
      <c r="K499" s="27"/>
      <c r="L499" s="27"/>
      <c r="M499" s="35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>
      <c r="A500" s="27"/>
      <c r="B500" s="27"/>
      <c r="C500" s="27"/>
      <c r="D500" s="27"/>
      <c r="E500" s="27"/>
      <c r="F500" s="27"/>
      <c r="G500" s="20"/>
      <c r="H500" s="27"/>
      <c r="I500" s="27"/>
      <c r="J500" s="27"/>
      <c r="K500" s="27"/>
      <c r="L500" s="27"/>
      <c r="M500" s="35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>
      <c r="A501" s="27"/>
      <c r="B501" s="27"/>
      <c r="C501" s="27"/>
      <c r="D501" s="27"/>
      <c r="E501" s="27"/>
      <c r="F501" s="27"/>
      <c r="G501" s="20"/>
      <c r="H501" s="27"/>
      <c r="I501" s="27"/>
      <c r="J501" s="27"/>
      <c r="K501" s="27"/>
      <c r="L501" s="27"/>
      <c r="M501" s="35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>
      <c r="A502" s="27"/>
      <c r="B502" s="27"/>
      <c r="C502" s="27"/>
      <c r="D502" s="27"/>
      <c r="E502" s="27"/>
      <c r="F502" s="27"/>
      <c r="G502" s="20"/>
      <c r="H502" s="27"/>
      <c r="I502" s="27"/>
      <c r="J502" s="27"/>
      <c r="K502" s="27"/>
      <c r="L502" s="27"/>
      <c r="M502" s="35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>
      <c r="A503" s="27"/>
      <c r="B503" s="27"/>
      <c r="C503" s="27"/>
      <c r="D503" s="27"/>
      <c r="E503" s="27"/>
      <c r="F503" s="27"/>
      <c r="G503" s="20"/>
      <c r="H503" s="27"/>
      <c r="I503" s="27"/>
      <c r="J503" s="27"/>
      <c r="K503" s="27"/>
      <c r="L503" s="27"/>
      <c r="M503" s="35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>
      <c r="A504" s="27"/>
      <c r="B504" s="27"/>
      <c r="C504" s="27"/>
      <c r="D504" s="27"/>
      <c r="E504" s="27"/>
      <c r="F504" s="27"/>
      <c r="G504" s="20"/>
      <c r="H504" s="27"/>
      <c r="I504" s="27"/>
      <c r="J504" s="27"/>
      <c r="K504" s="27"/>
      <c r="L504" s="27"/>
      <c r="M504" s="35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>
      <c r="A505" s="27"/>
      <c r="B505" s="27"/>
      <c r="C505" s="27"/>
      <c r="D505" s="27"/>
      <c r="E505" s="27"/>
      <c r="F505" s="27"/>
      <c r="G505" s="20"/>
      <c r="H505" s="27"/>
      <c r="I505" s="27"/>
      <c r="J505" s="27"/>
      <c r="K505" s="27"/>
      <c r="L505" s="27"/>
      <c r="M505" s="35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>
      <c r="A506" s="27"/>
      <c r="B506" s="27"/>
      <c r="C506" s="27"/>
      <c r="D506" s="27"/>
      <c r="E506" s="27"/>
      <c r="F506" s="27"/>
      <c r="G506" s="20"/>
      <c r="H506" s="27"/>
      <c r="I506" s="27"/>
      <c r="J506" s="27"/>
      <c r="K506" s="27"/>
      <c r="L506" s="27"/>
      <c r="M506" s="35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>
      <c r="A507" s="27"/>
      <c r="B507" s="27"/>
      <c r="C507" s="27"/>
      <c r="D507" s="27"/>
      <c r="E507" s="27"/>
      <c r="F507" s="27"/>
      <c r="G507" s="20"/>
      <c r="H507" s="27"/>
      <c r="I507" s="27"/>
      <c r="J507" s="27"/>
      <c r="K507" s="27"/>
      <c r="L507" s="27"/>
      <c r="M507" s="35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>
      <c r="A508" s="27"/>
      <c r="B508" s="27"/>
      <c r="C508" s="27"/>
      <c r="D508" s="27"/>
      <c r="E508" s="27"/>
      <c r="F508" s="27"/>
      <c r="G508" s="20"/>
      <c r="H508" s="27"/>
      <c r="I508" s="27"/>
      <c r="J508" s="27"/>
      <c r="K508" s="27"/>
      <c r="L508" s="27"/>
      <c r="M508" s="35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>
      <c r="A509" s="27"/>
      <c r="B509" s="27"/>
      <c r="C509" s="27"/>
      <c r="D509" s="27"/>
      <c r="E509" s="27"/>
      <c r="F509" s="27"/>
      <c r="G509" s="20"/>
      <c r="H509" s="27"/>
      <c r="I509" s="27"/>
      <c r="J509" s="27"/>
      <c r="K509" s="27"/>
      <c r="L509" s="27"/>
      <c r="M509" s="35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>
      <c r="A510" s="27"/>
      <c r="B510" s="27"/>
      <c r="C510" s="27"/>
      <c r="D510" s="27"/>
      <c r="E510" s="27"/>
      <c r="F510" s="27"/>
      <c r="G510" s="20"/>
      <c r="H510" s="27"/>
      <c r="I510" s="27"/>
      <c r="J510" s="27"/>
      <c r="K510" s="27"/>
      <c r="L510" s="27"/>
      <c r="M510" s="35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>
      <c r="A511" s="27"/>
      <c r="B511" s="27"/>
      <c r="C511" s="27"/>
      <c r="D511" s="27"/>
      <c r="E511" s="27"/>
      <c r="F511" s="27"/>
      <c r="G511" s="20"/>
      <c r="H511" s="27"/>
      <c r="I511" s="27"/>
      <c r="J511" s="27"/>
      <c r="K511" s="27"/>
      <c r="L511" s="27"/>
      <c r="M511" s="35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>
      <c r="A512" s="27"/>
      <c r="B512" s="27"/>
      <c r="C512" s="27"/>
      <c r="D512" s="27"/>
      <c r="E512" s="27"/>
      <c r="F512" s="27"/>
      <c r="G512" s="20"/>
      <c r="H512" s="27"/>
      <c r="I512" s="27"/>
      <c r="J512" s="27"/>
      <c r="K512" s="27"/>
      <c r="L512" s="27"/>
      <c r="M512" s="35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>
      <c r="A513" s="27"/>
      <c r="B513" s="27"/>
      <c r="C513" s="27"/>
      <c r="D513" s="27"/>
      <c r="E513" s="27"/>
      <c r="F513" s="27"/>
      <c r="G513" s="20"/>
      <c r="H513" s="27"/>
      <c r="I513" s="27"/>
      <c r="J513" s="27"/>
      <c r="K513" s="27"/>
      <c r="L513" s="27"/>
      <c r="M513" s="35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>
      <c r="A514" s="27"/>
      <c r="B514" s="27"/>
      <c r="C514" s="27"/>
      <c r="D514" s="27"/>
      <c r="E514" s="27"/>
      <c r="F514" s="27"/>
      <c r="G514" s="20"/>
      <c r="H514" s="27"/>
      <c r="I514" s="27"/>
      <c r="J514" s="27"/>
      <c r="K514" s="27"/>
      <c r="L514" s="27"/>
      <c r="M514" s="35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>
      <c r="A515" s="27"/>
      <c r="B515" s="27"/>
      <c r="C515" s="27"/>
      <c r="D515" s="27"/>
      <c r="E515" s="27"/>
      <c r="F515" s="27"/>
      <c r="G515" s="20"/>
      <c r="H515" s="27"/>
      <c r="I515" s="27"/>
      <c r="J515" s="27"/>
      <c r="K515" s="27"/>
      <c r="L515" s="27"/>
      <c r="M515" s="35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>
      <c r="A516" s="27"/>
      <c r="B516" s="27"/>
      <c r="C516" s="27"/>
      <c r="D516" s="27"/>
      <c r="E516" s="27"/>
      <c r="F516" s="27"/>
      <c r="G516" s="20"/>
      <c r="H516" s="27"/>
      <c r="I516" s="27"/>
      <c r="J516" s="27"/>
      <c r="K516" s="27"/>
      <c r="L516" s="27"/>
      <c r="M516" s="35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>
      <c r="A517" s="27"/>
      <c r="B517" s="27"/>
      <c r="C517" s="27"/>
      <c r="D517" s="27"/>
      <c r="E517" s="27"/>
      <c r="F517" s="27"/>
      <c r="G517" s="20"/>
      <c r="H517" s="27"/>
      <c r="I517" s="27"/>
      <c r="J517" s="27"/>
      <c r="K517" s="27"/>
      <c r="L517" s="27"/>
      <c r="M517" s="35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>
      <c r="A518" s="27"/>
      <c r="B518" s="27"/>
      <c r="C518" s="27"/>
      <c r="D518" s="27"/>
      <c r="E518" s="27"/>
      <c r="F518" s="27"/>
      <c r="G518" s="20"/>
      <c r="H518" s="27"/>
      <c r="I518" s="27"/>
      <c r="J518" s="27"/>
      <c r="K518" s="27"/>
      <c r="L518" s="27"/>
      <c r="M518" s="35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>
      <c r="A519" s="27"/>
      <c r="B519" s="27"/>
      <c r="C519" s="27"/>
      <c r="D519" s="27"/>
      <c r="E519" s="27"/>
      <c r="F519" s="27"/>
      <c r="G519" s="20"/>
      <c r="H519" s="27"/>
      <c r="I519" s="27"/>
      <c r="J519" s="27"/>
      <c r="K519" s="27"/>
      <c r="L519" s="27"/>
      <c r="M519" s="35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>
      <c r="A520" s="27"/>
      <c r="B520" s="27"/>
      <c r="C520" s="27"/>
      <c r="D520" s="27"/>
      <c r="E520" s="27"/>
      <c r="F520" s="27"/>
      <c r="G520" s="20"/>
      <c r="H520" s="27"/>
      <c r="I520" s="27"/>
      <c r="J520" s="27"/>
      <c r="K520" s="27"/>
      <c r="L520" s="27"/>
      <c r="M520" s="35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>
      <c r="A521" s="27"/>
      <c r="B521" s="27"/>
      <c r="C521" s="27"/>
      <c r="D521" s="27"/>
      <c r="E521" s="27"/>
      <c r="F521" s="27"/>
      <c r="G521" s="20"/>
      <c r="H521" s="27"/>
      <c r="I521" s="27"/>
      <c r="J521" s="27"/>
      <c r="K521" s="27"/>
      <c r="L521" s="27"/>
      <c r="M521" s="35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>
      <c r="A522" s="27"/>
      <c r="B522" s="27"/>
      <c r="C522" s="27"/>
      <c r="D522" s="27"/>
      <c r="E522" s="27"/>
      <c r="F522" s="27"/>
      <c r="G522" s="20"/>
      <c r="H522" s="27"/>
      <c r="I522" s="27"/>
      <c r="J522" s="27"/>
      <c r="K522" s="27"/>
      <c r="L522" s="27"/>
      <c r="M522" s="35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>
      <c r="A523" s="27"/>
      <c r="B523" s="27"/>
      <c r="C523" s="27"/>
      <c r="D523" s="27"/>
      <c r="E523" s="27"/>
      <c r="F523" s="27"/>
      <c r="G523" s="20"/>
      <c r="H523" s="27"/>
      <c r="I523" s="27"/>
      <c r="J523" s="27"/>
      <c r="K523" s="27"/>
      <c r="L523" s="27"/>
      <c r="M523" s="35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>
      <c r="A524" s="27"/>
      <c r="B524" s="27"/>
      <c r="C524" s="27"/>
      <c r="D524" s="27"/>
      <c r="E524" s="27"/>
      <c r="F524" s="27"/>
      <c r="G524" s="20"/>
      <c r="H524" s="27"/>
      <c r="I524" s="27"/>
      <c r="J524" s="27"/>
      <c r="K524" s="27"/>
      <c r="L524" s="27"/>
      <c r="M524" s="35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>
      <c r="A525" s="27"/>
      <c r="B525" s="27"/>
      <c r="C525" s="27"/>
      <c r="D525" s="27"/>
      <c r="E525" s="27"/>
      <c r="F525" s="27"/>
      <c r="G525" s="20"/>
      <c r="H525" s="27"/>
      <c r="I525" s="27"/>
      <c r="J525" s="27"/>
      <c r="K525" s="27"/>
      <c r="L525" s="27"/>
      <c r="M525" s="35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>
      <c r="A526" s="27"/>
      <c r="B526" s="27"/>
      <c r="C526" s="27"/>
      <c r="D526" s="27"/>
      <c r="E526" s="27"/>
      <c r="F526" s="27"/>
      <c r="G526" s="20"/>
      <c r="H526" s="27"/>
      <c r="I526" s="27"/>
      <c r="J526" s="27"/>
      <c r="K526" s="27"/>
      <c r="L526" s="27"/>
      <c r="M526" s="35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>
      <c r="A527" s="27"/>
      <c r="B527" s="27"/>
      <c r="C527" s="27"/>
      <c r="D527" s="27"/>
      <c r="E527" s="27"/>
      <c r="F527" s="27"/>
      <c r="G527" s="20"/>
      <c r="H527" s="27"/>
      <c r="I527" s="27"/>
      <c r="J527" s="27"/>
      <c r="K527" s="27"/>
      <c r="L527" s="27"/>
      <c r="M527" s="35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>
      <c r="A528" s="27"/>
      <c r="B528" s="27"/>
      <c r="C528" s="27"/>
      <c r="D528" s="27"/>
      <c r="E528" s="27"/>
      <c r="F528" s="27"/>
      <c r="G528" s="20"/>
      <c r="H528" s="27"/>
      <c r="I528" s="27"/>
      <c r="J528" s="27"/>
      <c r="K528" s="27"/>
      <c r="L528" s="27"/>
      <c r="M528" s="35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>
      <c r="A529" s="27"/>
      <c r="B529" s="27"/>
      <c r="C529" s="27"/>
      <c r="D529" s="27"/>
      <c r="E529" s="27"/>
      <c r="F529" s="27"/>
      <c r="G529" s="20"/>
      <c r="H529" s="27"/>
      <c r="I529" s="27"/>
      <c r="J529" s="27"/>
      <c r="K529" s="27"/>
      <c r="L529" s="27"/>
      <c r="M529" s="35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>
      <c r="A530" s="27"/>
      <c r="B530" s="27"/>
      <c r="C530" s="27"/>
      <c r="D530" s="27"/>
      <c r="E530" s="27"/>
      <c r="F530" s="27"/>
      <c r="G530" s="20"/>
      <c r="H530" s="27"/>
      <c r="I530" s="27"/>
      <c r="J530" s="27"/>
      <c r="K530" s="27"/>
      <c r="L530" s="27"/>
      <c r="M530" s="35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>
      <c r="A531" s="27"/>
      <c r="B531" s="27"/>
      <c r="C531" s="27"/>
      <c r="D531" s="27"/>
      <c r="E531" s="27"/>
      <c r="F531" s="27"/>
      <c r="G531" s="20"/>
      <c r="H531" s="27"/>
      <c r="I531" s="27"/>
      <c r="J531" s="27"/>
      <c r="K531" s="27"/>
      <c r="L531" s="27"/>
      <c r="M531" s="35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>
      <c r="A532" s="27"/>
      <c r="B532" s="27"/>
      <c r="C532" s="27"/>
      <c r="D532" s="27"/>
      <c r="E532" s="27"/>
      <c r="F532" s="27"/>
      <c r="G532" s="20"/>
      <c r="H532" s="27"/>
      <c r="I532" s="27"/>
      <c r="J532" s="27"/>
      <c r="K532" s="27"/>
      <c r="L532" s="27"/>
      <c r="M532" s="35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>
      <c r="A533" s="27"/>
      <c r="B533" s="27"/>
      <c r="C533" s="27"/>
      <c r="D533" s="27"/>
      <c r="E533" s="27"/>
      <c r="F533" s="27"/>
      <c r="G533" s="20"/>
      <c r="H533" s="27"/>
      <c r="I533" s="27"/>
      <c r="J533" s="27"/>
      <c r="K533" s="27"/>
      <c r="L533" s="27"/>
      <c r="M533" s="35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>
      <c r="A534" s="27"/>
      <c r="B534" s="27"/>
      <c r="C534" s="27"/>
      <c r="D534" s="27"/>
      <c r="E534" s="27"/>
      <c r="F534" s="27"/>
      <c r="G534" s="20"/>
      <c r="H534" s="27"/>
      <c r="I534" s="27"/>
      <c r="J534" s="27"/>
      <c r="K534" s="27"/>
      <c r="L534" s="27"/>
      <c r="M534" s="35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>
      <c r="A535" s="27"/>
      <c r="B535" s="27"/>
      <c r="C535" s="27"/>
      <c r="D535" s="27"/>
      <c r="E535" s="27"/>
      <c r="F535" s="27"/>
      <c r="G535" s="20"/>
      <c r="H535" s="27"/>
      <c r="I535" s="27"/>
      <c r="J535" s="27"/>
      <c r="K535" s="27"/>
      <c r="L535" s="27"/>
      <c r="M535" s="35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>
      <c r="A536" s="27"/>
      <c r="B536" s="27"/>
      <c r="C536" s="27"/>
      <c r="D536" s="27"/>
      <c r="E536" s="27"/>
      <c r="F536" s="27"/>
      <c r="G536" s="20"/>
      <c r="H536" s="27"/>
      <c r="I536" s="27"/>
      <c r="J536" s="27"/>
      <c r="K536" s="27"/>
      <c r="L536" s="27"/>
      <c r="M536" s="35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>
      <c r="A537" s="27"/>
      <c r="B537" s="27"/>
      <c r="C537" s="27"/>
      <c r="D537" s="27"/>
      <c r="E537" s="27"/>
      <c r="F537" s="27"/>
      <c r="G537" s="20"/>
      <c r="H537" s="27"/>
      <c r="I537" s="27"/>
      <c r="J537" s="27"/>
      <c r="K537" s="27"/>
      <c r="L537" s="27"/>
      <c r="M537" s="35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>
      <c r="A538" s="27"/>
      <c r="B538" s="27"/>
      <c r="C538" s="27"/>
      <c r="D538" s="27"/>
      <c r="E538" s="27"/>
      <c r="F538" s="27"/>
      <c r="G538" s="20"/>
      <c r="H538" s="27"/>
      <c r="I538" s="27"/>
      <c r="J538" s="27"/>
      <c r="K538" s="27"/>
      <c r="L538" s="27"/>
      <c r="M538" s="35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>
      <c r="A539" s="27"/>
      <c r="B539" s="27"/>
      <c r="C539" s="27"/>
      <c r="D539" s="27"/>
      <c r="E539" s="27"/>
      <c r="F539" s="27"/>
      <c r="G539" s="20"/>
      <c r="H539" s="27"/>
      <c r="I539" s="27"/>
      <c r="J539" s="27"/>
      <c r="K539" s="27"/>
      <c r="L539" s="27"/>
      <c r="M539" s="35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>
      <c r="A540" s="27"/>
      <c r="B540" s="27"/>
      <c r="C540" s="27"/>
      <c r="D540" s="27"/>
      <c r="E540" s="27"/>
      <c r="F540" s="27"/>
      <c r="G540" s="20"/>
      <c r="H540" s="27"/>
      <c r="I540" s="27"/>
      <c r="J540" s="27"/>
      <c r="K540" s="27"/>
      <c r="L540" s="27"/>
      <c r="M540" s="35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>
      <c r="A541" s="27"/>
      <c r="B541" s="27"/>
      <c r="C541" s="27"/>
      <c r="D541" s="27"/>
      <c r="E541" s="27"/>
      <c r="F541" s="27"/>
      <c r="G541" s="20"/>
      <c r="H541" s="27"/>
      <c r="I541" s="27"/>
      <c r="J541" s="27"/>
      <c r="K541" s="27"/>
      <c r="L541" s="27"/>
      <c r="M541" s="35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>
      <c r="A542" s="27"/>
      <c r="B542" s="27"/>
      <c r="C542" s="27"/>
      <c r="D542" s="27"/>
      <c r="E542" s="27"/>
      <c r="F542" s="27"/>
      <c r="G542" s="20"/>
      <c r="H542" s="27"/>
      <c r="I542" s="27"/>
      <c r="J542" s="27"/>
      <c r="K542" s="27"/>
      <c r="L542" s="27"/>
      <c r="M542" s="35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>
      <c r="A543" s="27"/>
      <c r="B543" s="27"/>
      <c r="C543" s="27"/>
      <c r="D543" s="27"/>
      <c r="E543" s="27"/>
      <c r="F543" s="27"/>
      <c r="G543" s="20"/>
      <c r="H543" s="27"/>
      <c r="I543" s="27"/>
      <c r="J543" s="27"/>
      <c r="K543" s="27"/>
      <c r="L543" s="27"/>
      <c r="M543" s="35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>
      <c r="A544" s="27"/>
      <c r="B544" s="27"/>
      <c r="C544" s="27"/>
      <c r="D544" s="27"/>
      <c r="E544" s="27"/>
      <c r="F544" s="27"/>
      <c r="G544" s="20"/>
      <c r="H544" s="27"/>
      <c r="I544" s="27"/>
      <c r="J544" s="27"/>
      <c r="K544" s="27"/>
      <c r="L544" s="27"/>
      <c r="M544" s="35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>
      <c r="A545" s="27"/>
      <c r="B545" s="27"/>
      <c r="C545" s="27"/>
      <c r="D545" s="27"/>
      <c r="E545" s="27"/>
      <c r="F545" s="27"/>
      <c r="G545" s="20"/>
      <c r="H545" s="27"/>
      <c r="I545" s="27"/>
      <c r="J545" s="27"/>
      <c r="K545" s="27"/>
      <c r="L545" s="27"/>
      <c r="M545" s="35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>
      <c r="A546" s="27"/>
      <c r="B546" s="27"/>
      <c r="C546" s="27"/>
      <c r="D546" s="27"/>
      <c r="E546" s="27"/>
      <c r="F546" s="27"/>
      <c r="G546" s="20"/>
      <c r="H546" s="27"/>
      <c r="I546" s="27"/>
      <c r="J546" s="27"/>
      <c r="K546" s="27"/>
      <c r="L546" s="27"/>
      <c r="M546" s="35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>
      <c r="A547" s="27"/>
      <c r="B547" s="27"/>
      <c r="C547" s="27"/>
      <c r="D547" s="27"/>
      <c r="E547" s="27"/>
      <c r="F547" s="27"/>
      <c r="G547" s="20"/>
      <c r="H547" s="27"/>
      <c r="I547" s="27"/>
      <c r="J547" s="27"/>
      <c r="K547" s="27"/>
      <c r="L547" s="27"/>
      <c r="M547" s="35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>
      <c r="A548" s="27"/>
      <c r="B548" s="27"/>
      <c r="C548" s="27"/>
      <c r="D548" s="27"/>
      <c r="E548" s="27"/>
      <c r="F548" s="27"/>
      <c r="G548" s="20"/>
      <c r="H548" s="27"/>
      <c r="I548" s="27"/>
      <c r="J548" s="27"/>
      <c r="K548" s="27"/>
      <c r="L548" s="27"/>
      <c r="M548" s="35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>
      <c r="A549" s="27"/>
      <c r="B549" s="27"/>
      <c r="C549" s="27"/>
      <c r="D549" s="27"/>
      <c r="E549" s="27"/>
      <c r="F549" s="27"/>
      <c r="G549" s="20"/>
      <c r="H549" s="27"/>
      <c r="I549" s="27"/>
      <c r="J549" s="27"/>
      <c r="K549" s="27"/>
      <c r="L549" s="27"/>
      <c r="M549" s="35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>
      <c r="A550" s="27"/>
      <c r="B550" s="27"/>
      <c r="C550" s="27"/>
      <c r="D550" s="27"/>
      <c r="E550" s="27"/>
      <c r="F550" s="27"/>
      <c r="G550" s="20"/>
      <c r="H550" s="27"/>
      <c r="I550" s="27"/>
      <c r="J550" s="27"/>
      <c r="K550" s="27"/>
      <c r="L550" s="27"/>
      <c r="M550" s="35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>
      <c r="A551" s="27"/>
      <c r="B551" s="27"/>
      <c r="C551" s="27"/>
      <c r="D551" s="27"/>
      <c r="E551" s="27"/>
      <c r="F551" s="27"/>
      <c r="G551" s="20"/>
      <c r="H551" s="27"/>
      <c r="I551" s="27"/>
      <c r="J551" s="27"/>
      <c r="K551" s="27"/>
      <c r="L551" s="27"/>
      <c r="M551" s="35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>
      <c r="A552" s="27"/>
      <c r="B552" s="27"/>
      <c r="C552" s="27"/>
      <c r="D552" s="27"/>
      <c r="E552" s="27"/>
      <c r="F552" s="27"/>
      <c r="G552" s="20"/>
      <c r="H552" s="27"/>
      <c r="I552" s="27"/>
      <c r="J552" s="27"/>
      <c r="K552" s="27"/>
      <c r="L552" s="27"/>
      <c r="M552" s="35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>
      <c r="A553" s="27"/>
      <c r="B553" s="27"/>
      <c r="C553" s="27"/>
      <c r="D553" s="27"/>
      <c r="E553" s="27"/>
      <c r="F553" s="27"/>
      <c r="G553" s="20"/>
      <c r="H553" s="27"/>
      <c r="I553" s="27"/>
      <c r="J553" s="27"/>
      <c r="K553" s="27"/>
      <c r="L553" s="27"/>
      <c r="M553" s="35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>
      <c r="A554" s="27"/>
      <c r="B554" s="27"/>
      <c r="C554" s="27"/>
      <c r="D554" s="27"/>
      <c r="E554" s="27"/>
      <c r="F554" s="27"/>
      <c r="G554" s="20"/>
      <c r="H554" s="27"/>
      <c r="I554" s="27"/>
      <c r="J554" s="27"/>
      <c r="K554" s="27"/>
      <c r="L554" s="27"/>
      <c r="M554" s="35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>
      <c r="A555" s="27"/>
      <c r="B555" s="27"/>
      <c r="C555" s="27"/>
      <c r="D555" s="27"/>
      <c r="E555" s="27"/>
      <c r="F555" s="27"/>
      <c r="G555" s="20"/>
      <c r="H555" s="27"/>
      <c r="I555" s="27"/>
      <c r="J555" s="27"/>
      <c r="K555" s="27"/>
      <c r="L555" s="27"/>
      <c r="M555" s="35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>
      <c r="A556" s="27"/>
      <c r="B556" s="27"/>
      <c r="C556" s="27"/>
      <c r="D556" s="27"/>
      <c r="E556" s="27"/>
      <c r="F556" s="27"/>
      <c r="G556" s="20"/>
      <c r="H556" s="27"/>
      <c r="I556" s="27"/>
      <c r="J556" s="27"/>
      <c r="K556" s="27"/>
      <c r="L556" s="27"/>
      <c r="M556" s="35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>
      <c r="A557" s="27"/>
      <c r="B557" s="27"/>
      <c r="C557" s="27"/>
      <c r="D557" s="27"/>
      <c r="E557" s="27"/>
      <c r="F557" s="27"/>
      <c r="G557" s="20"/>
      <c r="H557" s="27"/>
      <c r="I557" s="27"/>
      <c r="J557" s="27"/>
      <c r="K557" s="27"/>
      <c r="L557" s="27"/>
      <c r="M557" s="35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>
      <c r="A558" s="27"/>
      <c r="B558" s="27"/>
      <c r="C558" s="27"/>
      <c r="D558" s="27"/>
      <c r="E558" s="27"/>
      <c r="F558" s="27"/>
      <c r="G558" s="20"/>
      <c r="H558" s="27"/>
      <c r="I558" s="27"/>
      <c r="J558" s="27"/>
      <c r="K558" s="27"/>
      <c r="L558" s="27"/>
      <c r="M558" s="35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>
      <c r="A559" s="27"/>
      <c r="B559" s="27"/>
      <c r="C559" s="27"/>
      <c r="D559" s="27"/>
      <c r="E559" s="27"/>
      <c r="F559" s="27"/>
      <c r="G559" s="20"/>
      <c r="H559" s="27"/>
      <c r="I559" s="27"/>
      <c r="J559" s="27"/>
      <c r="K559" s="27"/>
      <c r="L559" s="27"/>
      <c r="M559" s="35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>
      <c r="A560" s="27"/>
      <c r="B560" s="27"/>
      <c r="C560" s="27"/>
      <c r="D560" s="27"/>
      <c r="E560" s="27"/>
      <c r="F560" s="27"/>
      <c r="G560" s="20"/>
      <c r="H560" s="27"/>
      <c r="I560" s="27"/>
      <c r="J560" s="27"/>
      <c r="K560" s="27"/>
      <c r="L560" s="27"/>
      <c r="M560" s="35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>
      <c r="A561" s="27"/>
      <c r="B561" s="27"/>
      <c r="C561" s="27"/>
      <c r="D561" s="27"/>
      <c r="E561" s="27"/>
      <c r="F561" s="27"/>
      <c r="G561" s="20"/>
      <c r="H561" s="27"/>
      <c r="I561" s="27"/>
      <c r="J561" s="27"/>
      <c r="K561" s="27"/>
      <c r="L561" s="27"/>
      <c r="M561" s="35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>
      <c r="A562" s="27"/>
      <c r="B562" s="27"/>
      <c r="C562" s="27"/>
      <c r="D562" s="27"/>
      <c r="E562" s="27"/>
      <c r="F562" s="27"/>
      <c r="G562" s="20"/>
      <c r="H562" s="27"/>
      <c r="I562" s="27"/>
      <c r="J562" s="27"/>
      <c r="K562" s="27"/>
      <c r="L562" s="27"/>
      <c r="M562" s="35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>
      <c r="A563" s="27"/>
      <c r="B563" s="27"/>
      <c r="C563" s="27"/>
      <c r="D563" s="27"/>
      <c r="E563" s="27"/>
      <c r="F563" s="27"/>
      <c r="G563" s="20"/>
      <c r="H563" s="27"/>
      <c r="I563" s="27"/>
      <c r="J563" s="27"/>
      <c r="K563" s="27"/>
      <c r="L563" s="27"/>
      <c r="M563" s="35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>
      <c r="A564" s="27"/>
      <c r="B564" s="27"/>
      <c r="C564" s="27"/>
      <c r="D564" s="27"/>
      <c r="E564" s="27"/>
      <c r="F564" s="27"/>
      <c r="G564" s="20"/>
      <c r="H564" s="27"/>
      <c r="I564" s="27"/>
      <c r="J564" s="27"/>
      <c r="K564" s="27"/>
      <c r="L564" s="27"/>
      <c r="M564" s="35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>
      <c r="A565" s="27"/>
      <c r="B565" s="27"/>
      <c r="C565" s="27"/>
      <c r="D565" s="27"/>
      <c r="E565" s="27"/>
      <c r="F565" s="27"/>
      <c r="G565" s="20"/>
      <c r="H565" s="27"/>
      <c r="I565" s="27"/>
      <c r="J565" s="27"/>
      <c r="K565" s="27"/>
      <c r="L565" s="27"/>
      <c r="M565" s="35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>
      <c r="A566" s="27"/>
      <c r="B566" s="27"/>
      <c r="C566" s="27"/>
      <c r="D566" s="27"/>
      <c r="E566" s="27"/>
      <c r="F566" s="27"/>
      <c r="G566" s="20"/>
      <c r="H566" s="27"/>
      <c r="I566" s="27"/>
      <c r="J566" s="27"/>
      <c r="K566" s="27"/>
      <c r="L566" s="27"/>
      <c r="M566" s="35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>
      <c r="A567" s="27"/>
      <c r="B567" s="27"/>
      <c r="C567" s="27"/>
      <c r="D567" s="27"/>
      <c r="E567" s="27"/>
      <c r="F567" s="27"/>
      <c r="G567" s="20"/>
      <c r="H567" s="27"/>
      <c r="I567" s="27"/>
      <c r="J567" s="27"/>
      <c r="K567" s="27"/>
      <c r="L567" s="27"/>
      <c r="M567" s="35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>
      <c r="A568" s="27"/>
      <c r="B568" s="27"/>
      <c r="C568" s="27"/>
      <c r="D568" s="27"/>
      <c r="E568" s="27"/>
      <c r="F568" s="27"/>
      <c r="G568" s="20"/>
      <c r="H568" s="27"/>
      <c r="I568" s="27"/>
      <c r="J568" s="27"/>
      <c r="K568" s="27"/>
      <c r="L568" s="27"/>
      <c r="M568" s="35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>
      <c r="A569" s="27"/>
      <c r="B569" s="27"/>
      <c r="C569" s="27"/>
      <c r="D569" s="27"/>
      <c r="E569" s="27"/>
      <c r="F569" s="27"/>
      <c r="G569" s="20"/>
      <c r="H569" s="27"/>
      <c r="I569" s="27"/>
      <c r="J569" s="27"/>
      <c r="K569" s="27"/>
      <c r="L569" s="27"/>
      <c r="M569" s="35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>
      <c r="A570" s="27"/>
      <c r="B570" s="27"/>
      <c r="C570" s="27"/>
      <c r="D570" s="27"/>
      <c r="E570" s="27"/>
      <c r="F570" s="27"/>
      <c r="G570" s="20"/>
      <c r="H570" s="27"/>
      <c r="I570" s="27"/>
      <c r="J570" s="27"/>
      <c r="K570" s="27"/>
      <c r="L570" s="27"/>
      <c r="M570" s="35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>
      <c r="A571" s="27"/>
      <c r="B571" s="27"/>
      <c r="C571" s="27"/>
      <c r="D571" s="27"/>
      <c r="E571" s="27"/>
      <c r="F571" s="27"/>
      <c r="G571" s="20"/>
      <c r="H571" s="27"/>
      <c r="I571" s="27"/>
      <c r="J571" s="27"/>
      <c r="K571" s="27"/>
      <c r="L571" s="27"/>
      <c r="M571" s="35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>
      <c r="A572" s="27"/>
      <c r="B572" s="27"/>
      <c r="C572" s="27"/>
      <c r="D572" s="27"/>
      <c r="E572" s="27"/>
      <c r="F572" s="27"/>
      <c r="G572" s="20"/>
      <c r="H572" s="27"/>
      <c r="I572" s="27"/>
      <c r="J572" s="27"/>
      <c r="K572" s="27"/>
      <c r="L572" s="27"/>
      <c r="M572" s="35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>
      <c r="A573" s="27"/>
      <c r="B573" s="27"/>
      <c r="C573" s="27"/>
      <c r="D573" s="27"/>
      <c r="E573" s="27"/>
      <c r="F573" s="27"/>
      <c r="G573" s="20"/>
      <c r="H573" s="27"/>
      <c r="I573" s="27"/>
      <c r="J573" s="27"/>
      <c r="K573" s="27"/>
      <c r="L573" s="27"/>
      <c r="M573" s="35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>
      <c r="A574" s="27"/>
      <c r="B574" s="27"/>
      <c r="C574" s="27"/>
      <c r="D574" s="27"/>
      <c r="E574" s="27"/>
      <c r="F574" s="27"/>
      <c r="G574" s="20"/>
      <c r="H574" s="27"/>
      <c r="I574" s="27"/>
      <c r="J574" s="27"/>
      <c r="K574" s="27"/>
      <c r="L574" s="27"/>
      <c r="M574" s="35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>
      <c r="A575" s="27"/>
      <c r="B575" s="27"/>
      <c r="C575" s="27"/>
      <c r="D575" s="27"/>
      <c r="E575" s="27"/>
      <c r="F575" s="27"/>
      <c r="G575" s="20"/>
      <c r="H575" s="27"/>
      <c r="I575" s="27"/>
      <c r="J575" s="27"/>
      <c r="K575" s="27"/>
      <c r="L575" s="27"/>
      <c r="M575" s="35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>
      <c r="A576" s="27"/>
      <c r="B576" s="27"/>
      <c r="C576" s="27"/>
      <c r="D576" s="27"/>
      <c r="E576" s="27"/>
      <c r="F576" s="27"/>
      <c r="G576" s="20"/>
      <c r="H576" s="27"/>
      <c r="I576" s="27"/>
      <c r="J576" s="27"/>
      <c r="K576" s="27"/>
      <c r="L576" s="27"/>
      <c r="M576" s="35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>
      <c r="A577" s="27"/>
      <c r="B577" s="27"/>
      <c r="C577" s="27"/>
      <c r="D577" s="27"/>
      <c r="E577" s="27"/>
      <c r="F577" s="27"/>
      <c r="G577" s="20"/>
      <c r="H577" s="27"/>
      <c r="I577" s="27"/>
      <c r="J577" s="27"/>
      <c r="K577" s="27"/>
      <c r="L577" s="27"/>
      <c r="M577" s="35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>
      <c r="A578" s="27"/>
      <c r="B578" s="27"/>
      <c r="C578" s="27"/>
      <c r="D578" s="27"/>
      <c r="E578" s="27"/>
      <c r="F578" s="27"/>
      <c r="G578" s="20"/>
      <c r="H578" s="27"/>
      <c r="I578" s="27"/>
      <c r="J578" s="27"/>
      <c r="K578" s="27"/>
      <c r="L578" s="27"/>
      <c r="M578" s="35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>
      <c r="A579" s="27"/>
      <c r="B579" s="27"/>
      <c r="C579" s="27"/>
      <c r="D579" s="27"/>
      <c r="E579" s="27"/>
      <c r="F579" s="27"/>
      <c r="G579" s="20"/>
      <c r="H579" s="27"/>
      <c r="I579" s="27"/>
      <c r="J579" s="27"/>
      <c r="K579" s="27"/>
      <c r="L579" s="27"/>
      <c r="M579" s="35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>
      <c r="A580" s="27"/>
      <c r="B580" s="27"/>
      <c r="C580" s="27"/>
      <c r="D580" s="27"/>
      <c r="E580" s="27"/>
      <c r="F580" s="27"/>
      <c r="G580" s="20"/>
      <c r="H580" s="27"/>
      <c r="I580" s="27"/>
      <c r="J580" s="27"/>
      <c r="K580" s="27"/>
      <c r="L580" s="27"/>
      <c r="M580" s="35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>
      <c r="A581" s="27"/>
      <c r="B581" s="27"/>
      <c r="C581" s="27"/>
      <c r="D581" s="27"/>
      <c r="E581" s="27"/>
      <c r="F581" s="27"/>
      <c r="G581" s="20"/>
      <c r="H581" s="27"/>
      <c r="I581" s="27"/>
      <c r="J581" s="27"/>
      <c r="K581" s="27"/>
      <c r="L581" s="27"/>
      <c r="M581" s="35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>
      <c r="A582" s="27"/>
      <c r="B582" s="27"/>
      <c r="C582" s="27"/>
      <c r="D582" s="27"/>
      <c r="E582" s="27"/>
      <c r="F582" s="27"/>
      <c r="G582" s="20"/>
      <c r="H582" s="27"/>
      <c r="I582" s="27"/>
      <c r="J582" s="27"/>
      <c r="K582" s="27"/>
      <c r="L582" s="27"/>
      <c r="M582" s="35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>
      <c r="A583" s="27"/>
      <c r="B583" s="27"/>
      <c r="C583" s="27"/>
      <c r="D583" s="27"/>
      <c r="E583" s="27"/>
      <c r="F583" s="27"/>
      <c r="G583" s="20"/>
      <c r="H583" s="27"/>
      <c r="I583" s="27"/>
      <c r="J583" s="27"/>
      <c r="K583" s="27"/>
      <c r="L583" s="27"/>
      <c r="M583" s="35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>
      <c r="A584" s="27"/>
      <c r="B584" s="27"/>
      <c r="C584" s="27"/>
      <c r="D584" s="27"/>
      <c r="E584" s="27"/>
      <c r="F584" s="27"/>
      <c r="G584" s="20"/>
      <c r="H584" s="27"/>
      <c r="I584" s="27"/>
      <c r="J584" s="27"/>
      <c r="K584" s="27"/>
      <c r="L584" s="27"/>
      <c r="M584" s="35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>
      <c r="A585" s="27"/>
      <c r="B585" s="27"/>
      <c r="C585" s="27"/>
      <c r="D585" s="27"/>
      <c r="E585" s="27"/>
      <c r="F585" s="27"/>
      <c r="G585" s="20"/>
      <c r="H585" s="27"/>
      <c r="I585" s="27"/>
      <c r="J585" s="27"/>
      <c r="K585" s="27"/>
      <c r="L585" s="27"/>
      <c r="M585" s="35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>
      <c r="A586" s="27"/>
      <c r="B586" s="27"/>
      <c r="C586" s="27"/>
      <c r="D586" s="27"/>
      <c r="E586" s="27"/>
      <c r="F586" s="27"/>
      <c r="G586" s="20"/>
      <c r="H586" s="27"/>
      <c r="I586" s="27"/>
      <c r="J586" s="27"/>
      <c r="K586" s="27"/>
      <c r="L586" s="27"/>
      <c r="M586" s="35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>
      <c r="A587" s="27"/>
      <c r="B587" s="27"/>
      <c r="C587" s="27"/>
      <c r="D587" s="27"/>
      <c r="E587" s="27"/>
      <c r="F587" s="27"/>
      <c r="G587" s="20"/>
      <c r="H587" s="27"/>
      <c r="I587" s="27"/>
      <c r="J587" s="27"/>
      <c r="K587" s="27"/>
      <c r="L587" s="27"/>
      <c r="M587" s="35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>
      <c r="A588" s="27"/>
      <c r="B588" s="27"/>
      <c r="C588" s="27"/>
      <c r="D588" s="27"/>
      <c r="E588" s="27"/>
      <c r="F588" s="27"/>
      <c r="G588" s="20"/>
      <c r="H588" s="27"/>
      <c r="I588" s="27"/>
      <c r="J588" s="27"/>
      <c r="K588" s="27"/>
      <c r="L588" s="27"/>
      <c r="M588" s="35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>
      <c r="A589" s="27"/>
      <c r="B589" s="27"/>
      <c r="C589" s="27"/>
      <c r="D589" s="27"/>
      <c r="E589" s="27"/>
      <c r="F589" s="27"/>
      <c r="G589" s="20"/>
      <c r="H589" s="27"/>
      <c r="I589" s="27"/>
      <c r="J589" s="27"/>
      <c r="K589" s="27"/>
      <c r="L589" s="27"/>
      <c r="M589" s="35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>
      <c r="A590" s="27"/>
      <c r="B590" s="27"/>
      <c r="C590" s="27"/>
      <c r="D590" s="27"/>
      <c r="E590" s="27"/>
      <c r="F590" s="27"/>
      <c r="G590" s="20"/>
      <c r="H590" s="27"/>
      <c r="I590" s="27"/>
      <c r="J590" s="27"/>
      <c r="K590" s="27"/>
      <c r="L590" s="27"/>
      <c r="M590" s="35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>
      <c r="A591" s="27"/>
      <c r="B591" s="27"/>
      <c r="C591" s="27"/>
      <c r="D591" s="27"/>
      <c r="E591" s="27"/>
      <c r="F591" s="27"/>
      <c r="G591" s="20"/>
      <c r="H591" s="27"/>
      <c r="I591" s="27"/>
      <c r="J591" s="27"/>
      <c r="K591" s="27"/>
      <c r="L591" s="27"/>
      <c r="M591" s="35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>
      <c r="A592" s="27"/>
      <c r="B592" s="27"/>
      <c r="C592" s="27"/>
      <c r="D592" s="27"/>
      <c r="E592" s="27"/>
      <c r="F592" s="27"/>
      <c r="G592" s="20"/>
      <c r="H592" s="27"/>
      <c r="I592" s="27"/>
      <c r="J592" s="27"/>
      <c r="K592" s="27"/>
      <c r="L592" s="27"/>
      <c r="M592" s="35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>
      <c r="A593" s="27"/>
      <c r="B593" s="27"/>
      <c r="C593" s="27"/>
      <c r="D593" s="27"/>
      <c r="E593" s="27"/>
      <c r="F593" s="27"/>
      <c r="G593" s="20"/>
      <c r="H593" s="27"/>
      <c r="I593" s="27"/>
      <c r="J593" s="27"/>
      <c r="K593" s="27"/>
      <c r="L593" s="27"/>
      <c r="M593" s="35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>
      <c r="A594" s="27"/>
      <c r="B594" s="27"/>
      <c r="C594" s="27"/>
      <c r="D594" s="27"/>
      <c r="E594" s="27"/>
      <c r="F594" s="27"/>
      <c r="G594" s="20"/>
      <c r="H594" s="27"/>
      <c r="I594" s="27"/>
      <c r="J594" s="27"/>
      <c r="K594" s="27"/>
      <c r="L594" s="27"/>
      <c r="M594" s="35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>
      <c r="A595" s="27"/>
      <c r="B595" s="27"/>
      <c r="C595" s="27"/>
      <c r="D595" s="27"/>
      <c r="E595" s="27"/>
      <c r="F595" s="27"/>
      <c r="G595" s="20"/>
      <c r="H595" s="27"/>
      <c r="I595" s="27"/>
      <c r="J595" s="27"/>
      <c r="K595" s="27"/>
      <c r="L595" s="27"/>
      <c r="M595" s="35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>
      <c r="A596" s="27"/>
      <c r="B596" s="27"/>
      <c r="C596" s="27"/>
      <c r="D596" s="27"/>
      <c r="E596" s="27"/>
      <c r="F596" s="27"/>
      <c r="G596" s="20"/>
      <c r="H596" s="27"/>
      <c r="I596" s="27"/>
      <c r="J596" s="27"/>
      <c r="K596" s="27"/>
      <c r="L596" s="27"/>
      <c r="M596" s="35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>
      <c r="A597" s="27"/>
      <c r="B597" s="27"/>
      <c r="C597" s="27"/>
      <c r="D597" s="27"/>
      <c r="E597" s="27"/>
      <c r="F597" s="27"/>
      <c r="G597" s="20"/>
      <c r="H597" s="27"/>
      <c r="I597" s="27"/>
      <c r="J597" s="27"/>
      <c r="K597" s="27"/>
      <c r="L597" s="27"/>
      <c r="M597" s="35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>
      <c r="A598" s="27"/>
      <c r="B598" s="27"/>
      <c r="C598" s="27"/>
      <c r="D598" s="27"/>
      <c r="E598" s="27"/>
      <c r="F598" s="27"/>
      <c r="G598" s="20"/>
      <c r="H598" s="27"/>
      <c r="I598" s="27"/>
      <c r="J598" s="27"/>
      <c r="K598" s="27"/>
      <c r="L598" s="27"/>
      <c r="M598" s="35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>
      <c r="A599" s="27"/>
      <c r="B599" s="27"/>
      <c r="C599" s="27"/>
      <c r="D599" s="27"/>
      <c r="E599" s="27"/>
      <c r="F599" s="27"/>
      <c r="G599" s="20"/>
      <c r="H599" s="27"/>
      <c r="I599" s="27"/>
      <c r="J599" s="27"/>
      <c r="K599" s="27"/>
      <c r="L599" s="27"/>
      <c r="M599" s="35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>
      <c r="A600" s="27"/>
      <c r="B600" s="27"/>
      <c r="C600" s="27"/>
      <c r="D600" s="27"/>
      <c r="E600" s="27"/>
      <c r="F600" s="27"/>
      <c r="G600" s="20"/>
      <c r="H600" s="27"/>
      <c r="I600" s="27"/>
      <c r="J600" s="27"/>
      <c r="K600" s="27"/>
      <c r="L600" s="27"/>
      <c r="M600" s="35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>
      <c r="A601" s="27"/>
      <c r="B601" s="27"/>
      <c r="C601" s="27"/>
      <c r="D601" s="27"/>
      <c r="E601" s="27"/>
      <c r="F601" s="27"/>
      <c r="G601" s="20"/>
      <c r="H601" s="27"/>
      <c r="I601" s="27"/>
      <c r="J601" s="27"/>
      <c r="K601" s="27"/>
      <c r="L601" s="27"/>
      <c r="M601" s="35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>
      <c r="A602" s="27"/>
      <c r="B602" s="27"/>
      <c r="C602" s="27"/>
      <c r="D602" s="27"/>
      <c r="E602" s="27"/>
      <c r="F602" s="27"/>
      <c r="G602" s="20"/>
      <c r="H602" s="27"/>
      <c r="I602" s="27"/>
      <c r="J602" s="27"/>
      <c r="K602" s="27"/>
      <c r="L602" s="27"/>
      <c r="M602" s="35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>
      <c r="A603" s="27"/>
      <c r="B603" s="27"/>
      <c r="C603" s="27"/>
      <c r="D603" s="27"/>
      <c r="E603" s="27"/>
      <c r="F603" s="27"/>
      <c r="G603" s="20"/>
      <c r="H603" s="27"/>
      <c r="I603" s="27"/>
      <c r="J603" s="27"/>
      <c r="K603" s="27"/>
      <c r="L603" s="27"/>
      <c r="M603" s="35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>
      <c r="A604" s="27"/>
      <c r="B604" s="27"/>
      <c r="C604" s="27"/>
      <c r="D604" s="27"/>
      <c r="E604" s="27"/>
      <c r="F604" s="27"/>
      <c r="G604" s="20"/>
      <c r="H604" s="27"/>
      <c r="I604" s="27"/>
      <c r="J604" s="27"/>
      <c r="K604" s="27"/>
      <c r="L604" s="27"/>
      <c r="M604" s="35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>
      <c r="A605" s="27"/>
      <c r="B605" s="27"/>
      <c r="C605" s="27"/>
      <c r="D605" s="27"/>
      <c r="E605" s="27"/>
      <c r="F605" s="27"/>
      <c r="G605" s="20"/>
      <c r="H605" s="27"/>
      <c r="I605" s="27"/>
      <c r="J605" s="27"/>
      <c r="K605" s="27"/>
      <c r="L605" s="27"/>
      <c r="M605" s="35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>
      <c r="A606" s="27"/>
      <c r="B606" s="27"/>
      <c r="C606" s="27"/>
      <c r="D606" s="27"/>
      <c r="E606" s="27"/>
      <c r="F606" s="27"/>
      <c r="G606" s="20"/>
      <c r="H606" s="27"/>
      <c r="I606" s="27"/>
      <c r="J606" s="27"/>
      <c r="K606" s="27"/>
      <c r="L606" s="27"/>
      <c r="M606" s="35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>
      <c r="A607" s="27"/>
      <c r="B607" s="27"/>
      <c r="C607" s="27"/>
      <c r="D607" s="27"/>
      <c r="E607" s="27"/>
      <c r="F607" s="27"/>
      <c r="G607" s="20"/>
      <c r="H607" s="27"/>
      <c r="I607" s="27"/>
      <c r="J607" s="27"/>
      <c r="K607" s="27"/>
      <c r="L607" s="27"/>
      <c r="M607" s="35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>
      <c r="A608" s="27"/>
      <c r="B608" s="27"/>
      <c r="C608" s="27"/>
      <c r="D608" s="27"/>
      <c r="E608" s="27"/>
      <c r="F608" s="27"/>
      <c r="G608" s="20"/>
      <c r="H608" s="27"/>
      <c r="I608" s="27"/>
      <c r="J608" s="27"/>
      <c r="K608" s="27"/>
      <c r="L608" s="27"/>
      <c r="M608" s="35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>
      <c r="A609" s="27"/>
      <c r="B609" s="27"/>
      <c r="C609" s="27"/>
      <c r="D609" s="27"/>
      <c r="E609" s="27"/>
      <c r="F609" s="27"/>
      <c r="G609" s="20"/>
      <c r="H609" s="27"/>
      <c r="I609" s="27"/>
      <c r="J609" s="27"/>
      <c r="K609" s="27"/>
      <c r="L609" s="27"/>
      <c r="M609" s="35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>
      <c r="A610" s="27"/>
      <c r="B610" s="27"/>
      <c r="C610" s="27"/>
      <c r="D610" s="27"/>
      <c r="E610" s="27"/>
      <c r="F610" s="27"/>
      <c r="G610" s="20"/>
      <c r="H610" s="27"/>
      <c r="I610" s="27"/>
      <c r="J610" s="27"/>
      <c r="K610" s="27"/>
      <c r="L610" s="27"/>
      <c r="M610" s="35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>
      <c r="A611" s="27"/>
      <c r="B611" s="27"/>
      <c r="C611" s="27"/>
      <c r="D611" s="27"/>
      <c r="E611" s="27"/>
      <c r="F611" s="27"/>
      <c r="G611" s="20"/>
      <c r="H611" s="27"/>
      <c r="I611" s="27"/>
      <c r="J611" s="27"/>
      <c r="K611" s="27"/>
      <c r="L611" s="27"/>
      <c r="M611" s="35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>
      <c r="A612" s="27"/>
      <c r="B612" s="27"/>
      <c r="C612" s="27"/>
      <c r="D612" s="27"/>
      <c r="E612" s="27"/>
      <c r="F612" s="27"/>
      <c r="G612" s="20"/>
      <c r="H612" s="27"/>
      <c r="I612" s="27"/>
      <c r="J612" s="27"/>
      <c r="K612" s="27"/>
      <c r="L612" s="27"/>
      <c r="M612" s="35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>
      <c r="A613" s="27"/>
      <c r="B613" s="27"/>
      <c r="C613" s="27"/>
      <c r="D613" s="27"/>
      <c r="E613" s="27"/>
      <c r="F613" s="27"/>
      <c r="G613" s="20"/>
      <c r="H613" s="27"/>
      <c r="I613" s="27"/>
      <c r="J613" s="27"/>
      <c r="K613" s="27"/>
      <c r="L613" s="27"/>
      <c r="M613" s="35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>
      <c r="A614" s="27"/>
      <c r="B614" s="27"/>
      <c r="C614" s="27"/>
      <c r="D614" s="27"/>
      <c r="E614" s="27"/>
      <c r="F614" s="27"/>
      <c r="G614" s="20"/>
      <c r="H614" s="27"/>
      <c r="I614" s="27"/>
      <c r="J614" s="27"/>
      <c r="K614" s="27"/>
      <c r="L614" s="27"/>
      <c r="M614" s="35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>
      <c r="A615" s="27"/>
      <c r="B615" s="27"/>
      <c r="C615" s="27"/>
      <c r="D615" s="27"/>
      <c r="E615" s="27"/>
      <c r="F615" s="27"/>
      <c r="G615" s="20"/>
      <c r="H615" s="27"/>
      <c r="I615" s="27"/>
      <c r="J615" s="27"/>
      <c r="K615" s="27"/>
      <c r="L615" s="27"/>
      <c r="M615" s="35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>
      <c r="A616" s="27"/>
      <c r="B616" s="27"/>
      <c r="C616" s="27"/>
      <c r="D616" s="27"/>
      <c r="E616" s="27"/>
      <c r="F616" s="27"/>
      <c r="G616" s="20"/>
      <c r="H616" s="27"/>
      <c r="I616" s="27"/>
      <c r="J616" s="27"/>
      <c r="K616" s="27"/>
      <c r="L616" s="27"/>
      <c r="M616" s="35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>
      <c r="A617" s="27"/>
      <c r="B617" s="27"/>
      <c r="C617" s="27"/>
      <c r="D617" s="27"/>
      <c r="E617" s="27"/>
      <c r="F617" s="27"/>
      <c r="G617" s="20"/>
      <c r="H617" s="27"/>
      <c r="I617" s="27"/>
      <c r="J617" s="27"/>
      <c r="K617" s="27"/>
      <c r="L617" s="27"/>
      <c r="M617" s="35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>
      <c r="A618" s="27"/>
      <c r="B618" s="27"/>
      <c r="C618" s="27"/>
      <c r="D618" s="27"/>
      <c r="E618" s="27"/>
      <c r="F618" s="27"/>
      <c r="G618" s="20"/>
      <c r="H618" s="27"/>
      <c r="I618" s="27"/>
      <c r="J618" s="27"/>
      <c r="K618" s="27"/>
      <c r="L618" s="27"/>
      <c r="M618" s="35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>
      <c r="A619" s="27"/>
      <c r="B619" s="27"/>
      <c r="C619" s="27"/>
      <c r="D619" s="27"/>
      <c r="E619" s="27"/>
      <c r="F619" s="27"/>
      <c r="G619" s="20"/>
      <c r="H619" s="27"/>
      <c r="I619" s="27"/>
      <c r="J619" s="27"/>
      <c r="K619" s="27"/>
      <c r="L619" s="27"/>
      <c r="M619" s="35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>
      <c r="A620" s="27"/>
      <c r="B620" s="27"/>
      <c r="C620" s="27"/>
      <c r="D620" s="27"/>
      <c r="E620" s="27"/>
      <c r="F620" s="27"/>
      <c r="G620" s="20"/>
      <c r="H620" s="27"/>
      <c r="I620" s="27"/>
      <c r="J620" s="27"/>
      <c r="K620" s="27"/>
      <c r="L620" s="27"/>
      <c r="M620" s="35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>
      <c r="A621" s="27"/>
      <c r="B621" s="27"/>
      <c r="C621" s="27"/>
      <c r="D621" s="27"/>
      <c r="E621" s="27"/>
      <c r="F621" s="27"/>
      <c r="G621" s="20"/>
      <c r="H621" s="27"/>
      <c r="I621" s="27"/>
      <c r="J621" s="27"/>
      <c r="K621" s="27"/>
      <c r="L621" s="27"/>
      <c r="M621" s="35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>
      <c r="A622" s="27"/>
      <c r="B622" s="27"/>
      <c r="C622" s="27"/>
      <c r="D622" s="27"/>
      <c r="E622" s="27"/>
      <c r="F622" s="27"/>
      <c r="G622" s="20"/>
      <c r="H622" s="27"/>
      <c r="I622" s="27"/>
      <c r="J622" s="27"/>
      <c r="K622" s="27"/>
      <c r="L622" s="27"/>
      <c r="M622" s="35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>
      <c r="A623" s="27"/>
      <c r="B623" s="27"/>
      <c r="C623" s="27"/>
      <c r="D623" s="27"/>
      <c r="E623" s="27"/>
      <c r="F623" s="27"/>
      <c r="G623" s="20"/>
      <c r="H623" s="27"/>
      <c r="I623" s="27"/>
      <c r="J623" s="27"/>
      <c r="K623" s="27"/>
      <c r="L623" s="27"/>
      <c r="M623" s="35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>
      <c r="A624" s="27"/>
      <c r="B624" s="27"/>
      <c r="C624" s="27"/>
      <c r="D624" s="27"/>
      <c r="E624" s="27"/>
      <c r="F624" s="27"/>
      <c r="G624" s="20"/>
      <c r="H624" s="27"/>
      <c r="I624" s="27"/>
      <c r="J624" s="27"/>
      <c r="K624" s="27"/>
      <c r="L624" s="27"/>
      <c r="M624" s="35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>
      <c r="A625" s="27"/>
      <c r="B625" s="27"/>
      <c r="C625" s="27"/>
      <c r="D625" s="27"/>
      <c r="E625" s="27"/>
      <c r="F625" s="27"/>
      <c r="G625" s="20"/>
      <c r="H625" s="27"/>
      <c r="I625" s="27"/>
      <c r="J625" s="27"/>
      <c r="K625" s="27"/>
      <c r="L625" s="27"/>
      <c r="M625" s="35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>
      <c r="A626" s="27"/>
      <c r="B626" s="27"/>
      <c r="C626" s="27"/>
      <c r="D626" s="27"/>
      <c r="E626" s="27"/>
      <c r="F626" s="27"/>
      <c r="G626" s="20"/>
      <c r="H626" s="27"/>
      <c r="I626" s="27"/>
      <c r="J626" s="27"/>
      <c r="K626" s="27"/>
      <c r="L626" s="27"/>
      <c r="M626" s="35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>
      <c r="A627" s="27"/>
      <c r="B627" s="27"/>
      <c r="C627" s="27"/>
      <c r="D627" s="27"/>
      <c r="E627" s="27"/>
      <c r="F627" s="27"/>
      <c r="G627" s="20"/>
      <c r="H627" s="27"/>
      <c r="I627" s="27"/>
      <c r="J627" s="27"/>
      <c r="K627" s="27"/>
      <c r="L627" s="27"/>
      <c r="M627" s="35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>
      <c r="A628" s="27"/>
      <c r="B628" s="27"/>
      <c r="C628" s="27"/>
      <c r="D628" s="27"/>
      <c r="E628" s="27"/>
      <c r="F628" s="27"/>
      <c r="G628" s="20"/>
      <c r="H628" s="27"/>
      <c r="I628" s="27"/>
      <c r="J628" s="27"/>
      <c r="K628" s="27"/>
      <c r="L628" s="27"/>
      <c r="M628" s="35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>
      <c r="A629" s="27"/>
      <c r="B629" s="27"/>
      <c r="C629" s="27"/>
      <c r="D629" s="27"/>
      <c r="E629" s="27"/>
      <c r="F629" s="27"/>
      <c r="G629" s="20"/>
      <c r="H629" s="27"/>
      <c r="I629" s="27"/>
      <c r="J629" s="27"/>
      <c r="K629" s="27"/>
      <c r="L629" s="27"/>
      <c r="M629" s="35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>
      <c r="A630" s="27"/>
      <c r="B630" s="27"/>
      <c r="C630" s="27"/>
      <c r="D630" s="27"/>
      <c r="E630" s="27"/>
      <c r="F630" s="27"/>
      <c r="G630" s="20"/>
      <c r="H630" s="27"/>
      <c r="I630" s="27"/>
      <c r="J630" s="27"/>
      <c r="K630" s="27"/>
      <c r="L630" s="27"/>
      <c r="M630" s="35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>
      <c r="A631" s="27"/>
      <c r="B631" s="27"/>
      <c r="C631" s="27"/>
      <c r="D631" s="27"/>
      <c r="E631" s="27"/>
      <c r="F631" s="27"/>
      <c r="G631" s="20"/>
      <c r="H631" s="27"/>
      <c r="I631" s="27"/>
      <c r="J631" s="27"/>
      <c r="K631" s="27"/>
      <c r="L631" s="27"/>
      <c r="M631" s="35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>
      <c r="A632" s="27"/>
      <c r="B632" s="27"/>
      <c r="C632" s="27"/>
      <c r="D632" s="27"/>
      <c r="E632" s="27"/>
      <c r="F632" s="27"/>
      <c r="G632" s="20"/>
      <c r="H632" s="27"/>
      <c r="I632" s="27"/>
      <c r="J632" s="27"/>
      <c r="K632" s="27"/>
      <c r="L632" s="27"/>
      <c r="M632" s="35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>
      <c r="A633" s="27"/>
      <c r="B633" s="27"/>
      <c r="C633" s="27"/>
      <c r="D633" s="27"/>
      <c r="E633" s="27"/>
      <c r="F633" s="27"/>
      <c r="G633" s="20"/>
      <c r="H633" s="27"/>
      <c r="I633" s="27"/>
      <c r="J633" s="27"/>
      <c r="K633" s="27"/>
      <c r="L633" s="27"/>
      <c r="M633" s="35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>
      <c r="A634" s="27"/>
      <c r="B634" s="27"/>
      <c r="C634" s="27"/>
      <c r="D634" s="27"/>
      <c r="E634" s="27"/>
      <c r="F634" s="27"/>
      <c r="G634" s="20"/>
      <c r="H634" s="27"/>
      <c r="I634" s="27"/>
      <c r="J634" s="27"/>
      <c r="K634" s="27"/>
      <c r="L634" s="27"/>
      <c r="M634" s="35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>
      <c r="A635" s="27"/>
      <c r="B635" s="27"/>
      <c r="C635" s="27"/>
      <c r="D635" s="27"/>
      <c r="E635" s="27"/>
      <c r="F635" s="27"/>
      <c r="G635" s="20"/>
      <c r="H635" s="27"/>
      <c r="I635" s="27"/>
      <c r="J635" s="27"/>
      <c r="K635" s="27"/>
      <c r="L635" s="27"/>
      <c r="M635" s="35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>
      <c r="A636" s="27"/>
      <c r="B636" s="27"/>
      <c r="C636" s="27"/>
      <c r="D636" s="27"/>
      <c r="E636" s="27"/>
      <c r="F636" s="27"/>
      <c r="G636" s="20"/>
      <c r="H636" s="27"/>
      <c r="I636" s="27"/>
      <c r="J636" s="27"/>
      <c r="K636" s="27"/>
      <c r="L636" s="27"/>
      <c r="M636" s="35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>
      <c r="A637" s="27"/>
      <c r="B637" s="27"/>
      <c r="C637" s="27"/>
      <c r="D637" s="27"/>
      <c r="E637" s="27"/>
      <c r="F637" s="27"/>
      <c r="G637" s="20"/>
      <c r="H637" s="27"/>
      <c r="I637" s="27"/>
      <c r="J637" s="27"/>
      <c r="K637" s="27"/>
      <c r="L637" s="27"/>
      <c r="M637" s="35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>
      <c r="A638" s="27"/>
      <c r="B638" s="27"/>
      <c r="C638" s="27"/>
      <c r="D638" s="27"/>
      <c r="E638" s="27"/>
      <c r="F638" s="27"/>
      <c r="G638" s="20"/>
      <c r="H638" s="27"/>
      <c r="I638" s="27"/>
      <c r="J638" s="27"/>
      <c r="K638" s="27"/>
      <c r="L638" s="27"/>
      <c r="M638" s="35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>
      <c r="A639" s="27"/>
      <c r="B639" s="27"/>
      <c r="C639" s="27"/>
      <c r="D639" s="27"/>
      <c r="E639" s="27"/>
      <c r="F639" s="27"/>
      <c r="G639" s="20"/>
      <c r="H639" s="27"/>
      <c r="I639" s="27"/>
      <c r="J639" s="27"/>
      <c r="K639" s="27"/>
      <c r="L639" s="27"/>
      <c r="M639" s="35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>
      <c r="A640" s="27"/>
      <c r="B640" s="27"/>
      <c r="C640" s="27"/>
      <c r="D640" s="27"/>
      <c r="E640" s="27"/>
      <c r="F640" s="27"/>
      <c r="G640" s="20"/>
      <c r="H640" s="27"/>
      <c r="I640" s="27"/>
      <c r="J640" s="27"/>
      <c r="K640" s="27"/>
      <c r="L640" s="27"/>
      <c r="M640" s="35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>
      <c r="A641" s="27"/>
      <c r="B641" s="27"/>
      <c r="C641" s="27"/>
      <c r="D641" s="27"/>
      <c r="E641" s="27"/>
      <c r="F641" s="27"/>
      <c r="G641" s="20"/>
      <c r="H641" s="27"/>
      <c r="I641" s="27"/>
      <c r="J641" s="27"/>
      <c r="K641" s="27"/>
      <c r="L641" s="27"/>
      <c r="M641" s="35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>
      <c r="A642" s="27"/>
      <c r="B642" s="27"/>
      <c r="C642" s="27"/>
      <c r="D642" s="27"/>
      <c r="E642" s="27"/>
      <c r="F642" s="27"/>
      <c r="G642" s="20"/>
      <c r="H642" s="27"/>
      <c r="I642" s="27"/>
      <c r="J642" s="27"/>
      <c r="K642" s="27"/>
      <c r="L642" s="27"/>
      <c r="M642" s="35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>
      <c r="A643" s="27"/>
      <c r="B643" s="27"/>
      <c r="C643" s="27"/>
      <c r="D643" s="27"/>
      <c r="E643" s="27"/>
      <c r="F643" s="27"/>
      <c r="G643" s="20"/>
      <c r="H643" s="27"/>
      <c r="I643" s="27"/>
      <c r="J643" s="27"/>
      <c r="K643" s="27"/>
      <c r="L643" s="27"/>
      <c r="M643" s="35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>
      <c r="A644" s="27"/>
      <c r="B644" s="27"/>
      <c r="C644" s="27"/>
      <c r="D644" s="27"/>
      <c r="E644" s="27"/>
      <c r="F644" s="27"/>
      <c r="G644" s="20"/>
      <c r="H644" s="27"/>
      <c r="I644" s="27"/>
      <c r="J644" s="27"/>
      <c r="K644" s="27"/>
      <c r="L644" s="27"/>
      <c r="M644" s="35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>
      <c r="A645" s="27"/>
      <c r="B645" s="27"/>
      <c r="C645" s="27"/>
      <c r="D645" s="27"/>
      <c r="E645" s="27"/>
      <c r="F645" s="27"/>
      <c r="G645" s="20"/>
      <c r="H645" s="27"/>
      <c r="I645" s="27"/>
      <c r="J645" s="27"/>
      <c r="K645" s="27"/>
      <c r="L645" s="27"/>
      <c r="M645" s="35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>
      <c r="A646" s="27"/>
      <c r="B646" s="27"/>
      <c r="C646" s="27"/>
      <c r="D646" s="27"/>
      <c r="E646" s="27"/>
      <c r="F646" s="27"/>
      <c r="G646" s="20"/>
      <c r="H646" s="27"/>
      <c r="I646" s="27"/>
      <c r="J646" s="27"/>
      <c r="K646" s="27"/>
      <c r="L646" s="27"/>
      <c r="M646" s="35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>
      <c r="A647" s="27"/>
      <c r="B647" s="27"/>
      <c r="C647" s="27"/>
      <c r="D647" s="27"/>
      <c r="E647" s="27"/>
      <c r="F647" s="27"/>
      <c r="G647" s="20"/>
      <c r="H647" s="27"/>
      <c r="I647" s="27"/>
      <c r="J647" s="27"/>
      <c r="K647" s="27"/>
      <c r="L647" s="27"/>
      <c r="M647" s="35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>
      <c r="A648" s="27"/>
      <c r="B648" s="27"/>
      <c r="C648" s="27"/>
      <c r="D648" s="27"/>
      <c r="E648" s="27"/>
      <c r="F648" s="27"/>
      <c r="G648" s="20"/>
      <c r="H648" s="27"/>
      <c r="I648" s="27"/>
      <c r="J648" s="27"/>
      <c r="K648" s="27"/>
      <c r="L648" s="27"/>
      <c r="M648" s="35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>
      <c r="A649" s="27"/>
      <c r="B649" s="27"/>
      <c r="C649" s="27"/>
      <c r="D649" s="27"/>
      <c r="E649" s="27"/>
      <c r="F649" s="27"/>
      <c r="G649" s="20"/>
      <c r="H649" s="27"/>
      <c r="I649" s="27"/>
      <c r="J649" s="27"/>
      <c r="K649" s="27"/>
      <c r="L649" s="27"/>
      <c r="M649" s="35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>
      <c r="A650" s="27"/>
      <c r="B650" s="27"/>
      <c r="C650" s="27"/>
      <c r="D650" s="27"/>
      <c r="E650" s="27"/>
      <c r="F650" s="27"/>
      <c r="G650" s="20"/>
      <c r="H650" s="27"/>
      <c r="I650" s="27"/>
      <c r="J650" s="27"/>
      <c r="K650" s="27"/>
      <c r="L650" s="27"/>
      <c r="M650" s="35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>
      <c r="A651" s="27"/>
      <c r="B651" s="27"/>
      <c r="C651" s="27"/>
      <c r="D651" s="27"/>
      <c r="E651" s="27"/>
      <c r="F651" s="27"/>
      <c r="G651" s="20"/>
      <c r="H651" s="27"/>
      <c r="I651" s="27"/>
      <c r="J651" s="27"/>
      <c r="K651" s="27"/>
      <c r="L651" s="27"/>
      <c r="M651" s="35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>
      <c r="A652" s="27"/>
      <c r="B652" s="27"/>
      <c r="C652" s="27"/>
      <c r="D652" s="27"/>
      <c r="E652" s="27"/>
      <c r="F652" s="27"/>
      <c r="G652" s="20"/>
      <c r="H652" s="27"/>
      <c r="I652" s="27"/>
      <c r="J652" s="27"/>
      <c r="K652" s="27"/>
      <c r="L652" s="27"/>
      <c r="M652" s="35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>
      <c r="A653" s="27"/>
      <c r="B653" s="27"/>
      <c r="C653" s="27"/>
      <c r="D653" s="27"/>
      <c r="E653" s="27"/>
      <c r="F653" s="27"/>
      <c r="G653" s="20"/>
      <c r="H653" s="27"/>
      <c r="I653" s="27"/>
      <c r="J653" s="27"/>
      <c r="K653" s="27"/>
      <c r="L653" s="27"/>
      <c r="M653" s="35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>
      <c r="A654" s="27"/>
      <c r="B654" s="27"/>
      <c r="C654" s="27"/>
      <c r="D654" s="27"/>
      <c r="E654" s="27"/>
      <c r="F654" s="27"/>
      <c r="G654" s="20"/>
      <c r="H654" s="27"/>
      <c r="I654" s="27"/>
      <c r="J654" s="27"/>
      <c r="K654" s="27"/>
      <c r="L654" s="27"/>
      <c r="M654" s="35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>
      <c r="A655" s="27"/>
      <c r="B655" s="27"/>
      <c r="C655" s="27"/>
      <c r="D655" s="27"/>
      <c r="E655" s="27"/>
      <c r="F655" s="27"/>
      <c r="G655" s="20"/>
      <c r="H655" s="27"/>
      <c r="I655" s="27"/>
      <c r="J655" s="27"/>
      <c r="K655" s="27"/>
      <c r="L655" s="27"/>
      <c r="M655" s="35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>
      <c r="A656" s="27"/>
      <c r="B656" s="27"/>
      <c r="C656" s="27"/>
      <c r="D656" s="27"/>
      <c r="E656" s="27"/>
      <c r="F656" s="27"/>
      <c r="G656" s="20"/>
      <c r="H656" s="27"/>
      <c r="I656" s="27"/>
      <c r="J656" s="27"/>
      <c r="K656" s="27"/>
      <c r="L656" s="27"/>
      <c r="M656" s="35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>
      <c r="A657" s="27"/>
      <c r="B657" s="27"/>
      <c r="C657" s="27"/>
      <c r="D657" s="27"/>
      <c r="E657" s="27"/>
      <c r="F657" s="27"/>
      <c r="G657" s="20"/>
      <c r="H657" s="27"/>
      <c r="I657" s="27"/>
      <c r="J657" s="27"/>
      <c r="K657" s="27"/>
      <c r="L657" s="27"/>
      <c r="M657" s="35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>
      <c r="A658" s="27"/>
      <c r="B658" s="27"/>
      <c r="C658" s="27"/>
      <c r="D658" s="27"/>
      <c r="E658" s="27"/>
      <c r="F658" s="27"/>
      <c r="G658" s="20"/>
      <c r="H658" s="27"/>
      <c r="I658" s="27"/>
      <c r="J658" s="27"/>
      <c r="K658" s="27"/>
      <c r="L658" s="27"/>
      <c r="M658" s="35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>
      <c r="A659" s="27"/>
      <c r="B659" s="27"/>
      <c r="C659" s="27"/>
      <c r="D659" s="27"/>
      <c r="E659" s="27"/>
      <c r="F659" s="27"/>
      <c r="G659" s="20"/>
      <c r="H659" s="27"/>
      <c r="I659" s="27"/>
      <c r="J659" s="27"/>
      <c r="K659" s="27"/>
      <c r="L659" s="27"/>
      <c r="M659" s="35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>
      <c r="A660" s="27"/>
      <c r="B660" s="27"/>
      <c r="C660" s="27"/>
      <c r="D660" s="27"/>
      <c r="E660" s="27"/>
      <c r="F660" s="27"/>
      <c r="G660" s="20"/>
      <c r="H660" s="27"/>
      <c r="I660" s="27"/>
      <c r="J660" s="27"/>
      <c r="K660" s="27"/>
      <c r="L660" s="27"/>
      <c r="M660" s="35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>
      <c r="A661" s="27"/>
      <c r="B661" s="27"/>
      <c r="C661" s="27"/>
      <c r="D661" s="27"/>
      <c r="E661" s="27"/>
      <c r="F661" s="27"/>
      <c r="G661" s="20"/>
      <c r="H661" s="27"/>
      <c r="I661" s="27"/>
      <c r="J661" s="27"/>
      <c r="K661" s="27"/>
      <c r="L661" s="27"/>
      <c r="M661" s="35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>
      <c r="A662" s="27"/>
      <c r="B662" s="27"/>
      <c r="C662" s="27"/>
      <c r="D662" s="27"/>
      <c r="E662" s="27"/>
      <c r="F662" s="27"/>
      <c r="G662" s="20"/>
      <c r="H662" s="27"/>
      <c r="I662" s="27"/>
      <c r="J662" s="27"/>
      <c r="K662" s="27"/>
      <c r="L662" s="27"/>
      <c r="M662" s="35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>
      <c r="A663" s="27"/>
      <c r="B663" s="27"/>
      <c r="C663" s="27"/>
      <c r="D663" s="27"/>
      <c r="E663" s="27"/>
      <c r="F663" s="27"/>
      <c r="G663" s="20"/>
      <c r="H663" s="27"/>
      <c r="I663" s="27"/>
      <c r="J663" s="27"/>
      <c r="K663" s="27"/>
      <c r="L663" s="27"/>
      <c r="M663" s="35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>
      <c r="A664" s="27"/>
      <c r="B664" s="27"/>
      <c r="C664" s="27"/>
      <c r="D664" s="27"/>
      <c r="E664" s="27"/>
      <c r="F664" s="27"/>
      <c r="G664" s="20"/>
      <c r="H664" s="27"/>
      <c r="I664" s="27"/>
      <c r="J664" s="27"/>
      <c r="K664" s="27"/>
      <c r="L664" s="27"/>
      <c r="M664" s="35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>
      <c r="A665" s="27"/>
      <c r="B665" s="27"/>
      <c r="C665" s="27"/>
      <c r="D665" s="27"/>
      <c r="E665" s="27"/>
      <c r="F665" s="27"/>
      <c r="G665" s="20"/>
      <c r="H665" s="27"/>
      <c r="I665" s="27"/>
      <c r="J665" s="27"/>
      <c r="K665" s="27"/>
      <c r="L665" s="27"/>
      <c r="M665" s="35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>
      <c r="A666" s="27"/>
      <c r="B666" s="27"/>
      <c r="C666" s="27"/>
      <c r="D666" s="27"/>
      <c r="E666" s="27"/>
      <c r="F666" s="27"/>
      <c r="G666" s="20"/>
      <c r="H666" s="27"/>
      <c r="I666" s="27"/>
      <c r="J666" s="27"/>
      <c r="K666" s="27"/>
      <c r="L666" s="27"/>
      <c r="M666" s="35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>
      <c r="A667" s="27"/>
      <c r="B667" s="27"/>
      <c r="C667" s="27"/>
      <c r="D667" s="27"/>
      <c r="E667" s="27"/>
      <c r="F667" s="27"/>
      <c r="G667" s="20"/>
      <c r="H667" s="27"/>
      <c r="I667" s="27"/>
      <c r="J667" s="27"/>
      <c r="K667" s="27"/>
      <c r="L667" s="27"/>
      <c r="M667" s="35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>
      <c r="A668" s="27"/>
      <c r="B668" s="27"/>
      <c r="C668" s="27"/>
      <c r="D668" s="27"/>
      <c r="E668" s="27"/>
      <c r="F668" s="27"/>
      <c r="G668" s="20"/>
      <c r="H668" s="27"/>
      <c r="I668" s="27"/>
      <c r="J668" s="27"/>
      <c r="K668" s="27"/>
      <c r="L668" s="27"/>
      <c r="M668" s="35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>
      <c r="A669" s="27"/>
      <c r="B669" s="27"/>
      <c r="C669" s="27"/>
      <c r="D669" s="27"/>
      <c r="E669" s="27"/>
      <c r="F669" s="27"/>
      <c r="G669" s="20"/>
      <c r="H669" s="27"/>
      <c r="I669" s="27"/>
      <c r="J669" s="27"/>
      <c r="K669" s="27"/>
      <c r="L669" s="27"/>
      <c r="M669" s="35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>
      <c r="A670" s="27"/>
      <c r="B670" s="27"/>
      <c r="C670" s="27"/>
      <c r="D670" s="27"/>
      <c r="E670" s="27"/>
      <c r="F670" s="27"/>
      <c r="G670" s="20"/>
      <c r="H670" s="27"/>
      <c r="I670" s="27"/>
      <c r="J670" s="27"/>
      <c r="K670" s="27"/>
      <c r="L670" s="27"/>
      <c r="M670" s="35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>
      <c r="A671" s="27"/>
      <c r="B671" s="27"/>
      <c r="C671" s="27"/>
      <c r="D671" s="27"/>
      <c r="E671" s="27"/>
      <c r="F671" s="27"/>
      <c r="G671" s="20"/>
      <c r="H671" s="27"/>
      <c r="I671" s="27"/>
      <c r="J671" s="27"/>
      <c r="K671" s="27"/>
      <c r="L671" s="27"/>
      <c r="M671" s="35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>
      <c r="A672" s="27"/>
      <c r="B672" s="27"/>
      <c r="C672" s="27"/>
      <c r="D672" s="27"/>
      <c r="E672" s="27"/>
      <c r="F672" s="27"/>
      <c r="G672" s="20"/>
      <c r="H672" s="27"/>
      <c r="I672" s="27"/>
      <c r="J672" s="27"/>
      <c r="K672" s="27"/>
      <c r="L672" s="27"/>
      <c r="M672" s="35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>
      <c r="A673" s="27"/>
      <c r="B673" s="27"/>
      <c r="C673" s="27"/>
      <c r="D673" s="27"/>
      <c r="E673" s="27"/>
      <c r="F673" s="27"/>
      <c r="G673" s="20"/>
      <c r="H673" s="27"/>
      <c r="I673" s="27"/>
      <c r="J673" s="27"/>
      <c r="K673" s="27"/>
      <c r="L673" s="27"/>
      <c r="M673" s="35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>
      <c r="A674" s="27"/>
      <c r="B674" s="27"/>
      <c r="C674" s="27"/>
      <c r="D674" s="27"/>
      <c r="E674" s="27"/>
      <c r="F674" s="27"/>
      <c r="G674" s="20"/>
      <c r="H674" s="27"/>
      <c r="I674" s="27"/>
      <c r="J674" s="27"/>
      <c r="K674" s="27"/>
      <c r="L674" s="27"/>
      <c r="M674" s="35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>
      <c r="A675" s="27"/>
      <c r="B675" s="27"/>
      <c r="C675" s="27"/>
      <c r="D675" s="27"/>
      <c r="E675" s="27"/>
      <c r="F675" s="27"/>
      <c r="G675" s="20"/>
      <c r="H675" s="27"/>
      <c r="I675" s="27"/>
      <c r="J675" s="27"/>
      <c r="K675" s="27"/>
      <c r="L675" s="27"/>
      <c r="M675" s="35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>
      <c r="A676" s="27"/>
      <c r="B676" s="27"/>
      <c r="C676" s="27"/>
      <c r="D676" s="27"/>
      <c r="E676" s="27"/>
      <c r="F676" s="27"/>
      <c r="G676" s="20"/>
      <c r="H676" s="27"/>
      <c r="I676" s="27"/>
      <c r="J676" s="27"/>
      <c r="K676" s="27"/>
      <c r="L676" s="27"/>
      <c r="M676" s="35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>
      <c r="A677" s="27"/>
      <c r="B677" s="27"/>
      <c r="C677" s="27"/>
      <c r="D677" s="27"/>
      <c r="E677" s="27"/>
      <c r="F677" s="27"/>
      <c r="G677" s="20"/>
      <c r="H677" s="27"/>
      <c r="I677" s="27"/>
      <c r="J677" s="27"/>
      <c r="K677" s="27"/>
      <c r="L677" s="27"/>
      <c r="M677" s="35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>
      <c r="A678" s="27"/>
      <c r="B678" s="27"/>
      <c r="C678" s="27"/>
      <c r="D678" s="27"/>
      <c r="E678" s="27"/>
      <c r="F678" s="27"/>
      <c r="G678" s="20"/>
      <c r="H678" s="27"/>
      <c r="I678" s="27"/>
      <c r="J678" s="27"/>
      <c r="K678" s="27"/>
      <c r="L678" s="27"/>
      <c r="M678" s="35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>
      <c r="A679" s="27"/>
      <c r="B679" s="27"/>
      <c r="C679" s="27"/>
      <c r="D679" s="27"/>
      <c r="E679" s="27"/>
      <c r="F679" s="27"/>
      <c r="G679" s="20"/>
      <c r="H679" s="27"/>
      <c r="I679" s="27"/>
      <c r="J679" s="27"/>
      <c r="K679" s="27"/>
      <c r="L679" s="27"/>
      <c r="M679" s="35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>
      <c r="A680" s="27"/>
      <c r="B680" s="27"/>
      <c r="C680" s="27"/>
      <c r="D680" s="27"/>
      <c r="E680" s="27"/>
      <c r="F680" s="27"/>
      <c r="G680" s="20"/>
      <c r="H680" s="27"/>
      <c r="I680" s="27"/>
      <c r="J680" s="27"/>
      <c r="K680" s="27"/>
      <c r="L680" s="27"/>
      <c r="M680" s="35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>
      <c r="A681" s="27"/>
      <c r="B681" s="27"/>
      <c r="C681" s="27"/>
      <c r="D681" s="27"/>
      <c r="E681" s="27"/>
      <c r="F681" s="27"/>
      <c r="G681" s="20"/>
      <c r="H681" s="27"/>
      <c r="I681" s="27"/>
      <c r="J681" s="27"/>
      <c r="K681" s="27"/>
      <c r="L681" s="27"/>
      <c r="M681" s="35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>
      <c r="A682" s="27"/>
      <c r="B682" s="27"/>
      <c r="C682" s="27"/>
      <c r="D682" s="27"/>
      <c r="E682" s="27"/>
      <c r="F682" s="27"/>
      <c r="G682" s="20"/>
      <c r="H682" s="27"/>
      <c r="I682" s="27"/>
      <c r="J682" s="27"/>
      <c r="K682" s="27"/>
      <c r="L682" s="27"/>
      <c r="M682" s="35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>
      <c r="A683" s="27"/>
      <c r="B683" s="27"/>
      <c r="C683" s="27"/>
      <c r="D683" s="27"/>
      <c r="E683" s="27"/>
      <c r="F683" s="27"/>
      <c r="G683" s="20"/>
      <c r="H683" s="27"/>
      <c r="I683" s="27"/>
      <c r="J683" s="27"/>
      <c r="K683" s="27"/>
      <c r="L683" s="27"/>
      <c r="M683" s="35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>
      <c r="A684" s="27"/>
      <c r="B684" s="27"/>
      <c r="C684" s="27"/>
      <c r="D684" s="27"/>
      <c r="E684" s="27"/>
      <c r="F684" s="27"/>
      <c r="G684" s="20"/>
      <c r="H684" s="27"/>
      <c r="I684" s="27"/>
      <c r="J684" s="27"/>
      <c r="K684" s="27"/>
      <c r="L684" s="27"/>
      <c r="M684" s="35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>
      <c r="A685" s="27"/>
      <c r="B685" s="27"/>
      <c r="C685" s="27"/>
      <c r="D685" s="27"/>
      <c r="E685" s="27"/>
      <c r="F685" s="27"/>
      <c r="G685" s="20"/>
      <c r="H685" s="27"/>
      <c r="I685" s="27"/>
      <c r="J685" s="27"/>
      <c r="K685" s="27"/>
      <c r="L685" s="27"/>
      <c r="M685" s="35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>
      <c r="A686" s="27"/>
      <c r="B686" s="27"/>
      <c r="C686" s="27"/>
      <c r="D686" s="27"/>
      <c r="E686" s="27"/>
      <c r="F686" s="27"/>
      <c r="G686" s="20"/>
      <c r="H686" s="27"/>
      <c r="I686" s="27"/>
      <c r="J686" s="27"/>
      <c r="K686" s="27"/>
      <c r="L686" s="27"/>
      <c r="M686" s="35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>
      <c r="A687" s="27"/>
      <c r="B687" s="27"/>
      <c r="C687" s="27"/>
      <c r="D687" s="27"/>
      <c r="E687" s="27"/>
      <c r="F687" s="27"/>
      <c r="G687" s="20"/>
      <c r="H687" s="27"/>
      <c r="I687" s="27"/>
      <c r="J687" s="27"/>
      <c r="K687" s="27"/>
      <c r="L687" s="27"/>
      <c r="M687" s="35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>
      <c r="A688" s="27"/>
      <c r="B688" s="27"/>
      <c r="C688" s="27"/>
      <c r="D688" s="27"/>
      <c r="E688" s="27"/>
      <c r="F688" s="27"/>
      <c r="G688" s="20"/>
      <c r="H688" s="27"/>
      <c r="I688" s="27"/>
      <c r="J688" s="27"/>
      <c r="K688" s="27"/>
      <c r="L688" s="27"/>
      <c r="M688" s="35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>
      <c r="A689" s="27"/>
      <c r="B689" s="27"/>
      <c r="C689" s="27"/>
      <c r="D689" s="27"/>
      <c r="E689" s="27"/>
      <c r="F689" s="27"/>
      <c r="G689" s="20"/>
      <c r="H689" s="27"/>
      <c r="I689" s="27"/>
      <c r="J689" s="27"/>
      <c r="K689" s="27"/>
      <c r="L689" s="27"/>
      <c r="M689" s="35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>
      <c r="A690" s="27"/>
      <c r="B690" s="27"/>
      <c r="C690" s="27"/>
      <c r="D690" s="27"/>
      <c r="E690" s="27"/>
      <c r="F690" s="27"/>
      <c r="G690" s="20"/>
      <c r="H690" s="27"/>
      <c r="I690" s="27"/>
      <c r="J690" s="27"/>
      <c r="K690" s="27"/>
      <c r="L690" s="27"/>
      <c r="M690" s="35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>
      <c r="A691" s="27"/>
      <c r="B691" s="27"/>
      <c r="C691" s="27"/>
      <c r="D691" s="27"/>
      <c r="E691" s="27"/>
      <c r="F691" s="27"/>
      <c r="G691" s="20"/>
      <c r="H691" s="27"/>
      <c r="I691" s="27"/>
      <c r="J691" s="27"/>
      <c r="K691" s="27"/>
      <c r="L691" s="27"/>
      <c r="M691" s="35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>
      <c r="A692" s="27"/>
      <c r="B692" s="27"/>
      <c r="C692" s="27"/>
      <c r="D692" s="27"/>
      <c r="E692" s="27"/>
      <c r="F692" s="27"/>
      <c r="G692" s="20"/>
      <c r="H692" s="27"/>
      <c r="I692" s="27"/>
      <c r="J692" s="27"/>
      <c r="K692" s="27"/>
      <c r="L692" s="27"/>
      <c r="M692" s="35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>
      <c r="A693" s="27"/>
      <c r="B693" s="27"/>
      <c r="C693" s="27"/>
      <c r="D693" s="27"/>
      <c r="E693" s="27"/>
      <c r="F693" s="27"/>
      <c r="G693" s="20"/>
      <c r="H693" s="27"/>
      <c r="I693" s="27"/>
      <c r="J693" s="27"/>
      <c r="K693" s="27"/>
      <c r="L693" s="27"/>
      <c r="M693" s="35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>
      <c r="A694" s="27"/>
      <c r="B694" s="27"/>
      <c r="C694" s="27"/>
      <c r="D694" s="27"/>
      <c r="E694" s="27"/>
      <c r="F694" s="27"/>
      <c r="G694" s="20"/>
      <c r="H694" s="27"/>
      <c r="I694" s="27"/>
      <c r="J694" s="27"/>
      <c r="K694" s="27"/>
      <c r="L694" s="27"/>
      <c r="M694" s="35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>
      <c r="A695" s="27"/>
      <c r="B695" s="27"/>
      <c r="C695" s="27"/>
      <c r="D695" s="27"/>
      <c r="E695" s="27"/>
      <c r="F695" s="27"/>
      <c r="G695" s="20"/>
      <c r="H695" s="27"/>
      <c r="I695" s="27"/>
      <c r="J695" s="27"/>
      <c r="K695" s="27"/>
      <c r="L695" s="27"/>
      <c r="M695" s="35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>
      <c r="A696" s="27"/>
      <c r="B696" s="27"/>
      <c r="C696" s="27"/>
      <c r="D696" s="27"/>
      <c r="E696" s="27"/>
      <c r="F696" s="27"/>
      <c r="G696" s="20"/>
      <c r="H696" s="27"/>
      <c r="I696" s="27"/>
      <c r="J696" s="27"/>
      <c r="K696" s="27"/>
      <c r="L696" s="27"/>
      <c r="M696" s="35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>
      <c r="A697" s="27"/>
      <c r="B697" s="27"/>
      <c r="C697" s="27"/>
      <c r="D697" s="27"/>
      <c r="E697" s="27"/>
      <c r="F697" s="27"/>
      <c r="G697" s="20"/>
      <c r="H697" s="27"/>
      <c r="I697" s="27"/>
      <c r="J697" s="27"/>
      <c r="K697" s="27"/>
      <c r="L697" s="27"/>
      <c r="M697" s="35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>
      <c r="A698" s="27"/>
      <c r="B698" s="27"/>
      <c r="C698" s="27"/>
      <c r="D698" s="27"/>
      <c r="E698" s="27"/>
      <c r="F698" s="27"/>
      <c r="G698" s="20"/>
      <c r="H698" s="27"/>
      <c r="I698" s="27"/>
      <c r="J698" s="27"/>
      <c r="K698" s="27"/>
      <c r="L698" s="27"/>
      <c r="M698" s="35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>
      <c r="A699" s="27"/>
      <c r="B699" s="27"/>
      <c r="C699" s="27"/>
      <c r="D699" s="27"/>
      <c r="E699" s="27"/>
      <c r="F699" s="27"/>
      <c r="G699" s="20"/>
      <c r="H699" s="27"/>
      <c r="I699" s="27"/>
      <c r="J699" s="27"/>
      <c r="K699" s="27"/>
      <c r="L699" s="27"/>
      <c r="M699" s="35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>
      <c r="A700" s="27"/>
      <c r="B700" s="27"/>
      <c r="C700" s="27"/>
      <c r="D700" s="27"/>
      <c r="E700" s="27"/>
      <c r="F700" s="27"/>
      <c r="G700" s="20"/>
      <c r="H700" s="27"/>
      <c r="I700" s="27"/>
      <c r="J700" s="27"/>
      <c r="K700" s="27"/>
      <c r="L700" s="27"/>
      <c r="M700" s="35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>
      <c r="A701" s="27"/>
      <c r="B701" s="27"/>
      <c r="C701" s="27"/>
      <c r="D701" s="27"/>
      <c r="E701" s="27"/>
      <c r="F701" s="27"/>
      <c r="G701" s="20"/>
      <c r="H701" s="27"/>
      <c r="I701" s="27"/>
      <c r="J701" s="27"/>
      <c r="K701" s="27"/>
      <c r="L701" s="27"/>
      <c r="M701" s="35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>
      <c r="A702" s="27"/>
      <c r="B702" s="27"/>
      <c r="C702" s="27"/>
      <c r="D702" s="27"/>
      <c r="E702" s="27"/>
      <c r="F702" s="27"/>
      <c r="G702" s="20"/>
      <c r="H702" s="27"/>
      <c r="I702" s="27"/>
      <c r="J702" s="27"/>
      <c r="K702" s="27"/>
      <c r="L702" s="27"/>
      <c r="M702" s="35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>
      <c r="A703" s="27"/>
      <c r="B703" s="27"/>
      <c r="C703" s="27"/>
      <c r="D703" s="27"/>
      <c r="E703" s="27"/>
      <c r="F703" s="27"/>
      <c r="G703" s="20"/>
      <c r="H703" s="27"/>
      <c r="I703" s="27"/>
      <c r="J703" s="27"/>
      <c r="K703" s="27"/>
      <c r="L703" s="27"/>
      <c r="M703" s="35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>
      <c r="A704" s="27"/>
      <c r="B704" s="27"/>
      <c r="C704" s="27"/>
      <c r="D704" s="27"/>
      <c r="E704" s="27"/>
      <c r="F704" s="27"/>
      <c r="G704" s="20"/>
      <c r="H704" s="27"/>
      <c r="I704" s="27"/>
      <c r="J704" s="27"/>
      <c r="K704" s="27"/>
      <c r="L704" s="27"/>
      <c r="M704" s="35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>
      <c r="A705" s="27"/>
      <c r="B705" s="27"/>
      <c r="C705" s="27"/>
      <c r="D705" s="27"/>
      <c r="E705" s="27"/>
      <c r="F705" s="27"/>
      <c r="G705" s="20"/>
      <c r="H705" s="27"/>
      <c r="I705" s="27"/>
      <c r="J705" s="27"/>
      <c r="K705" s="27"/>
      <c r="L705" s="27"/>
      <c r="M705" s="35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>
      <c r="A706" s="27"/>
      <c r="B706" s="27"/>
      <c r="C706" s="27"/>
      <c r="D706" s="27"/>
      <c r="E706" s="27"/>
      <c r="F706" s="27"/>
      <c r="G706" s="20"/>
      <c r="H706" s="27"/>
      <c r="I706" s="27"/>
      <c r="J706" s="27"/>
      <c r="K706" s="27"/>
      <c r="L706" s="27"/>
      <c r="M706" s="35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>
      <c r="A707" s="27"/>
      <c r="B707" s="27"/>
      <c r="C707" s="27"/>
      <c r="D707" s="27"/>
      <c r="E707" s="27"/>
      <c r="F707" s="27"/>
      <c r="G707" s="20"/>
      <c r="H707" s="27"/>
      <c r="I707" s="27"/>
      <c r="J707" s="27"/>
      <c r="K707" s="27"/>
      <c r="L707" s="27"/>
      <c r="M707" s="35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>
      <c r="A708" s="27"/>
      <c r="B708" s="27"/>
      <c r="C708" s="27"/>
      <c r="D708" s="27"/>
      <c r="E708" s="27"/>
      <c r="F708" s="27"/>
      <c r="G708" s="20"/>
      <c r="H708" s="27"/>
      <c r="I708" s="27"/>
      <c r="J708" s="27"/>
      <c r="K708" s="27"/>
      <c r="L708" s="27"/>
      <c r="M708" s="35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>
      <c r="A709" s="27"/>
      <c r="B709" s="27"/>
      <c r="C709" s="27"/>
      <c r="D709" s="27"/>
      <c r="E709" s="27"/>
      <c r="F709" s="27"/>
      <c r="G709" s="20"/>
      <c r="H709" s="27"/>
      <c r="I709" s="27"/>
      <c r="J709" s="27"/>
      <c r="K709" s="27"/>
      <c r="L709" s="27"/>
      <c r="M709" s="35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>
      <c r="A710" s="27"/>
      <c r="B710" s="27"/>
      <c r="C710" s="27"/>
      <c r="D710" s="27"/>
      <c r="E710" s="27"/>
      <c r="F710" s="27"/>
      <c r="G710" s="20"/>
      <c r="H710" s="27"/>
      <c r="I710" s="27"/>
      <c r="J710" s="27"/>
      <c r="K710" s="27"/>
      <c r="L710" s="27"/>
      <c r="M710" s="35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>
      <c r="A711" s="27"/>
      <c r="B711" s="27"/>
      <c r="C711" s="27"/>
      <c r="D711" s="27"/>
      <c r="E711" s="27"/>
      <c r="F711" s="27"/>
      <c r="G711" s="20"/>
      <c r="H711" s="27"/>
      <c r="I711" s="27"/>
      <c r="J711" s="27"/>
      <c r="K711" s="27"/>
      <c r="L711" s="27"/>
      <c r="M711" s="35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>
      <c r="A712" s="27"/>
      <c r="B712" s="27"/>
      <c r="C712" s="27"/>
      <c r="D712" s="27"/>
      <c r="E712" s="27"/>
      <c r="F712" s="27"/>
      <c r="G712" s="20"/>
      <c r="H712" s="27"/>
      <c r="I712" s="27"/>
      <c r="J712" s="27"/>
      <c r="K712" s="27"/>
      <c r="L712" s="27"/>
      <c r="M712" s="35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>
      <c r="A713" s="27"/>
      <c r="B713" s="27"/>
      <c r="C713" s="27"/>
      <c r="D713" s="27"/>
      <c r="E713" s="27"/>
      <c r="F713" s="27"/>
      <c r="G713" s="20"/>
      <c r="H713" s="27"/>
      <c r="I713" s="27"/>
      <c r="J713" s="27"/>
      <c r="K713" s="27"/>
      <c r="L713" s="27"/>
      <c r="M713" s="35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>
      <c r="A714" s="27"/>
      <c r="B714" s="27"/>
      <c r="C714" s="27"/>
      <c r="D714" s="27"/>
      <c r="E714" s="27"/>
      <c r="F714" s="27"/>
      <c r="G714" s="20"/>
      <c r="H714" s="27"/>
      <c r="I714" s="27"/>
      <c r="J714" s="27"/>
      <c r="K714" s="27"/>
      <c r="L714" s="27"/>
      <c r="M714" s="35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>
      <c r="A715" s="27"/>
      <c r="B715" s="27"/>
      <c r="C715" s="27"/>
      <c r="D715" s="27"/>
      <c r="E715" s="27"/>
      <c r="F715" s="27"/>
      <c r="G715" s="20"/>
      <c r="H715" s="27"/>
      <c r="I715" s="27"/>
      <c r="J715" s="27"/>
      <c r="K715" s="27"/>
      <c r="L715" s="27"/>
      <c r="M715" s="35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>
      <c r="A716" s="27"/>
      <c r="B716" s="27"/>
      <c r="C716" s="27"/>
      <c r="D716" s="27"/>
      <c r="E716" s="27"/>
      <c r="F716" s="27"/>
      <c r="G716" s="20"/>
      <c r="H716" s="27"/>
      <c r="I716" s="27"/>
      <c r="J716" s="27"/>
      <c r="K716" s="27"/>
      <c r="L716" s="27"/>
      <c r="M716" s="35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>
      <c r="A717" s="27"/>
      <c r="B717" s="27"/>
      <c r="C717" s="27"/>
      <c r="D717" s="27"/>
      <c r="E717" s="27"/>
      <c r="F717" s="27"/>
      <c r="G717" s="20"/>
      <c r="H717" s="27"/>
      <c r="I717" s="27"/>
      <c r="J717" s="27"/>
      <c r="K717" s="27"/>
      <c r="L717" s="27"/>
      <c r="M717" s="35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>
      <c r="A718" s="27"/>
      <c r="B718" s="27"/>
      <c r="C718" s="27"/>
      <c r="D718" s="27"/>
      <c r="E718" s="27"/>
      <c r="F718" s="27"/>
      <c r="G718" s="20"/>
      <c r="H718" s="27"/>
      <c r="I718" s="27"/>
      <c r="J718" s="27"/>
      <c r="K718" s="27"/>
      <c r="L718" s="27"/>
      <c r="M718" s="35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>
      <c r="A719" s="27"/>
      <c r="B719" s="27"/>
      <c r="C719" s="27"/>
      <c r="D719" s="27"/>
      <c r="E719" s="27"/>
      <c r="F719" s="27"/>
      <c r="G719" s="20"/>
      <c r="H719" s="27"/>
      <c r="I719" s="27"/>
      <c r="J719" s="27"/>
      <c r="K719" s="27"/>
      <c r="L719" s="27"/>
      <c r="M719" s="35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>
      <c r="A720" s="27"/>
      <c r="B720" s="27"/>
      <c r="C720" s="27"/>
      <c r="D720" s="27"/>
      <c r="E720" s="27"/>
      <c r="F720" s="27"/>
      <c r="G720" s="20"/>
      <c r="H720" s="27"/>
      <c r="I720" s="27"/>
      <c r="J720" s="27"/>
      <c r="K720" s="27"/>
      <c r="L720" s="27"/>
      <c r="M720" s="35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>
      <c r="A721" s="27"/>
      <c r="B721" s="27"/>
      <c r="C721" s="27"/>
      <c r="D721" s="27"/>
      <c r="E721" s="27"/>
      <c r="F721" s="27"/>
      <c r="G721" s="20"/>
      <c r="H721" s="27"/>
      <c r="I721" s="27"/>
      <c r="J721" s="27"/>
      <c r="K721" s="27"/>
      <c r="L721" s="27"/>
      <c r="M721" s="35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>
      <c r="A722" s="27"/>
      <c r="B722" s="27"/>
      <c r="C722" s="27"/>
      <c r="D722" s="27"/>
      <c r="E722" s="27"/>
      <c r="F722" s="27"/>
      <c r="G722" s="20"/>
      <c r="H722" s="27"/>
      <c r="I722" s="27"/>
      <c r="J722" s="27"/>
      <c r="K722" s="27"/>
      <c r="L722" s="27"/>
      <c r="M722" s="35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>
      <c r="A723" s="27"/>
      <c r="B723" s="27"/>
      <c r="C723" s="27"/>
      <c r="D723" s="27"/>
      <c r="E723" s="27"/>
      <c r="F723" s="27"/>
      <c r="G723" s="20"/>
      <c r="H723" s="27"/>
      <c r="I723" s="27"/>
      <c r="J723" s="27"/>
      <c r="K723" s="27"/>
      <c r="L723" s="27"/>
      <c r="M723" s="35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>
      <c r="A724" s="27"/>
      <c r="B724" s="27"/>
      <c r="C724" s="27"/>
      <c r="D724" s="27"/>
      <c r="E724" s="27"/>
      <c r="F724" s="27"/>
      <c r="G724" s="20"/>
      <c r="H724" s="27"/>
      <c r="I724" s="27"/>
      <c r="J724" s="27"/>
      <c r="K724" s="27"/>
      <c r="L724" s="27"/>
      <c r="M724" s="35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>
      <c r="A725" s="27"/>
      <c r="B725" s="27"/>
      <c r="C725" s="27"/>
      <c r="D725" s="27"/>
      <c r="E725" s="27"/>
      <c r="F725" s="27"/>
      <c r="G725" s="20"/>
      <c r="H725" s="27"/>
      <c r="I725" s="27"/>
      <c r="J725" s="27"/>
      <c r="K725" s="27"/>
      <c r="L725" s="27"/>
      <c r="M725" s="35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>
      <c r="A726" s="27"/>
      <c r="B726" s="27"/>
      <c r="C726" s="27"/>
      <c r="D726" s="27"/>
      <c r="E726" s="27"/>
      <c r="F726" s="27"/>
      <c r="G726" s="20"/>
      <c r="H726" s="27"/>
      <c r="I726" s="27"/>
      <c r="J726" s="27"/>
      <c r="K726" s="27"/>
      <c r="L726" s="27"/>
      <c r="M726" s="35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>
      <c r="A727" s="27"/>
      <c r="B727" s="27"/>
      <c r="C727" s="27"/>
      <c r="D727" s="27"/>
      <c r="E727" s="27"/>
      <c r="F727" s="27"/>
      <c r="G727" s="20"/>
      <c r="H727" s="27"/>
      <c r="I727" s="27"/>
      <c r="J727" s="27"/>
      <c r="K727" s="27"/>
      <c r="L727" s="27"/>
      <c r="M727" s="35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>
      <c r="A728" s="27"/>
      <c r="B728" s="27"/>
      <c r="C728" s="27"/>
      <c r="D728" s="27"/>
      <c r="E728" s="27"/>
      <c r="F728" s="27"/>
      <c r="G728" s="20"/>
      <c r="H728" s="27"/>
      <c r="I728" s="27"/>
      <c r="J728" s="27"/>
      <c r="K728" s="27"/>
      <c r="L728" s="27"/>
      <c r="M728" s="35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>
      <c r="A729" s="27"/>
      <c r="B729" s="27"/>
      <c r="C729" s="27"/>
      <c r="D729" s="27"/>
      <c r="E729" s="27"/>
      <c r="F729" s="27"/>
      <c r="G729" s="20"/>
      <c r="H729" s="27"/>
      <c r="I729" s="27"/>
      <c r="J729" s="27"/>
      <c r="K729" s="27"/>
      <c r="L729" s="27"/>
      <c r="M729" s="35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>
      <c r="A730" s="27"/>
      <c r="B730" s="27"/>
      <c r="C730" s="27"/>
      <c r="D730" s="27"/>
      <c r="E730" s="27"/>
      <c r="F730" s="27"/>
      <c r="G730" s="20"/>
      <c r="H730" s="27"/>
      <c r="I730" s="27"/>
      <c r="J730" s="27"/>
      <c r="K730" s="27"/>
      <c r="L730" s="27"/>
      <c r="M730" s="35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>
      <c r="A731" s="27"/>
      <c r="B731" s="27"/>
      <c r="C731" s="27"/>
      <c r="D731" s="27"/>
      <c r="E731" s="27"/>
      <c r="F731" s="27"/>
      <c r="G731" s="20"/>
      <c r="H731" s="27"/>
      <c r="I731" s="27"/>
      <c r="J731" s="27"/>
      <c r="K731" s="27"/>
      <c r="L731" s="27"/>
      <c r="M731" s="35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>
      <c r="A732" s="27"/>
      <c r="B732" s="27"/>
      <c r="C732" s="27"/>
      <c r="D732" s="27"/>
      <c r="E732" s="27"/>
      <c r="F732" s="27"/>
      <c r="G732" s="20"/>
      <c r="H732" s="27"/>
      <c r="I732" s="27"/>
      <c r="J732" s="27"/>
      <c r="K732" s="27"/>
      <c r="L732" s="27"/>
      <c r="M732" s="35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>
      <c r="A733" s="27"/>
      <c r="B733" s="27"/>
      <c r="C733" s="27"/>
      <c r="D733" s="27"/>
      <c r="E733" s="27"/>
      <c r="F733" s="27"/>
      <c r="G733" s="20"/>
      <c r="H733" s="27"/>
      <c r="I733" s="27"/>
      <c r="J733" s="27"/>
      <c r="K733" s="27"/>
      <c r="L733" s="27"/>
      <c r="M733" s="35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>
      <c r="A734" s="27"/>
      <c r="B734" s="27"/>
      <c r="C734" s="27"/>
      <c r="D734" s="27"/>
      <c r="E734" s="27"/>
      <c r="F734" s="27"/>
      <c r="G734" s="20"/>
      <c r="H734" s="27"/>
      <c r="I734" s="27"/>
      <c r="J734" s="27"/>
      <c r="K734" s="27"/>
      <c r="L734" s="27"/>
      <c r="M734" s="35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>
      <c r="A735" s="27"/>
      <c r="B735" s="27"/>
      <c r="C735" s="27"/>
      <c r="D735" s="27"/>
      <c r="E735" s="27"/>
      <c r="F735" s="27"/>
      <c r="G735" s="20"/>
      <c r="H735" s="27"/>
      <c r="I735" s="27"/>
      <c r="J735" s="27"/>
      <c r="K735" s="27"/>
      <c r="L735" s="27"/>
      <c r="M735" s="35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>
      <c r="A736" s="27"/>
      <c r="B736" s="27"/>
      <c r="C736" s="27"/>
      <c r="D736" s="27"/>
      <c r="E736" s="27"/>
      <c r="F736" s="27"/>
      <c r="G736" s="20"/>
      <c r="H736" s="27"/>
      <c r="I736" s="27"/>
      <c r="J736" s="27"/>
      <c r="K736" s="27"/>
      <c r="L736" s="27"/>
      <c r="M736" s="35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>
      <c r="A737" s="27"/>
      <c r="B737" s="27"/>
      <c r="C737" s="27"/>
      <c r="D737" s="27"/>
      <c r="E737" s="27"/>
      <c r="F737" s="27"/>
      <c r="G737" s="20"/>
      <c r="H737" s="27"/>
      <c r="I737" s="27"/>
      <c r="J737" s="27"/>
      <c r="K737" s="27"/>
      <c r="L737" s="27"/>
      <c r="M737" s="35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>
      <c r="A738" s="27"/>
      <c r="B738" s="27"/>
      <c r="C738" s="27"/>
      <c r="D738" s="27"/>
      <c r="E738" s="27"/>
      <c r="F738" s="27"/>
      <c r="G738" s="20"/>
      <c r="H738" s="27"/>
      <c r="I738" s="27"/>
      <c r="J738" s="27"/>
      <c r="K738" s="27"/>
      <c r="L738" s="27"/>
      <c r="M738" s="35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>
      <c r="A739" s="27"/>
      <c r="B739" s="27"/>
      <c r="C739" s="27"/>
      <c r="D739" s="27"/>
      <c r="E739" s="27"/>
      <c r="F739" s="27"/>
      <c r="G739" s="20"/>
      <c r="H739" s="27"/>
      <c r="I739" s="27"/>
      <c r="J739" s="27"/>
      <c r="K739" s="27"/>
      <c r="L739" s="27"/>
      <c r="M739" s="35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>
      <c r="A740" s="27"/>
      <c r="B740" s="27"/>
      <c r="C740" s="27"/>
      <c r="D740" s="27"/>
      <c r="E740" s="27"/>
      <c r="F740" s="27"/>
      <c r="G740" s="20"/>
      <c r="H740" s="27"/>
      <c r="I740" s="27"/>
      <c r="J740" s="27"/>
      <c r="K740" s="27"/>
      <c r="L740" s="27"/>
      <c r="M740" s="35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>
      <c r="A741" s="27"/>
      <c r="B741" s="27"/>
      <c r="C741" s="27"/>
      <c r="D741" s="27"/>
      <c r="E741" s="27"/>
      <c r="F741" s="27"/>
      <c r="G741" s="20"/>
      <c r="H741" s="27"/>
      <c r="I741" s="27"/>
      <c r="J741" s="27"/>
      <c r="K741" s="27"/>
      <c r="L741" s="27"/>
      <c r="M741" s="35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>
      <c r="A742" s="27"/>
      <c r="B742" s="27"/>
      <c r="C742" s="27"/>
      <c r="D742" s="27"/>
      <c r="E742" s="27"/>
      <c r="F742" s="27"/>
      <c r="G742" s="20"/>
      <c r="H742" s="27"/>
      <c r="I742" s="27"/>
      <c r="J742" s="27"/>
      <c r="K742" s="27"/>
      <c r="L742" s="27"/>
      <c r="M742" s="35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>
      <c r="A743" s="27"/>
      <c r="B743" s="27"/>
      <c r="C743" s="27"/>
      <c r="D743" s="27"/>
      <c r="E743" s="27"/>
      <c r="F743" s="27"/>
      <c r="G743" s="20"/>
      <c r="H743" s="27"/>
      <c r="I743" s="27"/>
      <c r="J743" s="27"/>
      <c r="K743" s="27"/>
      <c r="L743" s="27"/>
      <c r="M743" s="35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>
      <c r="A744" s="27"/>
      <c r="B744" s="27"/>
      <c r="C744" s="27"/>
      <c r="D744" s="27"/>
      <c r="E744" s="27"/>
      <c r="F744" s="27"/>
      <c r="G744" s="20"/>
      <c r="H744" s="27"/>
      <c r="I744" s="27"/>
      <c r="J744" s="27"/>
      <c r="K744" s="27"/>
      <c r="L744" s="27"/>
      <c r="M744" s="35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>
      <c r="A745" s="27"/>
      <c r="B745" s="27"/>
      <c r="C745" s="27"/>
      <c r="D745" s="27"/>
      <c r="E745" s="27"/>
      <c r="F745" s="27"/>
      <c r="G745" s="20"/>
      <c r="H745" s="27"/>
      <c r="I745" s="27"/>
      <c r="J745" s="27"/>
      <c r="K745" s="27"/>
      <c r="L745" s="27"/>
      <c r="M745" s="35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>
      <c r="A746" s="27"/>
      <c r="B746" s="27"/>
      <c r="C746" s="27"/>
      <c r="D746" s="27"/>
      <c r="E746" s="27"/>
      <c r="F746" s="27"/>
      <c r="G746" s="20"/>
      <c r="H746" s="27"/>
      <c r="I746" s="27"/>
      <c r="J746" s="27"/>
      <c r="K746" s="27"/>
      <c r="L746" s="27"/>
      <c r="M746" s="35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>
      <c r="A747" s="27"/>
      <c r="B747" s="27"/>
      <c r="C747" s="27"/>
      <c r="D747" s="27"/>
      <c r="E747" s="27"/>
      <c r="F747" s="27"/>
      <c r="G747" s="20"/>
      <c r="H747" s="27"/>
      <c r="I747" s="27"/>
      <c r="J747" s="27"/>
      <c r="K747" s="27"/>
      <c r="L747" s="27"/>
      <c r="M747" s="35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>
      <c r="A748" s="27"/>
      <c r="B748" s="27"/>
      <c r="C748" s="27"/>
      <c r="D748" s="27"/>
      <c r="E748" s="27"/>
      <c r="F748" s="27"/>
      <c r="G748" s="20"/>
      <c r="H748" s="27"/>
      <c r="I748" s="27"/>
      <c r="J748" s="27"/>
      <c r="K748" s="27"/>
      <c r="L748" s="27"/>
      <c r="M748" s="35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>
      <c r="A749" s="27"/>
      <c r="B749" s="27"/>
      <c r="C749" s="27"/>
      <c r="D749" s="27"/>
      <c r="E749" s="27"/>
      <c r="F749" s="27"/>
      <c r="G749" s="20"/>
      <c r="H749" s="27"/>
      <c r="I749" s="27"/>
      <c r="J749" s="27"/>
      <c r="K749" s="27"/>
      <c r="L749" s="27"/>
      <c r="M749" s="35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>
      <c r="A750" s="27"/>
      <c r="B750" s="27"/>
      <c r="C750" s="27"/>
      <c r="D750" s="27"/>
      <c r="E750" s="27"/>
      <c r="F750" s="27"/>
      <c r="G750" s="20"/>
      <c r="H750" s="27"/>
      <c r="I750" s="27"/>
      <c r="J750" s="27"/>
      <c r="K750" s="27"/>
      <c r="L750" s="27"/>
      <c r="M750" s="35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>
      <c r="A751" s="27"/>
      <c r="B751" s="27"/>
      <c r="C751" s="27"/>
      <c r="D751" s="27"/>
      <c r="E751" s="27"/>
      <c r="F751" s="27"/>
      <c r="G751" s="20"/>
      <c r="H751" s="27"/>
      <c r="I751" s="27"/>
      <c r="J751" s="27"/>
      <c r="K751" s="27"/>
      <c r="L751" s="27"/>
      <c r="M751" s="35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>
      <c r="A752" s="27"/>
      <c r="B752" s="27"/>
      <c r="C752" s="27"/>
      <c r="D752" s="27"/>
      <c r="E752" s="27"/>
      <c r="F752" s="27"/>
      <c r="G752" s="20"/>
      <c r="H752" s="27"/>
      <c r="I752" s="27"/>
      <c r="J752" s="27"/>
      <c r="K752" s="27"/>
      <c r="L752" s="27"/>
      <c r="M752" s="35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>
      <c r="A753" s="27"/>
      <c r="B753" s="27"/>
      <c r="C753" s="27"/>
      <c r="D753" s="27"/>
      <c r="E753" s="27"/>
      <c r="F753" s="27"/>
      <c r="G753" s="20"/>
      <c r="H753" s="27"/>
      <c r="I753" s="27"/>
      <c r="J753" s="27"/>
      <c r="K753" s="27"/>
      <c r="L753" s="27"/>
      <c r="M753" s="35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>
      <c r="A754" s="27"/>
      <c r="B754" s="27"/>
      <c r="C754" s="27"/>
      <c r="D754" s="27"/>
      <c r="E754" s="27"/>
      <c r="F754" s="27"/>
      <c r="G754" s="20"/>
      <c r="H754" s="27"/>
      <c r="I754" s="27"/>
      <c r="J754" s="27"/>
      <c r="K754" s="27"/>
      <c r="L754" s="27"/>
      <c r="M754" s="35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>
      <c r="A755" s="27"/>
      <c r="B755" s="27"/>
      <c r="C755" s="27"/>
      <c r="D755" s="27"/>
      <c r="E755" s="27"/>
      <c r="F755" s="27"/>
      <c r="G755" s="20"/>
      <c r="H755" s="27"/>
      <c r="I755" s="27"/>
      <c r="J755" s="27"/>
      <c r="K755" s="27"/>
      <c r="L755" s="27"/>
      <c r="M755" s="35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>
      <c r="A756" s="27"/>
      <c r="B756" s="27"/>
      <c r="C756" s="27"/>
      <c r="D756" s="27"/>
      <c r="E756" s="27"/>
      <c r="F756" s="27"/>
      <c r="G756" s="20"/>
      <c r="H756" s="27"/>
      <c r="I756" s="27"/>
      <c r="J756" s="27"/>
      <c r="K756" s="27"/>
      <c r="L756" s="27"/>
      <c r="M756" s="35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>
      <c r="A757" s="27"/>
      <c r="B757" s="27"/>
      <c r="C757" s="27"/>
      <c r="D757" s="27"/>
      <c r="E757" s="27"/>
      <c r="F757" s="27"/>
      <c r="G757" s="20"/>
      <c r="H757" s="27"/>
      <c r="I757" s="27"/>
      <c r="J757" s="27"/>
      <c r="K757" s="27"/>
      <c r="L757" s="27"/>
      <c r="M757" s="35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>
      <c r="A758" s="27"/>
      <c r="B758" s="27"/>
      <c r="C758" s="27"/>
      <c r="D758" s="27"/>
      <c r="E758" s="27"/>
      <c r="F758" s="27"/>
      <c r="G758" s="20"/>
      <c r="H758" s="27"/>
      <c r="I758" s="27"/>
      <c r="J758" s="27"/>
      <c r="K758" s="27"/>
      <c r="L758" s="27"/>
      <c r="M758" s="35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>
      <c r="A759" s="27"/>
      <c r="B759" s="27"/>
      <c r="C759" s="27"/>
      <c r="D759" s="27"/>
      <c r="E759" s="27"/>
      <c r="F759" s="27"/>
      <c r="G759" s="20"/>
      <c r="H759" s="27"/>
      <c r="I759" s="27"/>
      <c r="J759" s="27"/>
      <c r="K759" s="27"/>
      <c r="L759" s="27"/>
      <c r="M759" s="35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>
      <c r="A760" s="27"/>
      <c r="B760" s="27"/>
      <c r="C760" s="27"/>
      <c r="D760" s="27"/>
      <c r="E760" s="27"/>
      <c r="F760" s="27"/>
      <c r="G760" s="20"/>
      <c r="H760" s="27"/>
      <c r="I760" s="27"/>
      <c r="J760" s="27"/>
      <c r="K760" s="27"/>
      <c r="L760" s="27"/>
      <c r="M760" s="35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>
      <c r="A761" s="27"/>
      <c r="B761" s="27"/>
      <c r="C761" s="27"/>
      <c r="D761" s="27"/>
      <c r="E761" s="27"/>
      <c r="F761" s="27"/>
      <c r="G761" s="20"/>
      <c r="H761" s="27"/>
      <c r="I761" s="27"/>
      <c r="J761" s="27"/>
      <c r="K761" s="27"/>
      <c r="L761" s="27"/>
      <c r="M761" s="35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>
      <c r="A762" s="27"/>
      <c r="B762" s="27"/>
      <c r="C762" s="27"/>
      <c r="D762" s="27"/>
      <c r="E762" s="27"/>
      <c r="F762" s="27"/>
      <c r="G762" s="20"/>
      <c r="H762" s="27"/>
      <c r="I762" s="27"/>
      <c r="J762" s="27"/>
      <c r="K762" s="27"/>
      <c r="L762" s="27"/>
      <c r="M762" s="35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>
      <c r="A763" s="27"/>
      <c r="B763" s="27"/>
      <c r="C763" s="27"/>
      <c r="D763" s="27"/>
      <c r="E763" s="27"/>
      <c r="F763" s="27"/>
      <c r="G763" s="20"/>
      <c r="H763" s="27"/>
      <c r="I763" s="27"/>
      <c r="J763" s="27"/>
      <c r="K763" s="27"/>
      <c r="L763" s="27"/>
      <c r="M763" s="35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>
      <c r="A764" s="27"/>
      <c r="B764" s="27"/>
      <c r="C764" s="27"/>
      <c r="D764" s="27"/>
      <c r="E764" s="27"/>
      <c r="F764" s="27"/>
      <c r="G764" s="20"/>
      <c r="H764" s="27"/>
      <c r="I764" s="27"/>
      <c r="J764" s="27"/>
      <c r="K764" s="27"/>
      <c r="L764" s="27"/>
      <c r="M764" s="35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>
      <c r="A765" s="27"/>
      <c r="B765" s="27"/>
      <c r="C765" s="27"/>
      <c r="D765" s="27"/>
      <c r="E765" s="27"/>
      <c r="F765" s="27"/>
      <c r="G765" s="20"/>
      <c r="H765" s="27"/>
      <c r="I765" s="27"/>
      <c r="J765" s="27"/>
      <c r="K765" s="27"/>
      <c r="L765" s="27"/>
      <c r="M765" s="35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>
      <c r="A766" s="27"/>
      <c r="B766" s="27"/>
      <c r="C766" s="27"/>
      <c r="D766" s="27"/>
      <c r="E766" s="27"/>
      <c r="F766" s="27"/>
      <c r="G766" s="20"/>
      <c r="H766" s="27"/>
      <c r="I766" s="27"/>
      <c r="J766" s="27"/>
      <c r="K766" s="27"/>
      <c r="L766" s="27"/>
      <c r="M766" s="35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>
      <c r="A767" s="27"/>
      <c r="B767" s="27"/>
      <c r="C767" s="27"/>
      <c r="D767" s="27"/>
      <c r="E767" s="27"/>
      <c r="F767" s="27"/>
      <c r="G767" s="20"/>
      <c r="H767" s="27"/>
      <c r="I767" s="27"/>
      <c r="J767" s="27"/>
      <c r="K767" s="27"/>
      <c r="L767" s="27"/>
      <c r="M767" s="35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>
      <c r="A768" s="27"/>
      <c r="B768" s="27"/>
      <c r="C768" s="27"/>
      <c r="D768" s="27"/>
      <c r="E768" s="27"/>
      <c r="F768" s="27"/>
      <c r="G768" s="20"/>
      <c r="H768" s="27"/>
      <c r="I768" s="27"/>
      <c r="J768" s="27"/>
      <c r="K768" s="27"/>
      <c r="L768" s="27"/>
      <c r="M768" s="35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>
      <c r="A769" s="27"/>
      <c r="B769" s="27"/>
      <c r="C769" s="27"/>
      <c r="D769" s="27"/>
      <c r="E769" s="27"/>
      <c r="F769" s="27"/>
      <c r="G769" s="20"/>
      <c r="H769" s="27"/>
      <c r="I769" s="27"/>
      <c r="J769" s="27"/>
      <c r="K769" s="27"/>
      <c r="L769" s="27"/>
      <c r="M769" s="35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>
      <c r="A770" s="27"/>
      <c r="B770" s="27"/>
      <c r="C770" s="27"/>
      <c r="D770" s="27"/>
      <c r="E770" s="27"/>
      <c r="F770" s="27"/>
      <c r="G770" s="20"/>
      <c r="H770" s="27"/>
      <c r="I770" s="27"/>
      <c r="J770" s="27"/>
      <c r="K770" s="27"/>
      <c r="L770" s="27"/>
      <c r="M770" s="35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>
      <c r="A771" s="27"/>
      <c r="B771" s="27"/>
      <c r="C771" s="27"/>
      <c r="D771" s="27"/>
      <c r="E771" s="27"/>
      <c r="F771" s="27"/>
      <c r="G771" s="20"/>
      <c r="H771" s="27"/>
      <c r="I771" s="27"/>
      <c r="J771" s="27"/>
      <c r="K771" s="27"/>
      <c r="L771" s="27"/>
      <c r="M771" s="35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>
      <c r="A772" s="27"/>
      <c r="B772" s="27"/>
      <c r="C772" s="27"/>
      <c r="D772" s="27"/>
      <c r="E772" s="27"/>
      <c r="F772" s="27"/>
      <c r="G772" s="20"/>
      <c r="H772" s="27"/>
      <c r="I772" s="27"/>
      <c r="J772" s="27"/>
      <c r="K772" s="27"/>
      <c r="L772" s="27"/>
      <c r="M772" s="35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>
      <c r="A773" s="27"/>
      <c r="B773" s="27"/>
      <c r="C773" s="27"/>
      <c r="D773" s="27"/>
      <c r="E773" s="27"/>
      <c r="F773" s="27"/>
      <c r="G773" s="20"/>
      <c r="H773" s="27"/>
      <c r="I773" s="27"/>
      <c r="J773" s="27"/>
      <c r="K773" s="27"/>
      <c r="L773" s="27"/>
      <c r="M773" s="35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>
      <c r="A774" s="27"/>
      <c r="B774" s="27"/>
      <c r="C774" s="27"/>
      <c r="D774" s="27"/>
      <c r="E774" s="27"/>
      <c r="F774" s="27"/>
      <c r="G774" s="20"/>
      <c r="H774" s="27"/>
      <c r="I774" s="27"/>
      <c r="J774" s="27"/>
      <c r="K774" s="27"/>
      <c r="L774" s="27"/>
      <c r="M774" s="35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>
      <c r="A775" s="27"/>
      <c r="B775" s="27"/>
      <c r="C775" s="27"/>
      <c r="D775" s="27"/>
      <c r="E775" s="27"/>
      <c r="F775" s="27"/>
      <c r="G775" s="20"/>
      <c r="H775" s="27"/>
      <c r="I775" s="27"/>
      <c r="J775" s="27"/>
      <c r="K775" s="27"/>
      <c r="L775" s="27"/>
      <c r="M775" s="35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>
      <c r="A776" s="27"/>
      <c r="B776" s="27"/>
      <c r="C776" s="27"/>
      <c r="D776" s="27"/>
      <c r="E776" s="27"/>
      <c r="F776" s="27"/>
      <c r="G776" s="20"/>
      <c r="H776" s="27"/>
      <c r="I776" s="27"/>
      <c r="J776" s="27"/>
      <c r="K776" s="27"/>
      <c r="L776" s="27"/>
      <c r="M776" s="35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>
      <c r="A777" s="27"/>
      <c r="B777" s="27"/>
      <c r="C777" s="27"/>
      <c r="D777" s="27"/>
      <c r="E777" s="27"/>
      <c r="F777" s="27"/>
      <c r="G777" s="20"/>
      <c r="H777" s="27"/>
      <c r="I777" s="27"/>
      <c r="J777" s="27"/>
      <c r="K777" s="27"/>
      <c r="L777" s="27"/>
      <c r="M777" s="35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>
      <c r="A778" s="27"/>
      <c r="B778" s="27"/>
      <c r="C778" s="27"/>
      <c r="D778" s="27"/>
      <c r="E778" s="27"/>
      <c r="F778" s="27"/>
      <c r="G778" s="20"/>
      <c r="H778" s="27"/>
      <c r="I778" s="27"/>
      <c r="J778" s="27"/>
      <c r="K778" s="27"/>
      <c r="L778" s="27"/>
      <c r="M778" s="35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>
      <c r="A779" s="27"/>
      <c r="B779" s="27"/>
      <c r="C779" s="27"/>
      <c r="D779" s="27"/>
      <c r="E779" s="27"/>
      <c r="F779" s="27"/>
      <c r="G779" s="20"/>
      <c r="H779" s="27"/>
      <c r="I779" s="27"/>
      <c r="J779" s="27"/>
      <c r="K779" s="27"/>
      <c r="L779" s="27"/>
      <c r="M779" s="35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>
      <c r="A780" s="27"/>
      <c r="B780" s="27"/>
      <c r="C780" s="27"/>
      <c r="D780" s="27"/>
      <c r="E780" s="27"/>
      <c r="F780" s="27"/>
      <c r="G780" s="20"/>
      <c r="H780" s="27"/>
      <c r="I780" s="27"/>
      <c r="J780" s="27"/>
      <c r="K780" s="27"/>
      <c r="L780" s="27"/>
      <c r="M780" s="35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>
      <c r="A781" s="27"/>
      <c r="B781" s="27"/>
      <c r="C781" s="27"/>
      <c r="D781" s="27"/>
      <c r="E781" s="27"/>
      <c r="F781" s="27"/>
      <c r="G781" s="20"/>
      <c r="H781" s="27"/>
      <c r="I781" s="27"/>
      <c r="J781" s="27"/>
      <c r="K781" s="27"/>
      <c r="L781" s="27"/>
      <c r="M781" s="35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>
      <c r="A782" s="27"/>
      <c r="B782" s="27"/>
      <c r="C782" s="27"/>
      <c r="D782" s="27"/>
      <c r="E782" s="27"/>
      <c r="F782" s="27"/>
      <c r="G782" s="20"/>
      <c r="H782" s="27"/>
      <c r="I782" s="27"/>
      <c r="J782" s="27"/>
      <c r="K782" s="27"/>
      <c r="L782" s="27"/>
      <c r="M782" s="35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>
      <c r="A783" s="27"/>
      <c r="B783" s="27"/>
      <c r="C783" s="27"/>
      <c r="D783" s="27"/>
      <c r="E783" s="27"/>
      <c r="F783" s="27"/>
      <c r="G783" s="20"/>
      <c r="H783" s="27"/>
      <c r="I783" s="27"/>
      <c r="J783" s="27"/>
      <c r="K783" s="27"/>
      <c r="L783" s="27"/>
      <c r="M783" s="35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>
      <c r="A784" s="27"/>
      <c r="B784" s="27"/>
      <c r="C784" s="27"/>
      <c r="D784" s="27"/>
      <c r="E784" s="27"/>
      <c r="F784" s="27"/>
      <c r="G784" s="20"/>
      <c r="H784" s="27"/>
      <c r="I784" s="27"/>
      <c r="J784" s="27"/>
      <c r="K784" s="27"/>
      <c r="L784" s="27"/>
      <c r="M784" s="35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>
      <c r="A785" s="27"/>
      <c r="B785" s="27"/>
      <c r="C785" s="27"/>
      <c r="D785" s="27"/>
      <c r="E785" s="27"/>
      <c r="F785" s="27"/>
      <c r="G785" s="20"/>
      <c r="H785" s="27"/>
      <c r="I785" s="27"/>
      <c r="J785" s="27"/>
      <c r="K785" s="27"/>
      <c r="L785" s="27"/>
      <c r="M785" s="35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>
      <c r="A786" s="27"/>
      <c r="B786" s="27"/>
      <c r="C786" s="27"/>
      <c r="D786" s="27"/>
      <c r="E786" s="27"/>
      <c r="F786" s="27"/>
      <c r="G786" s="20"/>
      <c r="H786" s="27"/>
      <c r="I786" s="27"/>
      <c r="J786" s="27"/>
      <c r="K786" s="27"/>
      <c r="L786" s="27"/>
      <c r="M786" s="35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>
      <c r="A787" s="27"/>
      <c r="B787" s="27"/>
      <c r="C787" s="27"/>
      <c r="D787" s="27"/>
      <c r="E787" s="27"/>
      <c r="F787" s="27"/>
      <c r="G787" s="20"/>
      <c r="H787" s="27"/>
      <c r="I787" s="27"/>
      <c r="J787" s="27"/>
      <c r="K787" s="27"/>
      <c r="L787" s="27"/>
      <c r="M787" s="35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>
      <c r="A788" s="27"/>
      <c r="B788" s="27"/>
      <c r="C788" s="27"/>
      <c r="D788" s="27"/>
      <c r="E788" s="27"/>
      <c r="F788" s="27"/>
      <c r="G788" s="20"/>
      <c r="H788" s="27"/>
      <c r="I788" s="27"/>
      <c r="J788" s="27"/>
      <c r="K788" s="27"/>
      <c r="L788" s="27"/>
      <c r="M788" s="35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>
      <c r="A789" s="27"/>
      <c r="B789" s="27"/>
      <c r="C789" s="27"/>
      <c r="D789" s="27"/>
      <c r="E789" s="27"/>
      <c r="F789" s="27"/>
      <c r="G789" s="20"/>
      <c r="H789" s="27"/>
      <c r="I789" s="27"/>
      <c r="J789" s="27"/>
      <c r="K789" s="27"/>
      <c r="L789" s="27"/>
      <c r="M789" s="35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>
      <c r="A790" s="27"/>
      <c r="B790" s="27"/>
      <c r="C790" s="27"/>
      <c r="D790" s="27"/>
      <c r="E790" s="27"/>
      <c r="F790" s="27"/>
      <c r="G790" s="20"/>
      <c r="H790" s="27"/>
      <c r="I790" s="27"/>
      <c r="J790" s="27"/>
      <c r="K790" s="27"/>
      <c r="L790" s="27"/>
      <c r="M790" s="35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>
      <c r="A791" s="27"/>
      <c r="B791" s="27"/>
      <c r="C791" s="27"/>
      <c r="D791" s="27"/>
      <c r="E791" s="27"/>
      <c r="F791" s="27"/>
      <c r="G791" s="20"/>
      <c r="H791" s="27"/>
      <c r="I791" s="27"/>
      <c r="J791" s="27"/>
      <c r="K791" s="27"/>
      <c r="L791" s="27"/>
      <c r="M791" s="35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>
      <c r="A792" s="27"/>
      <c r="B792" s="27"/>
      <c r="C792" s="27"/>
      <c r="D792" s="27"/>
      <c r="E792" s="27"/>
      <c r="F792" s="27"/>
      <c r="G792" s="20"/>
      <c r="H792" s="27"/>
      <c r="I792" s="27"/>
      <c r="J792" s="27"/>
      <c r="K792" s="27"/>
      <c r="L792" s="27"/>
      <c r="M792" s="35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>
      <c r="A793" s="27"/>
      <c r="B793" s="27"/>
      <c r="C793" s="27"/>
      <c r="D793" s="27"/>
      <c r="E793" s="27"/>
      <c r="F793" s="27"/>
      <c r="G793" s="20"/>
      <c r="H793" s="27"/>
      <c r="I793" s="27"/>
      <c r="J793" s="27"/>
      <c r="K793" s="27"/>
      <c r="L793" s="27"/>
      <c r="M793" s="35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>
      <c r="A794" s="27"/>
      <c r="B794" s="27"/>
      <c r="C794" s="27"/>
      <c r="D794" s="27"/>
      <c r="E794" s="27"/>
      <c r="F794" s="27"/>
      <c r="G794" s="20"/>
      <c r="H794" s="27"/>
      <c r="I794" s="27"/>
      <c r="J794" s="27"/>
      <c r="K794" s="27"/>
      <c r="L794" s="27"/>
      <c r="M794" s="35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>
      <c r="A795" s="27"/>
      <c r="B795" s="27"/>
      <c r="C795" s="27"/>
      <c r="D795" s="27"/>
      <c r="E795" s="27"/>
      <c r="F795" s="27"/>
      <c r="G795" s="20"/>
      <c r="H795" s="27"/>
      <c r="I795" s="27"/>
      <c r="J795" s="27"/>
      <c r="K795" s="27"/>
      <c r="L795" s="27"/>
      <c r="M795" s="35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>
      <c r="A796" s="27"/>
      <c r="B796" s="27"/>
      <c r="C796" s="27"/>
      <c r="D796" s="27"/>
      <c r="E796" s="27"/>
      <c r="F796" s="27"/>
      <c r="G796" s="20"/>
      <c r="H796" s="27"/>
      <c r="I796" s="27"/>
      <c r="J796" s="27"/>
      <c r="K796" s="27"/>
      <c r="L796" s="27"/>
      <c r="M796" s="35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>
      <c r="A797" s="27"/>
      <c r="B797" s="27"/>
      <c r="C797" s="27"/>
      <c r="D797" s="27"/>
      <c r="E797" s="27"/>
      <c r="F797" s="27"/>
      <c r="G797" s="20"/>
      <c r="H797" s="27"/>
      <c r="I797" s="27"/>
      <c r="J797" s="27"/>
      <c r="K797" s="27"/>
      <c r="L797" s="27"/>
      <c r="M797" s="35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>
      <c r="A798" s="27"/>
      <c r="B798" s="27"/>
      <c r="C798" s="27"/>
      <c r="D798" s="27"/>
      <c r="E798" s="27"/>
      <c r="F798" s="27"/>
      <c r="G798" s="20"/>
      <c r="H798" s="27"/>
      <c r="I798" s="27"/>
      <c r="J798" s="27"/>
      <c r="K798" s="27"/>
      <c r="L798" s="27"/>
      <c r="M798" s="35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>
      <c r="A799" s="27"/>
      <c r="B799" s="27"/>
      <c r="C799" s="27"/>
      <c r="D799" s="27"/>
      <c r="E799" s="27"/>
      <c r="F799" s="27"/>
      <c r="G799" s="20"/>
      <c r="H799" s="27"/>
      <c r="I799" s="27"/>
      <c r="J799" s="27"/>
      <c r="K799" s="27"/>
      <c r="L799" s="27"/>
      <c r="M799" s="35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>
      <c r="A800" s="27"/>
      <c r="B800" s="27"/>
      <c r="C800" s="27"/>
      <c r="D800" s="27"/>
      <c r="E800" s="27"/>
      <c r="F800" s="27"/>
      <c r="G800" s="20"/>
      <c r="H800" s="27"/>
      <c r="I800" s="27"/>
      <c r="J800" s="27"/>
      <c r="K800" s="27"/>
      <c r="L800" s="27"/>
      <c r="M800" s="35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>
      <c r="A801" s="27"/>
      <c r="B801" s="27"/>
      <c r="C801" s="27"/>
      <c r="D801" s="27"/>
      <c r="E801" s="27"/>
      <c r="F801" s="27"/>
      <c r="G801" s="20"/>
      <c r="H801" s="27"/>
      <c r="I801" s="27"/>
      <c r="J801" s="27"/>
      <c r="K801" s="27"/>
      <c r="L801" s="27"/>
      <c r="M801" s="35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>
      <c r="A802" s="27"/>
      <c r="B802" s="27"/>
      <c r="C802" s="27"/>
      <c r="D802" s="27"/>
      <c r="E802" s="27"/>
      <c r="F802" s="27"/>
      <c r="G802" s="20"/>
      <c r="H802" s="27"/>
      <c r="I802" s="27"/>
      <c r="J802" s="27"/>
      <c r="K802" s="27"/>
      <c r="L802" s="27"/>
      <c r="M802" s="35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>
      <c r="A803" s="27"/>
      <c r="B803" s="27"/>
      <c r="C803" s="27"/>
      <c r="D803" s="27"/>
      <c r="E803" s="27"/>
      <c r="F803" s="27"/>
      <c r="G803" s="20"/>
      <c r="H803" s="27"/>
      <c r="I803" s="27"/>
      <c r="J803" s="27"/>
      <c r="K803" s="27"/>
      <c r="L803" s="27"/>
      <c r="M803" s="35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>
      <c r="A804" s="27"/>
      <c r="B804" s="27"/>
      <c r="C804" s="27"/>
      <c r="D804" s="27"/>
      <c r="E804" s="27"/>
      <c r="F804" s="27"/>
      <c r="G804" s="20"/>
      <c r="H804" s="27"/>
      <c r="I804" s="27"/>
      <c r="J804" s="27"/>
      <c r="K804" s="27"/>
      <c r="L804" s="27"/>
      <c r="M804" s="35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>
      <c r="A805" s="27"/>
      <c r="B805" s="27"/>
      <c r="C805" s="27"/>
      <c r="D805" s="27"/>
      <c r="E805" s="27"/>
      <c r="F805" s="27"/>
      <c r="G805" s="20"/>
      <c r="H805" s="27"/>
      <c r="I805" s="27"/>
      <c r="J805" s="27"/>
      <c r="K805" s="27"/>
      <c r="L805" s="27"/>
      <c r="M805" s="35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>
      <c r="A806" s="27"/>
      <c r="B806" s="27"/>
      <c r="C806" s="27"/>
      <c r="D806" s="27"/>
      <c r="E806" s="27"/>
      <c r="F806" s="27"/>
      <c r="G806" s="20"/>
      <c r="H806" s="27"/>
      <c r="I806" s="27"/>
      <c r="J806" s="27"/>
      <c r="K806" s="27"/>
      <c r="L806" s="27"/>
      <c r="M806" s="35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>
      <c r="A807" s="27"/>
      <c r="B807" s="27"/>
      <c r="C807" s="27"/>
      <c r="D807" s="27"/>
      <c r="E807" s="27"/>
      <c r="F807" s="27"/>
      <c r="G807" s="20"/>
      <c r="H807" s="27"/>
      <c r="I807" s="27"/>
      <c r="J807" s="27"/>
      <c r="K807" s="27"/>
      <c r="L807" s="27"/>
      <c r="M807" s="35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>
      <c r="A808" s="27"/>
      <c r="B808" s="27"/>
      <c r="C808" s="27"/>
      <c r="D808" s="27"/>
      <c r="E808" s="27"/>
      <c r="F808" s="27"/>
      <c r="G808" s="20"/>
      <c r="H808" s="27"/>
      <c r="I808" s="27"/>
      <c r="J808" s="27"/>
      <c r="K808" s="27"/>
      <c r="L808" s="27"/>
      <c r="M808" s="35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>
      <c r="A809" s="27"/>
      <c r="B809" s="27"/>
      <c r="C809" s="27"/>
      <c r="D809" s="27"/>
      <c r="E809" s="27"/>
      <c r="F809" s="27"/>
      <c r="G809" s="20"/>
      <c r="H809" s="27"/>
      <c r="I809" s="27"/>
      <c r="J809" s="27"/>
      <c r="K809" s="27"/>
      <c r="L809" s="27"/>
      <c r="M809" s="35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>
      <c r="A810" s="27"/>
      <c r="B810" s="27"/>
      <c r="C810" s="27"/>
      <c r="D810" s="27"/>
      <c r="E810" s="27"/>
      <c r="F810" s="27"/>
      <c r="G810" s="20"/>
      <c r="H810" s="27"/>
      <c r="I810" s="27"/>
      <c r="J810" s="27"/>
      <c r="K810" s="27"/>
      <c r="L810" s="27"/>
      <c r="M810" s="35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>
      <c r="A811" s="27"/>
      <c r="B811" s="27"/>
      <c r="C811" s="27"/>
      <c r="D811" s="27"/>
      <c r="E811" s="27"/>
      <c r="F811" s="27"/>
      <c r="G811" s="20"/>
      <c r="H811" s="27"/>
      <c r="I811" s="27"/>
      <c r="J811" s="27"/>
      <c r="K811" s="27"/>
      <c r="L811" s="27"/>
      <c r="M811" s="35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>
      <c r="A812" s="27"/>
      <c r="B812" s="27"/>
      <c r="C812" s="27"/>
      <c r="D812" s="27"/>
      <c r="E812" s="27"/>
      <c r="F812" s="27"/>
      <c r="G812" s="20"/>
      <c r="H812" s="27"/>
      <c r="I812" s="27"/>
      <c r="J812" s="27"/>
      <c r="K812" s="27"/>
      <c r="L812" s="27"/>
      <c r="M812" s="35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>
      <c r="A813" s="27"/>
      <c r="B813" s="27"/>
      <c r="C813" s="27"/>
      <c r="D813" s="27"/>
      <c r="E813" s="27"/>
      <c r="F813" s="27"/>
      <c r="G813" s="20"/>
      <c r="H813" s="27"/>
      <c r="I813" s="27"/>
      <c r="J813" s="27"/>
      <c r="K813" s="27"/>
      <c r="L813" s="27"/>
      <c r="M813" s="35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>
      <c r="A814" s="27"/>
      <c r="B814" s="27"/>
      <c r="C814" s="27"/>
      <c r="D814" s="27"/>
      <c r="E814" s="27"/>
      <c r="F814" s="27"/>
      <c r="G814" s="20"/>
      <c r="H814" s="27"/>
      <c r="I814" s="27"/>
      <c r="J814" s="27"/>
      <c r="K814" s="27"/>
      <c r="L814" s="27"/>
      <c r="M814" s="35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>
      <c r="A815" s="27"/>
      <c r="B815" s="27"/>
      <c r="C815" s="27"/>
      <c r="D815" s="27"/>
      <c r="E815" s="27"/>
      <c r="F815" s="27"/>
      <c r="G815" s="20"/>
      <c r="H815" s="27"/>
      <c r="I815" s="27"/>
      <c r="J815" s="27"/>
      <c r="K815" s="27"/>
      <c r="L815" s="27"/>
      <c r="M815" s="35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>
      <c r="A816" s="27"/>
      <c r="B816" s="27"/>
      <c r="C816" s="27"/>
      <c r="D816" s="27"/>
      <c r="E816" s="27"/>
      <c r="F816" s="27"/>
      <c r="G816" s="20"/>
      <c r="H816" s="27"/>
      <c r="I816" s="27"/>
      <c r="J816" s="27"/>
      <c r="K816" s="27"/>
      <c r="L816" s="27"/>
      <c r="M816" s="35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>
      <c r="A817" s="27"/>
      <c r="B817" s="27"/>
      <c r="C817" s="27"/>
      <c r="D817" s="27"/>
      <c r="E817" s="27"/>
      <c r="F817" s="27"/>
      <c r="G817" s="20"/>
      <c r="H817" s="27"/>
      <c r="I817" s="27"/>
      <c r="J817" s="27"/>
      <c r="K817" s="27"/>
      <c r="L817" s="27"/>
      <c r="M817" s="35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>
      <c r="A818" s="27"/>
      <c r="B818" s="27"/>
      <c r="C818" s="27"/>
      <c r="D818" s="27"/>
      <c r="E818" s="27"/>
      <c r="F818" s="27"/>
      <c r="G818" s="20"/>
      <c r="H818" s="27"/>
      <c r="I818" s="27"/>
      <c r="J818" s="27"/>
      <c r="K818" s="27"/>
      <c r="L818" s="27"/>
      <c r="M818" s="35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>
      <c r="A819" s="27"/>
      <c r="B819" s="27"/>
      <c r="C819" s="27"/>
      <c r="D819" s="27"/>
      <c r="E819" s="27"/>
      <c r="F819" s="27"/>
      <c r="G819" s="20"/>
      <c r="H819" s="27"/>
      <c r="I819" s="27"/>
      <c r="J819" s="27"/>
      <c r="K819" s="27"/>
      <c r="L819" s="27"/>
      <c r="M819" s="35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>
      <c r="A820" s="27"/>
      <c r="B820" s="27"/>
      <c r="C820" s="27"/>
      <c r="D820" s="27"/>
      <c r="E820" s="27"/>
      <c r="F820" s="27"/>
      <c r="G820" s="20"/>
      <c r="H820" s="27"/>
      <c r="I820" s="27"/>
      <c r="J820" s="27"/>
      <c r="K820" s="27"/>
      <c r="L820" s="27"/>
      <c r="M820" s="35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>
      <c r="A821" s="27"/>
      <c r="B821" s="27"/>
      <c r="C821" s="27"/>
      <c r="D821" s="27"/>
      <c r="E821" s="27"/>
      <c r="F821" s="27"/>
      <c r="G821" s="20"/>
      <c r="H821" s="27"/>
      <c r="I821" s="27"/>
      <c r="J821" s="27"/>
      <c r="K821" s="27"/>
      <c r="L821" s="27"/>
      <c r="M821" s="35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>
      <c r="A822" s="27"/>
      <c r="B822" s="27"/>
      <c r="C822" s="27"/>
      <c r="D822" s="27"/>
      <c r="E822" s="27"/>
      <c r="F822" s="27"/>
      <c r="G822" s="20"/>
      <c r="H822" s="27"/>
      <c r="I822" s="27"/>
      <c r="J822" s="27"/>
      <c r="K822" s="27"/>
      <c r="L822" s="27"/>
      <c r="M822" s="35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>
      <c r="A823" s="27"/>
      <c r="B823" s="27"/>
      <c r="C823" s="27"/>
      <c r="D823" s="27"/>
      <c r="E823" s="27"/>
      <c r="F823" s="27"/>
      <c r="G823" s="20"/>
      <c r="H823" s="27"/>
      <c r="I823" s="27"/>
      <c r="J823" s="27"/>
      <c r="K823" s="27"/>
      <c r="L823" s="27"/>
      <c r="M823" s="35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>
      <c r="A824" s="27"/>
      <c r="B824" s="27"/>
      <c r="C824" s="27"/>
      <c r="D824" s="27"/>
      <c r="E824" s="27"/>
      <c r="F824" s="27"/>
      <c r="G824" s="20"/>
      <c r="H824" s="27"/>
      <c r="I824" s="27"/>
      <c r="J824" s="27"/>
      <c r="K824" s="27"/>
      <c r="L824" s="27"/>
      <c r="M824" s="35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>
      <c r="A825" s="27"/>
      <c r="B825" s="27"/>
      <c r="C825" s="27"/>
      <c r="D825" s="27"/>
      <c r="E825" s="27"/>
      <c r="F825" s="27"/>
      <c r="G825" s="20"/>
      <c r="H825" s="27"/>
      <c r="I825" s="27"/>
      <c r="J825" s="27"/>
      <c r="K825" s="27"/>
      <c r="L825" s="27"/>
      <c r="M825" s="35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>
      <c r="A826" s="27"/>
      <c r="B826" s="27"/>
      <c r="C826" s="27"/>
      <c r="D826" s="27"/>
      <c r="E826" s="27"/>
      <c r="F826" s="27"/>
      <c r="G826" s="20"/>
      <c r="H826" s="27"/>
      <c r="I826" s="27"/>
      <c r="J826" s="27"/>
      <c r="K826" s="27"/>
      <c r="L826" s="27"/>
      <c r="M826" s="35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>
      <c r="A827" s="27"/>
      <c r="B827" s="27"/>
      <c r="C827" s="27"/>
      <c r="D827" s="27"/>
      <c r="E827" s="27"/>
      <c r="F827" s="27"/>
      <c r="G827" s="20"/>
      <c r="H827" s="27"/>
      <c r="I827" s="27"/>
      <c r="J827" s="27"/>
      <c r="K827" s="27"/>
      <c r="L827" s="27"/>
      <c r="M827" s="35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>
      <c r="A828" s="27"/>
      <c r="B828" s="27"/>
      <c r="C828" s="27"/>
      <c r="D828" s="27"/>
      <c r="E828" s="27"/>
      <c r="F828" s="27"/>
      <c r="G828" s="20"/>
      <c r="H828" s="27"/>
      <c r="I828" s="27"/>
      <c r="J828" s="27"/>
      <c r="K828" s="27"/>
      <c r="L828" s="27"/>
      <c r="M828" s="35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>
      <c r="A829" s="27"/>
      <c r="B829" s="27"/>
      <c r="C829" s="27"/>
      <c r="D829" s="27"/>
      <c r="E829" s="27"/>
      <c r="F829" s="27"/>
      <c r="G829" s="20"/>
      <c r="H829" s="27"/>
      <c r="I829" s="27"/>
      <c r="J829" s="27"/>
      <c r="K829" s="27"/>
      <c r="L829" s="27"/>
      <c r="M829" s="35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>
      <c r="A830" s="27"/>
      <c r="B830" s="27"/>
      <c r="C830" s="27"/>
      <c r="D830" s="27"/>
      <c r="E830" s="27"/>
      <c r="F830" s="27"/>
      <c r="G830" s="20"/>
      <c r="H830" s="27"/>
      <c r="I830" s="27"/>
      <c r="J830" s="27"/>
      <c r="K830" s="27"/>
      <c r="L830" s="27"/>
      <c r="M830" s="35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>
      <c r="A831" s="27"/>
      <c r="B831" s="27"/>
      <c r="C831" s="27"/>
      <c r="D831" s="27"/>
      <c r="E831" s="27"/>
      <c r="F831" s="27"/>
      <c r="G831" s="20"/>
      <c r="H831" s="27"/>
      <c r="I831" s="27"/>
      <c r="J831" s="27"/>
      <c r="K831" s="27"/>
      <c r="L831" s="27"/>
      <c r="M831" s="35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>
      <c r="A832" s="27"/>
      <c r="B832" s="27"/>
      <c r="C832" s="27"/>
      <c r="D832" s="27"/>
      <c r="E832" s="27"/>
      <c r="F832" s="27"/>
      <c r="G832" s="20"/>
      <c r="H832" s="27"/>
      <c r="I832" s="27"/>
      <c r="J832" s="27"/>
      <c r="K832" s="27"/>
      <c r="L832" s="27"/>
      <c r="M832" s="35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>
      <c r="A833" s="27"/>
      <c r="B833" s="27"/>
      <c r="C833" s="27"/>
      <c r="D833" s="27"/>
      <c r="E833" s="27"/>
      <c r="F833" s="27"/>
      <c r="G833" s="20"/>
      <c r="H833" s="27"/>
      <c r="I833" s="27"/>
      <c r="J833" s="27"/>
      <c r="K833" s="27"/>
      <c r="L833" s="27"/>
      <c r="M833" s="35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>
      <c r="A834" s="27"/>
      <c r="B834" s="27"/>
      <c r="C834" s="27"/>
      <c r="D834" s="27"/>
      <c r="E834" s="27"/>
      <c r="F834" s="27"/>
      <c r="G834" s="20"/>
      <c r="H834" s="27"/>
      <c r="I834" s="27"/>
      <c r="J834" s="27"/>
      <c r="K834" s="27"/>
      <c r="L834" s="27"/>
      <c r="M834" s="35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>
      <c r="A835" s="27"/>
      <c r="B835" s="27"/>
      <c r="C835" s="27"/>
      <c r="D835" s="27"/>
      <c r="E835" s="27"/>
      <c r="F835" s="27"/>
      <c r="G835" s="20"/>
      <c r="H835" s="27"/>
      <c r="I835" s="27"/>
      <c r="J835" s="27"/>
      <c r="K835" s="27"/>
      <c r="L835" s="27"/>
      <c r="M835" s="35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>
      <c r="A836" s="27"/>
      <c r="B836" s="27"/>
      <c r="C836" s="27"/>
      <c r="D836" s="27"/>
      <c r="E836" s="27"/>
      <c r="F836" s="27"/>
      <c r="G836" s="20"/>
      <c r="H836" s="27"/>
      <c r="I836" s="27"/>
      <c r="J836" s="27"/>
      <c r="K836" s="27"/>
      <c r="L836" s="27"/>
      <c r="M836" s="35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>
      <c r="A837" s="27"/>
      <c r="B837" s="27"/>
      <c r="C837" s="27"/>
      <c r="D837" s="27"/>
      <c r="E837" s="27"/>
      <c r="F837" s="27"/>
      <c r="G837" s="20"/>
      <c r="H837" s="27"/>
      <c r="I837" s="27"/>
      <c r="J837" s="27"/>
      <c r="K837" s="27"/>
      <c r="L837" s="27"/>
      <c r="M837" s="35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>
      <c r="A838" s="27"/>
      <c r="B838" s="27"/>
      <c r="C838" s="27"/>
      <c r="D838" s="27"/>
      <c r="E838" s="27"/>
      <c r="F838" s="27"/>
      <c r="G838" s="20"/>
      <c r="H838" s="27"/>
      <c r="I838" s="27"/>
      <c r="J838" s="27"/>
      <c r="K838" s="27"/>
      <c r="L838" s="27"/>
      <c r="M838" s="35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>
      <c r="A839" s="27"/>
      <c r="B839" s="27"/>
      <c r="C839" s="27"/>
      <c r="D839" s="27"/>
      <c r="E839" s="27"/>
      <c r="F839" s="27"/>
      <c r="G839" s="20"/>
      <c r="H839" s="27"/>
      <c r="I839" s="27"/>
      <c r="J839" s="27"/>
      <c r="K839" s="27"/>
      <c r="L839" s="27"/>
      <c r="M839" s="35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>
      <c r="A840" s="27"/>
      <c r="B840" s="27"/>
      <c r="C840" s="27"/>
      <c r="D840" s="27"/>
      <c r="E840" s="27"/>
      <c r="F840" s="27"/>
      <c r="G840" s="20"/>
      <c r="H840" s="27"/>
      <c r="I840" s="27"/>
      <c r="J840" s="27"/>
      <c r="K840" s="27"/>
      <c r="L840" s="27"/>
      <c r="M840" s="35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>
      <c r="A841" s="27"/>
      <c r="B841" s="27"/>
      <c r="C841" s="27"/>
      <c r="D841" s="27"/>
      <c r="E841" s="27"/>
      <c r="F841" s="27"/>
      <c r="G841" s="20"/>
      <c r="H841" s="27"/>
      <c r="I841" s="27"/>
      <c r="J841" s="27"/>
      <c r="K841" s="27"/>
      <c r="L841" s="27"/>
      <c r="M841" s="35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>
      <c r="A842" s="27"/>
      <c r="B842" s="27"/>
      <c r="C842" s="27"/>
      <c r="D842" s="27"/>
      <c r="E842" s="27"/>
      <c r="F842" s="27"/>
      <c r="G842" s="20"/>
      <c r="H842" s="27"/>
      <c r="I842" s="27"/>
      <c r="J842" s="27"/>
      <c r="K842" s="27"/>
      <c r="L842" s="27"/>
      <c r="M842" s="35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>
      <c r="A843" s="27"/>
      <c r="B843" s="27"/>
      <c r="C843" s="27"/>
      <c r="D843" s="27"/>
      <c r="E843" s="27"/>
      <c r="F843" s="27"/>
      <c r="G843" s="20"/>
      <c r="H843" s="27"/>
      <c r="I843" s="27"/>
      <c r="J843" s="27"/>
      <c r="K843" s="27"/>
      <c r="L843" s="27"/>
      <c r="M843" s="35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>
      <c r="A844" s="27"/>
      <c r="B844" s="27"/>
      <c r="C844" s="27"/>
      <c r="D844" s="27"/>
      <c r="E844" s="27"/>
      <c r="F844" s="27"/>
      <c r="G844" s="20"/>
      <c r="H844" s="27"/>
      <c r="I844" s="27"/>
      <c r="J844" s="27"/>
      <c r="K844" s="27"/>
      <c r="L844" s="27"/>
      <c r="M844" s="35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>
      <c r="A845" s="27"/>
      <c r="B845" s="27"/>
      <c r="C845" s="27"/>
      <c r="D845" s="27"/>
      <c r="E845" s="27"/>
      <c r="F845" s="27"/>
      <c r="G845" s="20"/>
      <c r="H845" s="27"/>
      <c r="I845" s="27"/>
      <c r="J845" s="27"/>
      <c r="K845" s="27"/>
      <c r="L845" s="27"/>
      <c r="M845" s="35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>
      <c r="A846" s="27"/>
      <c r="B846" s="27"/>
      <c r="C846" s="27"/>
      <c r="D846" s="27"/>
      <c r="E846" s="27"/>
      <c r="F846" s="27"/>
      <c r="G846" s="20"/>
      <c r="H846" s="27"/>
      <c r="I846" s="27"/>
      <c r="J846" s="27"/>
      <c r="K846" s="27"/>
      <c r="L846" s="27"/>
      <c r="M846" s="35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>
      <c r="A847" s="27"/>
      <c r="B847" s="27"/>
      <c r="C847" s="27"/>
      <c r="D847" s="27"/>
      <c r="E847" s="27"/>
      <c r="F847" s="27"/>
      <c r="G847" s="20"/>
      <c r="H847" s="27"/>
      <c r="I847" s="27"/>
      <c r="J847" s="27"/>
      <c r="K847" s="27"/>
      <c r="L847" s="27"/>
      <c r="M847" s="35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>
      <c r="A848" s="27"/>
      <c r="B848" s="27"/>
      <c r="C848" s="27"/>
      <c r="D848" s="27"/>
      <c r="E848" s="27"/>
      <c r="F848" s="27"/>
      <c r="G848" s="20"/>
      <c r="H848" s="27"/>
      <c r="I848" s="27"/>
      <c r="J848" s="27"/>
      <c r="K848" s="27"/>
      <c r="L848" s="27"/>
      <c r="M848" s="35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>
      <c r="A849" s="27"/>
      <c r="B849" s="27"/>
      <c r="C849" s="27"/>
      <c r="D849" s="27"/>
      <c r="E849" s="27"/>
      <c r="F849" s="27"/>
      <c r="G849" s="20"/>
      <c r="H849" s="27"/>
      <c r="I849" s="27"/>
      <c r="J849" s="27"/>
      <c r="K849" s="27"/>
      <c r="L849" s="27"/>
      <c r="M849" s="35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>
      <c r="A850" s="27"/>
      <c r="B850" s="27"/>
      <c r="C850" s="27"/>
      <c r="D850" s="27"/>
      <c r="E850" s="27"/>
      <c r="F850" s="27"/>
      <c r="G850" s="20"/>
      <c r="H850" s="27"/>
      <c r="I850" s="27"/>
      <c r="J850" s="27"/>
      <c r="K850" s="27"/>
      <c r="L850" s="27"/>
      <c r="M850" s="35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>
      <c r="A851" s="27"/>
      <c r="B851" s="27"/>
      <c r="C851" s="27"/>
      <c r="D851" s="27"/>
      <c r="E851" s="27"/>
      <c r="F851" s="27"/>
      <c r="G851" s="20"/>
      <c r="H851" s="27"/>
      <c r="I851" s="27"/>
      <c r="J851" s="27"/>
      <c r="K851" s="27"/>
      <c r="L851" s="27"/>
      <c r="M851" s="35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>
      <c r="A852" s="27"/>
      <c r="B852" s="27"/>
      <c r="C852" s="27"/>
      <c r="D852" s="27"/>
      <c r="E852" s="27"/>
      <c r="F852" s="27"/>
      <c r="G852" s="20"/>
      <c r="H852" s="27"/>
      <c r="I852" s="27"/>
      <c r="J852" s="27"/>
      <c r="K852" s="27"/>
      <c r="L852" s="27"/>
      <c r="M852" s="35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>
      <c r="A853" s="27"/>
      <c r="B853" s="27"/>
      <c r="C853" s="27"/>
      <c r="D853" s="27"/>
      <c r="E853" s="27"/>
      <c r="F853" s="27"/>
      <c r="G853" s="20"/>
      <c r="H853" s="27"/>
      <c r="I853" s="27"/>
      <c r="J853" s="27"/>
      <c r="K853" s="27"/>
      <c r="L853" s="27"/>
      <c r="M853" s="35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>
      <c r="A854" s="27"/>
      <c r="B854" s="27"/>
      <c r="C854" s="27"/>
      <c r="D854" s="27"/>
      <c r="E854" s="27"/>
      <c r="F854" s="27"/>
      <c r="G854" s="20"/>
      <c r="H854" s="27"/>
      <c r="I854" s="27"/>
      <c r="J854" s="27"/>
      <c r="K854" s="27"/>
      <c r="L854" s="27"/>
      <c r="M854" s="35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>
      <c r="A855" s="27"/>
      <c r="B855" s="27"/>
      <c r="C855" s="27"/>
      <c r="D855" s="27"/>
      <c r="E855" s="27"/>
      <c r="F855" s="27"/>
      <c r="G855" s="20"/>
      <c r="H855" s="27"/>
      <c r="I855" s="27"/>
      <c r="J855" s="27"/>
      <c r="K855" s="27"/>
      <c r="L855" s="27"/>
      <c r="M855" s="35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>
      <c r="A856" s="27"/>
      <c r="B856" s="27"/>
      <c r="C856" s="27"/>
      <c r="D856" s="27"/>
      <c r="E856" s="27"/>
      <c r="F856" s="27"/>
      <c r="G856" s="20"/>
      <c r="H856" s="27"/>
      <c r="I856" s="27"/>
      <c r="J856" s="27"/>
      <c r="K856" s="27"/>
      <c r="L856" s="27"/>
      <c r="M856" s="35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>
      <c r="A857" s="27"/>
      <c r="B857" s="27"/>
      <c r="C857" s="27"/>
      <c r="D857" s="27"/>
      <c r="E857" s="27"/>
      <c r="F857" s="27"/>
      <c r="G857" s="20"/>
      <c r="H857" s="27"/>
      <c r="I857" s="27"/>
      <c r="J857" s="27"/>
      <c r="K857" s="27"/>
      <c r="L857" s="27"/>
      <c r="M857" s="35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>
      <c r="A858" s="27"/>
      <c r="B858" s="27"/>
      <c r="C858" s="27"/>
      <c r="D858" s="27"/>
      <c r="E858" s="27"/>
      <c r="F858" s="27"/>
      <c r="G858" s="20"/>
      <c r="H858" s="27"/>
      <c r="I858" s="27"/>
      <c r="J858" s="27"/>
      <c r="K858" s="27"/>
      <c r="L858" s="27"/>
      <c r="M858" s="35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>
      <c r="A859" s="27"/>
      <c r="B859" s="27"/>
      <c r="C859" s="27"/>
      <c r="D859" s="27"/>
      <c r="E859" s="27"/>
      <c r="F859" s="27"/>
      <c r="G859" s="20"/>
      <c r="H859" s="27"/>
      <c r="I859" s="27"/>
      <c r="J859" s="27"/>
      <c r="K859" s="27"/>
      <c r="L859" s="27"/>
      <c r="M859" s="35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>
      <c r="A860" s="27"/>
      <c r="B860" s="27"/>
      <c r="C860" s="27"/>
      <c r="D860" s="27"/>
      <c r="E860" s="27"/>
      <c r="F860" s="27"/>
      <c r="G860" s="20"/>
      <c r="H860" s="27"/>
      <c r="I860" s="27"/>
      <c r="J860" s="27"/>
      <c r="K860" s="27"/>
      <c r="L860" s="27"/>
      <c r="M860" s="35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>
      <c r="A861" s="27"/>
      <c r="B861" s="27"/>
      <c r="C861" s="27"/>
      <c r="D861" s="27"/>
      <c r="E861" s="27"/>
      <c r="F861" s="27"/>
      <c r="G861" s="20"/>
      <c r="H861" s="27"/>
      <c r="I861" s="27"/>
      <c r="J861" s="27"/>
      <c r="K861" s="27"/>
      <c r="L861" s="27"/>
      <c r="M861" s="35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>
      <c r="A862" s="27"/>
      <c r="B862" s="27"/>
      <c r="C862" s="27"/>
      <c r="D862" s="27"/>
      <c r="E862" s="27"/>
      <c r="F862" s="27"/>
      <c r="G862" s="20"/>
      <c r="H862" s="27"/>
      <c r="I862" s="27"/>
      <c r="J862" s="27"/>
      <c r="K862" s="27"/>
      <c r="L862" s="27"/>
      <c r="M862" s="35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>
      <c r="A863" s="27"/>
      <c r="B863" s="27"/>
      <c r="C863" s="27"/>
      <c r="D863" s="27"/>
      <c r="E863" s="27"/>
      <c r="F863" s="27"/>
      <c r="G863" s="20"/>
      <c r="H863" s="27"/>
      <c r="I863" s="27"/>
      <c r="J863" s="27"/>
      <c r="K863" s="27"/>
      <c r="L863" s="27"/>
      <c r="M863" s="35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>
      <c r="A864" s="27"/>
      <c r="B864" s="27"/>
      <c r="C864" s="27"/>
      <c r="D864" s="27"/>
      <c r="E864" s="27"/>
      <c r="F864" s="27"/>
      <c r="G864" s="20"/>
      <c r="H864" s="27"/>
      <c r="I864" s="27"/>
      <c r="J864" s="27"/>
      <c r="K864" s="27"/>
      <c r="L864" s="27"/>
      <c r="M864" s="35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>
      <c r="A865" s="27"/>
      <c r="B865" s="27"/>
      <c r="C865" s="27"/>
      <c r="D865" s="27"/>
      <c r="E865" s="27"/>
      <c r="F865" s="27"/>
      <c r="G865" s="20"/>
      <c r="H865" s="27"/>
      <c r="I865" s="27"/>
      <c r="J865" s="27"/>
      <c r="K865" s="27"/>
      <c r="L865" s="27"/>
      <c r="M865" s="35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>
      <c r="A866" s="27"/>
      <c r="B866" s="27"/>
      <c r="C866" s="27"/>
      <c r="D866" s="27"/>
      <c r="E866" s="27"/>
      <c r="F866" s="27"/>
      <c r="G866" s="20"/>
      <c r="H866" s="27"/>
      <c r="I866" s="27"/>
      <c r="J866" s="27"/>
      <c r="K866" s="27"/>
      <c r="L866" s="27"/>
      <c r="M866" s="35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>
      <c r="A867" s="27"/>
      <c r="B867" s="27"/>
      <c r="C867" s="27"/>
      <c r="D867" s="27"/>
      <c r="E867" s="27"/>
      <c r="F867" s="27"/>
      <c r="G867" s="20"/>
      <c r="H867" s="27"/>
      <c r="I867" s="27"/>
      <c r="J867" s="27"/>
      <c r="K867" s="27"/>
      <c r="L867" s="27"/>
      <c r="M867" s="35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>
      <c r="A868" s="27"/>
      <c r="B868" s="27"/>
      <c r="C868" s="27"/>
      <c r="D868" s="27"/>
      <c r="E868" s="27"/>
      <c r="F868" s="27"/>
      <c r="G868" s="20"/>
      <c r="H868" s="27"/>
      <c r="I868" s="27"/>
      <c r="J868" s="27"/>
      <c r="K868" s="27"/>
      <c r="L868" s="27"/>
      <c r="M868" s="35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>
      <c r="A869" s="27"/>
      <c r="B869" s="27"/>
      <c r="C869" s="27"/>
      <c r="D869" s="27"/>
      <c r="E869" s="27"/>
      <c r="F869" s="27"/>
      <c r="G869" s="20"/>
      <c r="H869" s="27"/>
      <c r="I869" s="27"/>
      <c r="J869" s="27"/>
      <c r="K869" s="27"/>
      <c r="L869" s="27"/>
      <c r="M869" s="35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>
      <c r="A870" s="27"/>
      <c r="B870" s="27"/>
      <c r="C870" s="27"/>
      <c r="D870" s="27"/>
      <c r="E870" s="27"/>
      <c r="F870" s="27"/>
      <c r="G870" s="20"/>
      <c r="H870" s="27"/>
      <c r="I870" s="27"/>
      <c r="J870" s="27"/>
      <c r="K870" s="27"/>
      <c r="L870" s="27"/>
      <c r="M870" s="35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>
      <c r="A871" s="27"/>
      <c r="B871" s="27"/>
      <c r="C871" s="27"/>
      <c r="D871" s="27"/>
      <c r="E871" s="27"/>
      <c r="F871" s="27"/>
      <c r="G871" s="20"/>
      <c r="H871" s="27"/>
      <c r="I871" s="27"/>
      <c r="J871" s="27"/>
      <c r="K871" s="27"/>
      <c r="L871" s="27"/>
      <c r="M871" s="35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>
      <c r="A872" s="27"/>
      <c r="B872" s="27"/>
      <c r="C872" s="27"/>
      <c r="D872" s="27"/>
      <c r="E872" s="27"/>
      <c r="F872" s="27"/>
      <c r="G872" s="20"/>
      <c r="H872" s="27"/>
      <c r="I872" s="27"/>
      <c r="J872" s="27"/>
      <c r="K872" s="27"/>
      <c r="L872" s="27"/>
      <c r="M872" s="35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>
      <c r="A873" s="27"/>
      <c r="B873" s="27"/>
      <c r="C873" s="27"/>
      <c r="D873" s="27"/>
      <c r="E873" s="27"/>
      <c r="F873" s="27"/>
      <c r="G873" s="20"/>
      <c r="H873" s="27"/>
      <c r="I873" s="27"/>
      <c r="J873" s="27"/>
      <c r="K873" s="27"/>
      <c r="L873" s="27"/>
      <c r="M873" s="35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>
      <c r="A874" s="27"/>
      <c r="B874" s="27"/>
      <c r="C874" s="27"/>
      <c r="D874" s="27"/>
      <c r="E874" s="27"/>
      <c r="F874" s="27"/>
      <c r="G874" s="20"/>
      <c r="H874" s="27"/>
      <c r="I874" s="27"/>
      <c r="J874" s="27"/>
      <c r="K874" s="27"/>
      <c r="L874" s="27"/>
      <c r="M874" s="35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>
      <c r="A875" s="27"/>
      <c r="B875" s="27"/>
      <c r="C875" s="27"/>
      <c r="D875" s="27"/>
      <c r="E875" s="27"/>
      <c r="F875" s="27"/>
      <c r="G875" s="20"/>
      <c r="H875" s="27"/>
      <c r="I875" s="27"/>
      <c r="J875" s="27"/>
      <c r="K875" s="27"/>
      <c r="L875" s="27"/>
      <c r="M875" s="35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>
      <c r="A876" s="27"/>
      <c r="B876" s="27"/>
      <c r="C876" s="27"/>
      <c r="D876" s="27"/>
      <c r="E876" s="27"/>
      <c r="F876" s="27"/>
      <c r="G876" s="20"/>
      <c r="H876" s="27"/>
      <c r="I876" s="27"/>
      <c r="J876" s="27"/>
      <c r="K876" s="27"/>
      <c r="L876" s="27"/>
      <c r="M876" s="35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>
      <c r="A877" s="27"/>
      <c r="B877" s="27"/>
      <c r="C877" s="27"/>
      <c r="D877" s="27"/>
      <c r="E877" s="27"/>
      <c r="F877" s="27"/>
      <c r="G877" s="20"/>
      <c r="H877" s="27"/>
      <c r="I877" s="27"/>
      <c r="J877" s="27"/>
      <c r="K877" s="27"/>
      <c r="L877" s="27"/>
      <c r="M877" s="35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>
      <c r="A878" s="27"/>
      <c r="B878" s="27"/>
      <c r="C878" s="27"/>
      <c r="D878" s="27"/>
      <c r="E878" s="27"/>
      <c r="F878" s="27"/>
      <c r="G878" s="20"/>
      <c r="H878" s="27"/>
      <c r="I878" s="27"/>
      <c r="J878" s="27"/>
      <c r="K878" s="27"/>
      <c r="L878" s="27"/>
      <c r="M878" s="35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>
      <c r="A879" s="27"/>
      <c r="B879" s="27"/>
      <c r="C879" s="27"/>
      <c r="D879" s="27"/>
      <c r="E879" s="27"/>
      <c r="F879" s="27"/>
      <c r="G879" s="20"/>
      <c r="H879" s="27"/>
      <c r="I879" s="27"/>
      <c r="J879" s="27"/>
      <c r="K879" s="27"/>
      <c r="L879" s="27"/>
      <c r="M879" s="35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>
      <c r="A880" s="27"/>
      <c r="B880" s="27"/>
      <c r="C880" s="27"/>
      <c r="D880" s="27"/>
      <c r="E880" s="27"/>
      <c r="F880" s="27"/>
      <c r="G880" s="20"/>
      <c r="H880" s="27"/>
      <c r="I880" s="27"/>
      <c r="J880" s="27"/>
      <c r="K880" s="27"/>
      <c r="L880" s="27"/>
      <c r="M880" s="35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>
      <c r="A881" s="27"/>
      <c r="B881" s="27"/>
      <c r="C881" s="27"/>
      <c r="D881" s="27"/>
      <c r="E881" s="27"/>
      <c r="F881" s="27"/>
      <c r="G881" s="20"/>
      <c r="H881" s="27"/>
      <c r="I881" s="27"/>
      <c r="J881" s="27"/>
      <c r="K881" s="27"/>
      <c r="L881" s="27"/>
      <c r="M881" s="35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>
      <c r="A882" s="27"/>
      <c r="B882" s="27"/>
      <c r="C882" s="27"/>
      <c r="D882" s="27"/>
      <c r="E882" s="27"/>
      <c r="F882" s="27"/>
      <c r="G882" s="20"/>
      <c r="H882" s="27"/>
      <c r="I882" s="27"/>
      <c r="J882" s="27"/>
      <c r="K882" s="27"/>
      <c r="L882" s="27"/>
      <c r="M882" s="35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>
      <c r="A883" s="27"/>
      <c r="B883" s="27"/>
      <c r="C883" s="27"/>
      <c r="D883" s="27"/>
      <c r="E883" s="27"/>
      <c r="F883" s="27"/>
      <c r="G883" s="20"/>
      <c r="H883" s="27"/>
      <c r="I883" s="27"/>
      <c r="J883" s="27"/>
      <c r="K883" s="27"/>
      <c r="L883" s="27"/>
      <c r="M883" s="35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>
      <c r="A884" s="27"/>
      <c r="B884" s="27"/>
      <c r="C884" s="27"/>
      <c r="D884" s="27"/>
      <c r="E884" s="27"/>
      <c r="F884" s="27"/>
      <c r="G884" s="20"/>
      <c r="H884" s="27"/>
      <c r="I884" s="27"/>
      <c r="J884" s="27"/>
      <c r="K884" s="27"/>
      <c r="L884" s="27"/>
      <c r="M884" s="35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>
      <c r="A885" s="27"/>
      <c r="B885" s="27"/>
      <c r="C885" s="27"/>
      <c r="D885" s="27"/>
      <c r="E885" s="27"/>
      <c r="F885" s="27"/>
      <c r="G885" s="20"/>
      <c r="H885" s="27"/>
      <c r="I885" s="27"/>
      <c r="J885" s="27"/>
      <c r="K885" s="27"/>
      <c r="L885" s="27"/>
      <c r="M885" s="35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>
      <c r="A886" s="27"/>
      <c r="B886" s="27"/>
      <c r="C886" s="27"/>
      <c r="D886" s="27"/>
      <c r="E886" s="27"/>
      <c r="F886" s="27"/>
      <c r="G886" s="20"/>
      <c r="H886" s="27"/>
      <c r="I886" s="27"/>
      <c r="J886" s="27"/>
      <c r="K886" s="27"/>
      <c r="L886" s="27"/>
      <c r="M886" s="35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>
      <c r="A887" s="27"/>
      <c r="B887" s="27"/>
      <c r="C887" s="27"/>
      <c r="D887" s="27"/>
      <c r="E887" s="27"/>
      <c r="F887" s="27"/>
      <c r="G887" s="20"/>
      <c r="H887" s="27"/>
      <c r="I887" s="27"/>
      <c r="J887" s="27"/>
      <c r="K887" s="27"/>
      <c r="L887" s="27"/>
      <c r="M887" s="35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>
      <c r="A888" s="27"/>
      <c r="B888" s="27"/>
      <c r="C888" s="27"/>
      <c r="D888" s="27"/>
      <c r="E888" s="27"/>
      <c r="F888" s="27"/>
      <c r="G888" s="20"/>
      <c r="H888" s="27"/>
      <c r="I888" s="27"/>
      <c r="J888" s="27"/>
      <c r="K888" s="27"/>
      <c r="L888" s="27"/>
      <c r="M888" s="35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>
      <c r="A889" s="27"/>
      <c r="B889" s="27"/>
      <c r="C889" s="27"/>
      <c r="D889" s="27"/>
      <c r="E889" s="27"/>
      <c r="F889" s="27"/>
      <c r="G889" s="20"/>
      <c r="H889" s="27"/>
      <c r="I889" s="27"/>
      <c r="J889" s="27"/>
      <c r="K889" s="27"/>
      <c r="L889" s="27"/>
      <c r="M889" s="35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>
      <c r="A890" s="27"/>
      <c r="B890" s="27"/>
      <c r="C890" s="27"/>
      <c r="D890" s="27"/>
      <c r="E890" s="27"/>
      <c r="F890" s="27"/>
      <c r="G890" s="20"/>
      <c r="H890" s="27"/>
      <c r="I890" s="27"/>
      <c r="J890" s="27"/>
      <c r="K890" s="27"/>
      <c r="L890" s="27"/>
      <c r="M890" s="35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>
      <c r="A891" s="27"/>
      <c r="B891" s="27"/>
      <c r="C891" s="27"/>
      <c r="D891" s="27"/>
      <c r="E891" s="27"/>
      <c r="F891" s="27"/>
      <c r="G891" s="20"/>
      <c r="H891" s="27"/>
      <c r="I891" s="27"/>
      <c r="J891" s="27"/>
      <c r="K891" s="27"/>
      <c r="L891" s="27"/>
      <c r="M891" s="35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>
      <c r="A892" s="27"/>
      <c r="B892" s="27"/>
      <c r="C892" s="27"/>
      <c r="D892" s="27"/>
      <c r="E892" s="27"/>
      <c r="F892" s="27"/>
      <c r="G892" s="20"/>
      <c r="H892" s="27"/>
      <c r="I892" s="27"/>
      <c r="J892" s="27"/>
      <c r="K892" s="27"/>
      <c r="L892" s="27"/>
      <c r="M892" s="35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>
      <c r="A893" s="27"/>
      <c r="B893" s="27"/>
      <c r="C893" s="27"/>
      <c r="D893" s="27"/>
      <c r="E893" s="27"/>
      <c r="F893" s="27"/>
      <c r="G893" s="20"/>
      <c r="H893" s="27"/>
      <c r="I893" s="27"/>
      <c r="J893" s="27"/>
      <c r="K893" s="27"/>
      <c r="L893" s="27"/>
      <c r="M893" s="35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>
      <c r="A894" s="27"/>
      <c r="B894" s="27"/>
      <c r="C894" s="27"/>
      <c r="D894" s="27"/>
      <c r="E894" s="27"/>
      <c r="F894" s="27"/>
      <c r="G894" s="20"/>
      <c r="H894" s="27"/>
      <c r="I894" s="27"/>
      <c r="J894" s="27"/>
      <c r="K894" s="27"/>
      <c r="L894" s="27"/>
      <c r="M894" s="35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>
      <c r="A895" s="27"/>
      <c r="B895" s="27"/>
      <c r="C895" s="27"/>
      <c r="D895" s="27"/>
      <c r="E895" s="27"/>
      <c r="F895" s="27"/>
      <c r="G895" s="20"/>
      <c r="H895" s="27"/>
      <c r="I895" s="27"/>
      <c r="J895" s="27"/>
      <c r="K895" s="27"/>
      <c r="L895" s="27"/>
      <c r="M895" s="35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>
      <c r="A896" s="27"/>
      <c r="B896" s="27"/>
      <c r="C896" s="27"/>
      <c r="D896" s="27"/>
      <c r="E896" s="27"/>
      <c r="F896" s="27"/>
      <c r="G896" s="20"/>
      <c r="H896" s="27"/>
      <c r="I896" s="27"/>
      <c r="J896" s="27"/>
      <c r="K896" s="27"/>
      <c r="L896" s="27"/>
      <c r="M896" s="35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>
      <c r="A897" s="27"/>
      <c r="B897" s="27"/>
      <c r="C897" s="27"/>
      <c r="D897" s="27"/>
      <c r="E897" s="27"/>
      <c r="F897" s="27"/>
      <c r="G897" s="20"/>
      <c r="H897" s="27"/>
      <c r="I897" s="27"/>
      <c r="J897" s="27"/>
      <c r="K897" s="27"/>
      <c r="L897" s="27"/>
      <c r="M897" s="35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>
      <c r="A898" s="27"/>
      <c r="B898" s="27"/>
      <c r="C898" s="27"/>
      <c r="D898" s="27"/>
      <c r="E898" s="27"/>
      <c r="F898" s="27"/>
      <c r="G898" s="20"/>
      <c r="H898" s="27"/>
      <c r="I898" s="27"/>
      <c r="J898" s="27"/>
      <c r="K898" s="27"/>
      <c r="L898" s="27"/>
      <c r="M898" s="35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>
      <c r="A899" s="27"/>
      <c r="B899" s="27"/>
      <c r="C899" s="27"/>
      <c r="D899" s="27"/>
      <c r="E899" s="27"/>
      <c r="F899" s="27"/>
      <c r="G899" s="20"/>
      <c r="H899" s="27"/>
      <c r="I899" s="27"/>
      <c r="J899" s="27"/>
      <c r="K899" s="27"/>
      <c r="L899" s="27"/>
      <c r="M899" s="35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>
      <c r="A900" s="27"/>
      <c r="B900" s="27"/>
      <c r="C900" s="27"/>
      <c r="D900" s="27"/>
      <c r="E900" s="27"/>
      <c r="F900" s="27"/>
      <c r="G900" s="20"/>
      <c r="H900" s="27"/>
      <c r="I900" s="27"/>
      <c r="J900" s="27"/>
      <c r="K900" s="27"/>
      <c r="L900" s="27"/>
      <c r="M900" s="35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>
      <c r="A901" s="27"/>
      <c r="B901" s="27"/>
      <c r="C901" s="27"/>
      <c r="D901" s="27"/>
      <c r="E901" s="27"/>
      <c r="F901" s="27"/>
      <c r="G901" s="20"/>
      <c r="H901" s="27"/>
      <c r="I901" s="27"/>
      <c r="J901" s="27"/>
      <c r="K901" s="27"/>
      <c r="L901" s="27"/>
      <c r="M901" s="35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>
      <c r="A902" s="27"/>
      <c r="B902" s="27"/>
      <c r="C902" s="27"/>
      <c r="D902" s="27"/>
      <c r="E902" s="27"/>
      <c r="F902" s="27"/>
      <c r="G902" s="20"/>
      <c r="H902" s="27"/>
      <c r="I902" s="27"/>
      <c r="J902" s="27"/>
      <c r="K902" s="27"/>
      <c r="L902" s="27"/>
      <c r="M902" s="35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>
      <c r="A903" s="27"/>
      <c r="B903" s="27"/>
      <c r="C903" s="27"/>
      <c r="D903" s="27"/>
      <c r="E903" s="27"/>
      <c r="F903" s="27"/>
      <c r="G903" s="20"/>
      <c r="H903" s="27"/>
      <c r="I903" s="27"/>
      <c r="J903" s="27"/>
      <c r="K903" s="27"/>
      <c r="L903" s="27"/>
      <c r="M903" s="35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>
      <c r="A904" s="27"/>
      <c r="B904" s="27"/>
      <c r="C904" s="27"/>
      <c r="D904" s="27"/>
      <c r="E904" s="27"/>
      <c r="F904" s="27"/>
      <c r="G904" s="20"/>
      <c r="H904" s="27"/>
      <c r="I904" s="27"/>
      <c r="J904" s="27"/>
      <c r="K904" s="27"/>
      <c r="L904" s="27"/>
      <c r="M904" s="35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>
      <c r="A905" s="27"/>
      <c r="B905" s="27"/>
      <c r="C905" s="27"/>
      <c r="D905" s="27"/>
      <c r="E905" s="27"/>
      <c r="F905" s="27"/>
      <c r="G905" s="20"/>
      <c r="H905" s="27"/>
      <c r="I905" s="27"/>
      <c r="J905" s="27"/>
      <c r="K905" s="27"/>
      <c r="L905" s="27"/>
      <c r="M905" s="35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>
      <c r="A906" s="27"/>
      <c r="B906" s="27"/>
      <c r="C906" s="27"/>
      <c r="D906" s="27"/>
      <c r="E906" s="27"/>
      <c r="F906" s="27"/>
      <c r="G906" s="20"/>
      <c r="H906" s="27"/>
      <c r="I906" s="27"/>
      <c r="J906" s="27"/>
      <c r="K906" s="27"/>
      <c r="L906" s="27"/>
      <c r="M906" s="35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>
      <c r="A907" s="27"/>
      <c r="B907" s="27"/>
      <c r="C907" s="27"/>
      <c r="D907" s="27"/>
      <c r="E907" s="27"/>
      <c r="F907" s="27"/>
      <c r="G907" s="20"/>
      <c r="H907" s="27"/>
      <c r="I907" s="27"/>
      <c r="J907" s="27"/>
      <c r="K907" s="27"/>
      <c r="L907" s="27"/>
      <c r="M907" s="35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>
      <c r="A908" s="27"/>
      <c r="B908" s="27"/>
      <c r="C908" s="27"/>
      <c r="D908" s="27"/>
      <c r="E908" s="27"/>
      <c r="F908" s="27"/>
      <c r="G908" s="20"/>
      <c r="H908" s="27"/>
      <c r="I908" s="27"/>
      <c r="J908" s="27"/>
      <c r="K908" s="27"/>
      <c r="L908" s="27"/>
      <c r="M908" s="35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>
      <c r="A909" s="27"/>
      <c r="B909" s="27"/>
      <c r="C909" s="27"/>
      <c r="D909" s="27"/>
      <c r="E909" s="27"/>
      <c r="F909" s="27"/>
      <c r="G909" s="20"/>
      <c r="H909" s="27"/>
      <c r="I909" s="27"/>
      <c r="J909" s="27"/>
      <c r="K909" s="27"/>
      <c r="L909" s="27"/>
      <c r="M909" s="35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>
      <c r="A910" s="27"/>
      <c r="B910" s="27"/>
      <c r="C910" s="27"/>
      <c r="D910" s="27"/>
      <c r="E910" s="27"/>
      <c r="F910" s="27"/>
      <c r="G910" s="20"/>
      <c r="H910" s="27"/>
      <c r="I910" s="27"/>
      <c r="J910" s="27"/>
      <c r="K910" s="27"/>
      <c r="L910" s="27"/>
      <c r="M910" s="35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>
      <c r="A911" s="27"/>
      <c r="B911" s="27"/>
      <c r="C911" s="27"/>
      <c r="D911" s="27"/>
      <c r="E911" s="27"/>
      <c r="F911" s="27"/>
      <c r="G911" s="20"/>
      <c r="H911" s="27"/>
      <c r="I911" s="27"/>
      <c r="J911" s="27"/>
      <c r="K911" s="27"/>
      <c r="L911" s="27"/>
      <c r="M911" s="35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>
      <c r="A912" s="27"/>
      <c r="B912" s="27"/>
      <c r="C912" s="27"/>
      <c r="D912" s="27"/>
      <c r="E912" s="27"/>
      <c r="F912" s="27"/>
      <c r="G912" s="20"/>
      <c r="H912" s="27"/>
      <c r="I912" s="27"/>
      <c r="J912" s="27"/>
      <c r="K912" s="27"/>
      <c r="L912" s="27"/>
      <c r="M912" s="35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>
      <c r="A913" s="27"/>
      <c r="B913" s="27"/>
      <c r="C913" s="27"/>
      <c r="D913" s="27"/>
      <c r="E913" s="27"/>
      <c r="F913" s="27"/>
      <c r="G913" s="20"/>
      <c r="H913" s="27"/>
      <c r="I913" s="27"/>
      <c r="J913" s="27"/>
      <c r="K913" s="27"/>
      <c r="L913" s="27"/>
      <c r="M913" s="35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>
      <c r="A914" s="27"/>
      <c r="B914" s="27"/>
      <c r="C914" s="27"/>
      <c r="D914" s="27"/>
      <c r="E914" s="27"/>
      <c r="F914" s="27"/>
      <c r="G914" s="20"/>
      <c r="H914" s="27"/>
      <c r="I914" s="27"/>
      <c r="J914" s="27"/>
      <c r="K914" s="27"/>
      <c r="L914" s="27"/>
      <c r="M914" s="35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>
      <c r="A915" s="27"/>
      <c r="B915" s="27"/>
      <c r="C915" s="27"/>
      <c r="D915" s="27"/>
      <c r="E915" s="27"/>
      <c r="F915" s="27"/>
      <c r="G915" s="20"/>
      <c r="H915" s="27"/>
      <c r="I915" s="27"/>
      <c r="J915" s="27"/>
      <c r="K915" s="27"/>
      <c r="L915" s="27"/>
      <c r="M915" s="35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>
      <c r="A916" s="27"/>
      <c r="B916" s="27"/>
      <c r="C916" s="27"/>
      <c r="D916" s="27"/>
      <c r="E916" s="27"/>
      <c r="F916" s="27"/>
      <c r="G916" s="20"/>
      <c r="H916" s="27"/>
      <c r="I916" s="27"/>
      <c r="J916" s="27"/>
      <c r="K916" s="27"/>
      <c r="L916" s="27"/>
      <c r="M916" s="35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>
      <c r="A917" s="27"/>
      <c r="B917" s="27"/>
      <c r="C917" s="27"/>
      <c r="D917" s="27"/>
      <c r="E917" s="27"/>
      <c r="F917" s="27"/>
      <c r="G917" s="20"/>
      <c r="H917" s="27"/>
      <c r="I917" s="27"/>
      <c r="J917" s="27"/>
      <c r="K917" s="27"/>
      <c r="L917" s="27"/>
      <c r="M917" s="35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>
      <c r="A918" s="27"/>
      <c r="B918" s="27"/>
      <c r="C918" s="27"/>
      <c r="D918" s="27"/>
      <c r="E918" s="27"/>
      <c r="F918" s="27"/>
      <c r="G918" s="20"/>
      <c r="H918" s="27"/>
      <c r="I918" s="27"/>
      <c r="J918" s="27"/>
      <c r="K918" s="27"/>
      <c r="L918" s="27"/>
      <c r="M918" s="35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>
      <c r="A919" s="27"/>
      <c r="B919" s="27"/>
      <c r="C919" s="27"/>
      <c r="D919" s="27"/>
      <c r="E919" s="27"/>
      <c r="F919" s="27"/>
      <c r="G919" s="20"/>
      <c r="H919" s="27"/>
      <c r="I919" s="27"/>
      <c r="J919" s="27"/>
      <c r="K919" s="27"/>
      <c r="L919" s="27"/>
      <c r="M919" s="35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>
      <c r="A920" s="27"/>
      <c r="B920" s="27"/>
      <c r="C920" s="27"/>
      <c r="D920" s="27"/>
      <c r="E920" s="27"/>
      <c r="F920" s="27"/>
      <c r="G920" s="20"/>
      <c r="H920" s="27"/>
      <c r="I920" s="27"/>
      <c r="J920" s="27"/>
      <c r="K920" s="27"/>
      <c r="L920" s="27"/>
      <c r="M920" s="35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>
      <c r="A921" s="27"/>
      <c r="B921" s="27"/>
      <c r="C921" s="27"/>
      <c r="D921" s="27"/>
      <c r="E921" s="27"/>
      <c r="F921" s="27"/>
      <c r="G921" s="20"/>
      <c r="H921" s="27"/>
      <c r="I921" s="27"/>
      <c r="J921" s="27"/>
      <c r="K921" s="27"/>
      <c r="L921" s="27"/>
      <c r="M921" s="35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>
      <c r="A922" s="27"/>
      <c r="B922" s="27"/>
      <c r="C922" s="27"/>
      <c r="D922" s="27"/>
      <c r="E922" s="27"/>
      <c r="F922" s="27"/>
      <c r="G922" s="20"/>
      <c r="H922" s="27"/>
      <c r="I922" s="27"/>
      <c r="J922" s="27"/>
      <c r="K922" s="27"/>
      <c r="L922" s="27"/>
      <c r="M922" s="35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>
      <c r="A923" s="27"/>
      <c r="B923" s="27"/>
      <c r="C923" s="27"/>
      <c r="D923" s="27"/>
      <c r="E923" s="27"/>
      <c r="F923" s="27"/>
      <c r="G923" s="20"/>
      <c r="H923" s="27"/>
      <c r="I923" s="27"/>
      <c r="J923" s="27"/>
      <c r="K923" s="27"/>
      <c r="L923" s="27"/>
      <c r="M923" s="35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>
      <c r="A924" s="27"/>
      <c r="B924" s="27"/>
      <c r="C924" s="27"/>
      <c r="D924" s="27"/>
      <c r="E924" s="27"/>
      <c r="F924" s="27"/>
      <c r="G924" s="20"/>
      <c r="H924" s="27"/>
      <c r="I924" s="27"/>
      <c r="J924" s="27"/>
      <c r="K924" s="27"/>
      <c r="L924" s="27"/>
      <c r="M924" s="35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>
      <c r="A925" s="27"/>
      <c r="B925" s="27"/>
      <c r="C925" s="27"/>
      <c r="D925" s="27"/>
      <c r="E925" s="27"/>
      <c r="F925" s="27"/>
      <c r="G925" s="20"/>
      <c r="H925" s="27"/>
      <c r="I925" s="27"/>
      <c r="J925" s="27"/>
      <c r="K925" s="27"/>
      <c r="L925" s="27"/>
      <c r="M925" s="35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>
      <c r="A926" s="27"/>
      <c r="B926" s="27"/>
      <c r="C926" s="27"/>
      <c r="D926" s="27"/>
      <c r="E926" s="27"/>
      <c r="F926" s="27"/>
      <c r="G926" s="20"/>
      <c r="H926" s="27"/>
      <c r="I926" s="27"/>
      <c r="J926" s="27"/>
      <c r="K926" s="27"/>
      <c r="L926" s="27"/>
      <c r="M926" s="35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>
      <c r="A927" s="27"/>
      <c r="B927" s="27"/>
      <c r="C927" s="27"/>
      <c r="D927" s="27"/>
      <c r="E927" s="27"/>
      <c r="F927" s="27"/>
      <c r="G927" s="20"/>
      <c r="H927" s="27"/>
      <c r="I927" s="27"/>
      <c r="J927" s="27"/>
      <c r="K927" s="27"/>
      <c r="L927" s="27"/>
      <c r="M927" s="35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>
      <c r="A928" s="27"/>
      <c r="B928" s="27"/>
      <c r="C928" s="27"/>
      <c r="D928" s="27"/>
      <c r="E928" s="27"/>
      <c r="F928" s="27"/>
      <c r="G928" s="20"/>
      <c r="H928" s="27"/>
      <c r="I928" s="27"/>
      <c r="J928" s="27"/>
      <c r="K928" s="27"/>
      <c r="L928" s="27"/>
      <c r="M928" s="35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>
      <c r="A929" s="27"/>
      <c r="B929" s="27"/>
      <c r="C929" s="27"/>
      <c r="D929" s="27"/>
      <c r="E929" s="27"/>
      <c r="F929" s="27"/>
      <c r="G929" s="20"/>
      <c r="H929" s="27"/>
      <c r="I929" s="27"/>
      <c r="J929" s="27"/>
      <c r="K929" s="27"/>
      <c r="L929" s="27"/>
      <c r="M929" s="35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>
      <c r="A930" s="27"/>
      <c r="B930" s="27"/>
      <c r="C930" s="27"/>
      <c r="D930" s="27"/>
      <c r="E930" s="27"/>
      <c r="F930" s="27"/>
      <c r="G930" s="20"/>
      <c r="H930" s="27"/>
      <c r="I930" s="27"/>
      <c r="J930" s="27"/>
      <c r="K930" s="27"/>
      <c r="L930" s="27"/>
      <c r="M930" s="35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>
      <c r="A931" s="27"/>
      <c r="B931" s="27"/>
      <c r="C931" s="27"/>
      <c r="D931" s="27"/>
      <c r="E931" s="27"/>
      <c r="F931" s="27"/>
      <c r="G931" s="20"/>
      <c r="H931" s="27"/>
      <c r="I931" s="27"/>
      <c r="J931" s="27"/>
      <c r="K931" s="27"/>
      <c r="L931" s="27"/>
      <c r="M931" s="35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>
      <c r="A932" s="27"/>
      <c r="B932" s="27"/>
      <c r="C932" s="27"/>
      <c r="D932" s="27"/>
      <c r="E932" s="27"/>
      <c r="F932" s="27"/>
      <c r="G932" s="20"/>
      <c r="H932" s="27"/>
      <c r="I932" s="27"/>
      <c r="J932" s="27"/>
      <c r="K932" s="27"/>
      <c r="L932" s="27"/>
      <c r="M932" s="35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>
      <c r="A933" s="27"/>
      <c r="B933" s="27"/>
      <c r="C933" s="27"/>
      <c r="D933" s="27"/>
      <c r="E933" s="27"/>
      <c r="F933" s="27"/>
      <c r="G933" s="20"/>
      <c r="H933" s="27"/>
      <c r="I933" s="27"/>
      <c r="J933" s="27"/>
      <c r="K933" s="27"/>
      <c r="L933" s="27"/>
      <c r="M933" s="35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>
      <c r="A934" s="27"/>
      <c r="B934" s="27"/>
      <c r="C934" s="27"/>
      <c r="D934" s="27"/>
      <c r="E934" s="27"/>
      <c r="F934" s="27"/>
      <c r="G934" s="20"/>
      <c r="H934" s="27"/>
      <c r="I934" s="27"/>
      <c r="J934" s="27"/>
      <c r="K934" s="27"/>
      <c r="L934" s="27"/>
      <c r="M934" s="35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>
      <c r="A935" s="27"/>
      <c r="B935" s="27"/>
      <c r="C935" s="27"/>
      <c r="D935" s="27"/>
      <c r="E935" s="27"/>
      <c r="F935" s="27"/>
      <c r="G935" s="20"/>
      <c r="H935" s="27"/>
      <c r="I935" s="27"/>
      <c r="J935" s="27"/>
      <c r="K935" s="27"/>
      <c r="L935" s="27"/>
      <c r="M935" s="35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>
      <c r="A936" s="27"/>
      <c r="B936" s="27"/>
      <c r="C936" s="27"/>
      <c r="D936" s="27"/>
      <c r="E936" s="27"/>
      <c r="F936" s="27"/>
      <c r="G936" s="20"/>
      <c r="H936" s="27"/>
      <c r="I936" s="27"/>
      <c r="J936" s="27"/>
      <c r="K936" s="27"/>
      <c r="L936" s="27"/>
      <c r="M936" s="35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>
      <c r="A937" s="27"/>
      <c r="B937" s="27"/>
      <c r="C937" s="27"/>
      <c r="D937" s="27"/>
      <c r="E937" s="27"/>
      <c r="F937" s="27"/>
      <c r="G937" s="20"/>
      <c r="H937" s="27"/>
      <c r="I937" s="27"/>
      <c r="J937" s="27"/>
      <c r="K937" s="27"/>
      <c r="L937" s="27"/>
      <c r="M937" s="35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>
      <c r="A938" s="27"/>
      <c r="B938" s="27"/>
      <c r="C938" s="27"/>
      <c r="D938" s="27"/>
      <c r="E938" s="27"/>
      <c r="F938" s="27"/>
      <c r="G938" s="20"/>
      <c r="H938" s="27"/>
      <c r="I938" s="27"/>
      <c r="J938" s="27"/>
      <c r="K938" s="27"/>
      <c r="L938" s="27"/>
      <c r="M938" s="35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>
      <c r="A939" s="27"/>
      <c r="B939" s="27"/>
      <c r="C939" s="27"/>
      <c r="D939" s="27"/>
      <c r="E939" s="27"/>
      <c r="F939" s="27"/>
      <c r="G939" s="20"/>
      <c r="H939" s="27"/>
      <c r="I939" s="27"/>
      <c r="J939" s="27"/>
      <c r="K939" s="27"/>
      <c r="L939" s="27"/>
      <c r="M939" s="35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>
      <c r="A940" s="27"/>
      <c r="B940" s="27"/>
      <c r="C940" s="27"/>
      <c r="D940" s="27"/>
      <c r="E940" s="27"/>
      <c r="F940" s="27"/>
      <c r="G940" s="20"/>
      <c r="H940" s="27"/>
      <c r="I940" s="27"/>
      <c r="J940" s="27"/>
      <c r="K940" s="27"/>
      <c r="L940" s="27"/>
      <c r="M940" s="35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>
      <c r="A941" s="27"/>
      <c r="B941" s="27"/>
      <c r="C941" s="27"/>
      <c r="D941" s="27"/>
      <c r="E941" s="27"/>
      <c r="F941" s="27"/>
      <c r="G941" s="20"/>
      <c r="H941" s="27"/>
      <c r="I941" s="27"/>
      <c r="J941" s="27"/>
      <c r="K941" s="27"/>
      <c r="L941" s="27"/>
      <c r="M941" s="35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>
      <c r="A942" s="27"/>
      <c r="B942" s="27"/>
      <c r="C942" s="27"/>
      <c r="D942" s="27"/>
      <c r="E942" s="27"/>
      <c r="F942" s="27"/>
      <c r="G942" s="20"/>
      <c r="H942" s="27"/>
      <c r="I942" s="27"/>
      <c r="J942" s="27"/>
      <c r="K942" s="27"/>
      <c r="L942" s="27"/>
      <c r="M942" s="35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>
      <c r="A943" s="27"/>
      <c r="B943" s="27"/>
      <c r="C943" s="27"/>
      <c r="D943" s="27"/>
      <c r="E943" s="27"/>
      <c r="F943" s="27"/>
      <c r="G943" s="20"/>
      <c r="H943" s="27"/>
      <c r="I943" s="27"/>
      <c r="J943" s="27"/>
      <c r="K943" s="27"/>
      <c r="L943" s="27"/>
      <c r="M943" s="35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>
      <c r="A944" s="27"/>
      <c r="B944" s="27"/>
      <c r="C944" s="27"/>
      <c r="D944" s="27"/>
      <c r="E944" s="27"/>
      <c r="F944" s="27"/>
      <c r="G944" s="20"/>
      <c r="H944" s="27"/>
      <c r="I944" s="27"/>
      <c r="J944" s="27"/>
      <c r="K944" s="27"/>
      <c r="L944" s="27"/>
      <c r="M944" s="35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>
      <c r="A945" s="27"/>
      <c r="B945" s="27"/>
      <c r="C945" s="27"/>
      <c r="D945" s="27"/>
      <c r="E945" s="27"/>
      <c r="F945" s="27"/>
      <c r="G945" s="20"/>
      <c r="H945" s="27"/>
      <c r="I945" s="27"/>
      <c r="J945" s="27"/>
      <c r="K945" s="27"/>
      <c r="L945" s="27"/>
      <c r="M945" s="35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>
      <c r="A946" s="27"/>
      <c r="B946" s="27"/>
      <c r="C946" s="27"/>
      <c r="D946" s="27"/>
      <c r="E946" s="27"/>
      <c r="F946" s="27"/>
      <c r="G946" s="20"/>
      <c r="H946" s="27"/>
      <c r="I946" s="27"/>
      <c r="J946" s="27"/>
      <c r="K946" s="27"/>
      <c r="L946" s="27"/>
      <c r="M946" s="35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>
      <c r="A947" s="27"/>
      <c r="B947" s="27"/>
      <c r="C947" s="27"/>
      <c r="D947" s="27"/>
      <c r="E947" s="27"/>
      <c r="F947" s="27"/>
      <c r="G947" s="20"/>
      <c r="H947" s="27"/>
      <c r="I947" s="27"/>
      <c r="J947" s="27"/>
      <c r="K947" s="27"/>
      <c r="L947" s="27"/>
      <c r="M947" s="35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>
      <c r="A948" s="27"/>
      <c r="B948" s="27"/>
      <c r="C948" s="27"/>
      <c r="D948" s="27"/>
      <c r="E948" s="27"/>
      <c r="F948" s="27"/>
      <c r="G948" s="20"/>
      <c r="H948" s="27"/>
      <c r="I948" s="27"/>
      <c r="J948" s="27"/>
      <c r="K948" s="27"/>
      <c r="L948" s="27"/>
      <c r="M948" s="35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>
      <c r="A949" s="27"/>
      <c r="B949" s="27"/>
      <c r="C949" s="27"/>
      <c r="D949" s="27"/>
      <c r="E949" s="27"/>
      <c r="F949" s="27"/>
      <c r="G949" s="20"/>
      <c r="H949" s="27"/>
      <c r="I949" s="27"/>
      <c r="J949" s="27"/>
      <c r="K949" s="27"/>
      <c r="L949" s="27"/>
      <c r="M949" s="35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>
      <c r="A950" s="27"/>
      <c r="B950" s="27"/>
      <c r="C950" s="27"/>
      <c r="D950" s="27"/>
      <c r="E950" s="27"/>
      <c r="F950" s="27"/>
      <c r="G950" s="20"/>
      <c r="H950" s="27"/>
      <c r="I950" s="27"/>
      <c r="J950" s="27"/>
      <c r="K950" s="27"/>
      <c r="L950" s="27"/>
      <c r="M950" s="35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>
      <c r="A951" s="27"/>
      <c r="B951" s="27"/>
      <c r="C951" s="27"/>
      <c r="D951" s="27"/>
      <c r="E951" s="27"/>
      <c r="F951" s="27"/>
      <c r="G951" s="20"/>
      <c r="H951" s="27"/>
      <c r="I951" s="27"/>
      <c r="J951" s="27"/>
      <c r="K951" s="27"/>
      <c r="L951" s="27"/>
      <c r="M951" s="35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>
      <c r="A952" s="27"/>
      <c r="B952" s="27"/>
      <c r="C952" s="27"/>
      <c r="D952" s="27"/>
      <c r="E952" s="27"/>
      <c r="F952" s="27"/>
      <c r="G952" s="20"/>
      <c r="H952" s="27"/>
      <c r="I952" s="27"/>
      <c r="J952" s="27"/>
      <c r="K952" s="27"/>
      <c r="L952" s="27"/>
      <c r="M952" s="35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>
      <c r="A953" s="27"/>
      <c r="B953" s="27"/>
      <c r="C953" s="27"/>
      <c r="D953" s="27"/>
      <c r="E953" s="27"/>
      <c r="F953" s="27"/>
      <c r="G953" s="20"/>
      <c r="H953" s="27"/>
      <c r="I953" s="27"/>
      <c r="J953" s="27"/>
      <c r="K953" s="27"/>
      <c r="L953" s="27"/>
      <c r="M953" s="35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>
      <c r="A954" s="27"/>
      <c r="B954" s="27"/>
      <c r="C954" s="27"/>
      <c r="D954" s="27"/>
      <c r="E954" s="27"/>
      <c r="F954" s="27"/>
      <c r="G954" s="20"/>
      <c r="H954" s="27"/>
      <c r="I954" s="27"/>
      <c r="J954" s="27"/>
      <c r="K954" s="27"/>
      <c r="L954" s="27"/>
      <c r="M954" s="35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>
      <c r="A955" s="27"/>
      <c r="B955" s="27"/>
      <c r="C955" s="27"/>
      <c r="D955" s="27"/>
      <c r="E955" s="27"/>
      <c r="F955" s="27"/>
      <c r="G955" s="20"/>
      <c r="H955" s="27"/>
      <c r="I955" s="27"/>
      <c r="J955" s="27"/>
      <c r="K955" s="27"/>
      <c r="L955" s="27"/>
      <c r="M955" s="35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>
      <c r="A956" s="27"/>
      <c r="B956" s="27"/>
      <c r="C956" s="27"/>
      <c r="D956" s="27"/>
      <c r="E956" s="27"/>
      <c r="F956" s="27"/>
      <c r="G956" s="20"/>
      <c r="H956" s="27"/>
      <c r="I956" s="27"/>
      <c r="J956" s="27"/>
      <c r="K956" s="27"/>
      <c r="L956" s="27"/>
      <c r="M956" s="35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>
      <c r="A957" s="27"/>
      <c r="B957" s="27"/>
      <c r="C957" s="27"/>
      <c r="D957" s="27"/>
      <c r="E957" s="27"/>
      <c r="F957" s="27"/>
      <c r="G957" s="20"/>
      <c r="H957" s="27"/>
      <c r="I957" s="27"/>
      <c r="J957" s="27"/>
      <c r="K957" s="27"/>
      <c r="L957" s="27"/>
      <c r="M957" s="35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>
      <c r="A958" s="27"/>
      <c r="B958" s="27"/>
      <c r="C958" s="27"/>
      <c r="D958" s="27"/>
      <c r="E958" s="27"/>
      <c r="F958" s="27"/>
      <c r="G958" s="20"/>
      <c r="H958" s="27"/>
      <c r="I958" s="27"/>
      <c r="J958" s="27"/>
      <c r="K958" s="27"/>
      <c r="L958" s="27"/>
      <c r="M958" s="35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>
      <c r="A959" s="27"/>
      <c r="B959" s="27"/>
      <c r="C959" s="27"/>
      <c r="D959" s="27"/>
      <c r="E959" s="27"/>
      <c r="F959" s="27"/>
      <c r="G959" s="20"/>
      <c r="H959" s="27"/>
      <c r="I959" s="27"/>
      <c r="J959" s="27"/>
      <c r="K959" s="27"/>
      <c r="L959" s="27"/>
      <c r="M959" s="35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>
      <c r="A960" s="27"/>
      <c r="B960" s="27"/>
      <c r="C960" s="27"/>
      <c r="D960" s="27"/>
      <c r="E960" s="27"/>
      <c r="F960" s="27"/>
      <c r="G960" s="20"/>
      <c r="H960" s="27"/>
      <c r="I960" s="27"/>
      <c r="J960" s="27"/>
      <c r="K960" s="27"/>
      <c r="L960" s="27"/>
      <c r="M960" s="35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>
      <c r="A961" s="27"/>
      <c r="B961" s="27"/>
      <c r="C961" s="27"/>
      <c r="D961" s="27"/>
      <c r="E961" s="27"/>
      <c r="F961" s="27"/>
      <c r="G961" s="20"/>
      <c r="H961" s="27"/>
      <c r="I961" s="27"/>
      <c r="J961" s="27"/>
      <c r="K961" s="27"/>
      <c r="L961" s="27"/>
      <c r="M961" s="35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>
      <c r="A962" s="27"/>
      <c r="B962" s="27"/>
      <c r="C962" s="27"/>
      <c r="D962" s="27"/>
      <c r="E962" s="27"/>
      <c r="F962" s="27"/>
      <c r="G962" s="20"/>
      <c r="H962" s="27"/>
      <c r="I962" s="27"/>
      <c r="J962" s="27"/>
      <c r="K962" s="27"/>
      <c r="L962" s="27"/>
      <c r="M962" s="35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>
      <c r="A963" s="27"/>
      <c r="B963" s="27"/>
      <c r="C963" s="27"/>
      <c r="D963" s="27"/>
      <c r="E963" s="27"/>
      <c r="F963" s="27"/>
      <c r="G963" s="20"/>
      <c r="H963" s="27"/>
      <c r="I963" s="27"/>
      <c r="J963" s="27"/>
      <c r="K963" s="27"/>
      <c r="L963" s="27"/>
      <c r="M963" s="35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>
      <c r="A964" s="27"/>
      <c r="B964" s="27"/>
      <c r="C964" s="27"/>
      <c r="D964" s="27"/>
      <c r="E964" s="27"/>
      <c r="F964" s="27"/>
      <c r="G964" s="20"/>
      <c r="H964" s="27"/>
      <c r="I964" s="27"/>
      <c r="J964" s="27"/>
      <c r="K964" s="27"/>
      <c r="L964" s="27"/>
      <c r="M964" s="35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>
      <c r="A965" s="27"/>
      <c r="B965" s="27"/>
      <c r="C965" s="27"/>
      <c r="D965" s="27"/>
      <c r="E965" s="27"/>
      <c r="F965" s="27"/>
      <c r="G965" s="20"/>
      <c r="H965" s="27"/>
      <c r="I965" s="27"/>
      <c r="J965" s="27"/>
      <c r="K965" s="27"/>
      <c r="L965" s="27"/>
      <c r="M965" s="35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>
      <c r="A966" s="27"/>
      <c r="B966" s="27"/>
      <c r="C966" s="27"/>
      <c r="D966" s="27"/>
      <c r="E966" s="27"/>
      <c r="F966" s="27"/>
      <c r="G966" s="20"/>
      <c r="H966" s="27"/>
      <c r="I966" s="27"/>
      <c r="J966" s="27"/>
      <c r="K966" s="27"/>
      <c r="L966" s="27"/>
      <c r="M966" s="35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>
      <c r="A967" s="27"/>
      <c r="B967" s="27"/>
      <c r="C967" s="27"/>
      <c r="D967" s="27"/>
      <c r="E967" s="27"/>
      <c r="F967" s="27"/>
      <c r="G967" s="20"/>
      <c r="H967" s="27"/>
      <c r="I967" s="27"/>
      <c r="J967" s="27"/>
      <c r="K967" s="27"/>
      <c r="L967" s="27"/>
      <c r="M967" s="35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>
      <c r="A968" s="27"/>
      <c r="B968" s="27"/>
      <c r="C968" s="27"/>
      <c r="D968" s="27"/>
      <c r="E968" s="27"/>
      <c r="F968" s="27"/>
      <c r="G968" s="20"/>
      <c r="H968" s="27"/>
      <c r="I968" s="27"/>
      <c r="J968" s="27"/>
      <c r="K968" s="27"/>
      <c r="L968" s="27"/>
      <c r="M968" s="35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>
      <c r="A969" s="27"/>
      <c r="B969" s="27"/>
      <c r="C969" s="27"/>
      <c r="D969" s="27"/>
      <c r="E969" s="27"/>
      <c r="F969" s="27"/>
      <c r="G969" s="20"/>
      <c r="H969" s="27"/>
      <c r="I969" s="27"/>
      <c r="J969" s="27"/>
      <c r="K969" s="27"/>
      <c r="L969" s="27"/>
      <c r="M969" s="35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>
      <c r="A970" s="27"/>
      <c r="B970" s="27"/>
      <c r="C970" s="27"/>
      <c r="D970" s="27"/>
      <c r="E970" s="27"/>
      <c r="F970" s="27"/>
      <c r="G970" s="20"/>
      <c r="H970" s="27"/>
      <c r="I970" s="27"/>
      <c r="J970" s="27"/>
      <c r="K970" s="27"/>
      <c r="L970" s="27"/>
      <c r="M970" s="35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>
      <c r="A971" s="27"/>
      <c r="B971" s="27"/>
      <c r="C971" s="27"/>
      <c r="D971" s="27"/>
      <c r="E971" s="27"/>
      <c r="F971" s="27"/>
      <c r="G971" s="20"/>
      <c r="H971" s="27"/>
      <c r="I971" s="27"/>
      <c r="J971" s="27"/>
      <c r="K971" s="27"/>
      <c r="L971" s="27"/>
      <c r="M971" s="35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>
      <c r="A972" s="27"/>
      <c r="B972" s="27"/>
      <c r="C972" s="27"/>
      <c r="D972" s="27"/>
      <c r="E972" s="27"/>
      <c r="F972" s="27"/>
      <c r="G972" s="20"/>
      <c r="H972" s="27"/>
      <c r="I972" s="27"/>
      <c r="J972" s="27"/>
      <c r="K972" s="27"/>
      <c r="L972" s="27"/>
      <c r="M972" s="35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>
      <c r="A973" s="27"/>
      <c r="B973" s="27"/>
      <c r="C973" s="27"/>
      <c r="D973" s="27"/>
      <c r="E973" s="27"/>
      <c r="F973" s="27"/>
      <c r="G973" s="20"/>
      <c r="H973" s="27"/>
      <c r="I973" s="27"/>
      <c r="J973" s="27"/>
      <c r="K973" s="27"/>
      <c r="L973" s="27"/>
      <c r="M973" s="35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>
      <c r="A974" s="27"/>
      <c r="B974" s="27"/>
      <c r="C974" s="27"/>
      <c r="D974" s="27"/>
      <c r="E974" s="27"/>
      <c r="F974" s="27"/>
      <c r="G974" s="20"/>
      <c r="H974" s="27"/>
      <c r="I974" s="27"/>
      <c r="J974" s="27"/>
      <c r="K974" s="27"/>
      <c r="L974" s="27"/>
      <c r="M974" s="35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>
      <c r="A975" s="27"/>
      <c r="B975" s="27"/>
      <c r="C975" s="27"/>
      <c r="D975" s="27"/>
      <c r="E975" s="27"/>
      <c r="F975" s="27"/>
      <c r="G975" s="20"/>
      <c r="H975" s="27"/>
      <c r="I975" s="27"/>
      <c r="J975" s="27"/>
      <c r="K975" s="27"/>
      <c r="L975" s="27"/>
      <c r="M975" s="35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>
      <c r="A976" s="27"/>
      <c r="B976" s="27"/>
      <c r="C976" s="27"/>
      <c r="D976" s="27"/>
      <c r="E976" s="27"/>
      <c r="F976" s="27"/>
      <c r="G976" s="20"/>
      <c r="H976" s="27"/>
      <c r="I976" s="27"/>
      <c r="J976" s="27"/>
      <c r="K976" s="27"/>
      <c r="L976" s="27"/>
      <c r="M976" s="35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>
      <c r="A977" s="27"/>
      <c r="B977" s="27"/>
      <c r="C977" s="27"/>
      <c r="D977" s="27"/>
      <c r="E977" s="27"/>
      <c r="F977" s="27"/>
      <c r="G977" s="20"/>
      <c r="H977" s="27"/>
      <c r="I977" s="27"/>
      <c r="J977" s="27"/>
      <c r="K977" s="27"/>
      <c r="L977" s="27"/>
      <c r="M977" s="35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>
      <c r="A978" s="27"/>
      <c r="B978" s="27"/>
      <c r="C978" s="27"/>
      <c r="D978" s="27"/>
      <c r="E978" s="27"/>
      <c r="F978" s="27"/>
      <c r="G978" s="20"/>
      <c r="H978" s="27"/>
      <c r="I978" s="27"/>
      <c r="J978" s="27"/>
      <c r="K978" s="27"/>
      <c r="L978" s="27"/>
      <c r="M978" s="35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>
      <c r="A979" s="27"/>
      <c r="B979" s="27"/>
      <c r="C979" s="27"/>
      <c r="D979" s="27"/>
      <c r="E979" s="27"/>
      <c r="F979" s="27"/>
      <c r="G979" s="20"/>
      <c r="H979" s="27"/>
      <c r="I979" s="27"/>
      <c r="J979" s="27"/>
      <c r="K979" s="27"/>
      <c r="L979" s="27"/>
      <c r="M979" s="35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>
      <c r="A980" s="27"/>
      <c r="B980" s="27"/>
      <c r="C980" s="27"/>
      <c r="D980" s="27"/>
      <c r="E980" s="27"/>
      <c r="F980" s="27"/>
      <c r="G980" s="20"/>
      <c r="H980" s="27"/>
      <c r="I980" s="27"/>
      <c r="J980" s="27"/>
      <c r="K980" s="27"/>
      <c r="L980" s="27"/>
      <c r="M980" s="35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>
      <c r="A981" s="27"/>
      <c r="B981" s="27"/>
      <c r="C981" s="27"/>
      <c r="D981" s="27"/>
      <c r="E981" s="27"/>
      <c r="F981" s="27"/>
      <c r="G981" s="20"/>
      <c r="H981" s="27"/>
      <c r="I981" s="27"/>
      <c r="J981" s="27"/>
      <c r="K981" s="27"/>
      <c r="L981" s="27"/>
      <c r="M981" s="35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>
      <c r="A982" s="27"/>
      <c r="B982" s="27"/>
      <c r="C982" s="27"/>
      <c r="D982" s="27"/>
      <c r="E982" s="27"/>
      <c r="F982" s="27"/>
      <c r="G982" s="20"/>
      <c r="H982" s="27"/>
      <c r="I982" s="27"/>
      <c r="J982" s="27"/>
      <c r="K982" s="27"/>
      <c r="L982" s="27"/>
      <c r="M982" s="35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>
      <c r="A983" s="27"/>
      <c r="B983" s="27"/>
      <c r="C983" s="27"/>
      <c r="D983" s="27"/>
      <c r="E983" s="27"/>
      <c r="F983" s="27"/>
      <c r="G983" s="20"/>
      <c r="H983" s="27"/>
      <c r="I983" s="27"/>
      <c r="J983" s="27"/>
      <c r="K983" s="27"/>
      <c r="L983" s="27"/>
      <c r="M983" s="35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>
      <c r="A984" s="27"/>
      <c r="B984" s="27"/>
      <c r="C984" s="27"/>
      <c r="D984" s="27"/>
      <c r="E984" s="27"/>
      <c r="F984" s="27"/>
      <c r="G984" s="20"/>
      <c r="H984" s="27"/>
      <c r="I984" s="27"/>
      <c r="J984" s="27"/>
      <c r="K984" s="27"/>
      <c r="L984" s="27"/>
      <c r="M984" s="35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>
      <c r="A985" s="27"/>
      <c r="B985" s="27"/>
      <c r="C985" s="27"/>
      <c r="D985" s="27"/>
      <c r="E985" s="27"/>
      <c r="F985" s="27"/>
      <c r="G985" s="20"/>
      <c r="H985" s="27"/>
      <c r="I985" s="27"/>
      <c r="J985" s="27"/>
      <c r="K985" s="27"/>
      <c r="L985" s="27"/>
      <c r="M985" s="35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>
      <c r="A986" s="27"/>
      <c r="B986" s="27"/>
      <c r="C986" s="27"/>
      <c r="D986" s="27"/>
      <c r="E986" s="27"/>
      <c r="F986" s="27"/>
      <c r="G986" s="20"/>
      <c r="H986" s="27"/>
      <c r="I986" s="27"/>
      <c r="J986" s="27"/>
      <c r="K986" s="27"/>
      <c r="L986" s="27"/>
      <c r="M986" s="35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  <row r="987">
      <c r="A987" s="27"/>
      <c r="B987" s="27"/>
      <c r="C987" s="27"/>
      <c r="D987" s="27"/>
      <c r="E987" s="27"/>
      <c r="F987" s="27"/>
      <c r="G987" s="20"/>
      <c r="H987" s="27"/>
      <c r="I987" s="27"/>
      <c r="J987" s="27"/>
      <c r="K987" s="27"/>
      <c r="L987" s="27"/>
      <c r="M987" s="35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</row>
    <row r="988">
      <c r="A988" s="27"/>
      <c r="B988" s="27"/>
      <c r="C988" s="27"/>
      <c r="D988" s="27"/>
      <c r="E988" s="27"/>
      <c r="F988" s="27"/>
      <c r="G988" s="20"/>
      <c r="H988" s="27"/>
      <c r="I988" s="27"/>
      <c r="J988" s="27"/>
      <c r="K988" s="27"/>
      <c r="L988" s="27"/>
      <c r="M988" s="35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</row>
    <row r="989">
      <c r="A989" s="27"/>
      <c r="B989" s="27"/>
      <c r="C989" s="27"/>
      <c r="D989" s="27"/>
      <c r="E989" s="27"/>
      <c r="F989" s="27"/>
      <c r="G989" s="20"/>
      <c r="H989" s="27"/>
      <c r="I989" s="27"/>
      <c r="J989" s="27"/>
      <c r="K989" s="27"/>
      <c r="L989" s="27"/>
      <c r="M989" s="35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</row>
    <row r="990">
      <c r="A990" s="27"/>
      <c r="B990" s="27"/>
      <c r="C990" s="27"/>
      <c r="D990" s="27"/>
      <c r="E990" s="27"/>
      <c r="F990" s="27"/>
      <c r="G990" s="20"/>
      <c r="H990" s="27"/>
      <c r="I990" s="27"/>
      <c r="J990" s="27"/>
      <c r="K990" s="27"/>
      <c r="L990" s="27"/>
      <c r="M990" s="35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</row>
    <row r="991">
      <c r="A991" s="27"/>
      <c r="B991" s="27"/>
      <c r="C991" s="27"/>
      <c r="D991" s="27"/>
      <c r="E991" s="27"/>
      <c r="F991" s="27"/>
      <c r="G991" s="20"/>
      <c r="H991" s="27"/>
      <c r="I991" s="27"/>
      <c r="J991" s="27"/>
      <c r="K991" s="27"/>
      <c r="L991" s="27"/>
      <c r="M991" s="35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</row>
    <row r="992">
      <c r="A992" s="27"/>
      <c r="B992" s="27"/>
      <c r="C992" s="27"/>
      <c r="D992" s="27"/>
      <c r="E992" s="27"/>
      <c r="F992" s="27"/>
      <c r="G992" s="20"/>
      <c r="H992" s="27"/>
      <c r="I992" s="27"/>
      <c r="J992" s="27"/>
      <c r="K992" s="27"/>
      <c r="L992" s="27"/>
      <c r="M992" s="35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</row>
    <row r="993">
      <c r="A993" s="27"/>
      <c r="B993" s="27"/>
      <c r="C993" s="27"/>
      <c r="D993" s="27"/>
      <c r="E993" s="27"/>
      <c r="F993" s="27"/>
      <c r="G993" s="20"/>
      <c r="H993" s="27"/>
      <c r="I993" s="27"/>
      <c r="J993" s="27"/>
      <c r="K993" s="27"/>
      <c r="L993" s="27"/>
      <c r="M993" s="35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</row>
    <row r="994">
      <c r="A994" s="27"/>
      <c r="B994" s="27"/>
      <c r="C994" s="27"/>
      <c r="D994" s="27"/>
      <c r="E994" s="27"/>
      <c r="F994" s="27"/>
      <c r="G994" s="20"/>
      <c r="H994" s="27"/>
      <c r="I994" s="27"/>
      <c r="J994" s="27"/>
      <c r="K994" s="27"/>
      <c r="L994" s="27"/>
      <c r="M994" s="35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</row>
    <row r="995">
      <c r="A995" s="27"/>
      <c r="B995" s="27"/>
      <c r="C995" s="27"/>
      <c r="D995" s="27"/>
      <c r="E995" s="27"/>
      <c r="F995" s="27"/>
      <c r="G995" s="20"/>
      <c r="H995" s="27"/>
      <c r="I995" s="27"/>
      <c r="J995" s="27"/>
      <c r="K995" s="27"/>
      <c r="L995" s="27"/>
      <c r="M995" s="35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</row>
    <row r="996">
      <c r="A996" s="27"/>
      <c r="B996" s="27"/>
      <c r="C996" s="27"/>
      <c r="D996" s="27"/>
      <c r="E996" s="27"/>
      <c r="F996" s="27"/>
      <c r="G996" s="20"/>
      <c r="H996" s="27"/>
      <c r="I996" s="27"/>
      <c r="J996" s="27"/>
      <c r="K996" s="27"/>
      <c r="L996" s="27"/>
      <c r="M996" s="35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</row>
    <row r="997">
      <c r="A997" s="27"/>
      <c r="B997" s="27"/>
      <c r="C997" s="27"/>
      <c r="D997" s="27"/>
      <c r="E997" s="27"/>
      <c r="F997" s="27"/>
      <c r="G997" s="20"/>
      <c r="H997" s="27"/>
      <c r="I997" s="27"/>
      <c r="J997" s="27"/>
      <c r="K997" s="27"/>
      <c r="L997" s="27"/>
      <c r="M997" s="35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</row>
    <row r="998">
      <c r="A998" s="27"/>
      <c r="B998" s="27"/>
      <c r="C998" s="27"/>
      <c r="D998" s="27"/>
      <c r="E998" s="27"/>
      <c r="F998" s="27"/>
      <c r="G998" s="20"/>
      <c r="H998" s="27"/>
      <c r="I998" s="27"/>
      <c r="J998" s="27"/>
      <c r="K998" s="27"/>
      <c r="L998" s="27"/>
      <c r="M998" s="35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</row>
    <row r="999">
      <c r="A999" s="27"/>
      <c r="B999" s="27"/>
      <c r="C999" s="27"/>
      <c r="D999" s="27"/>
      <c r="E999" s="27"/>
      <c r="F999" s="27"/>
      <c r="G999" s="20"/>
      <c r="H999" s="27"/>
      <c r="I999" s="27"/>
      <c r="J999" s="27"/>
      <c r="K999" s="27"/>
      <c r="L999" s="27"/>
      <c r="M999" s="35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</row>
    <row r="1000">
      <c r="A1000" s="27"/>
      <c r="B1000" s="27"/>
      <c r="C1000" s="27"/>
      <c r="D1000" s="27"/>
      <c r="E1000" s="27"/>
      <c r="F1000" s="27"/>
      <c r="G1000" s="20"/>
      <c r="H1000" s="27"/>
      <c r="I1000" s="27"/>
      <c r="J1000" s="27"/>
      <c r="K1000" s="27"/>
      <c r="L1000" s="27"/>
      <c r="M1000" s="35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</row>
    <row r="1001">
      <c r="A1001" s="27"/>
      <c r="B1001" s="27"/>
      <c r="C1001" s="27"/>
      <c r="D1001" s="27"/>
      <c r="E1001" s="27"/>
      <c r="F1001" s="27"/>
      <c r="G1001" s="20"/>
      <c r="H1001" s="27"/>
      <c r="I1001" s="27"/>
      <c r="J1001" s="27"/>
      <c r="K1001" s="27"/>
      <c r="L1001" s="27"/>
      <c r="M1001" s="35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</row>
    <row r="1002">
      <c r="A1002" s="27"/>
      <c r="B1002" s="27"/>
      <c r="C1002" s="27"/>
      <c r="D1002" s="27"/>
      <c r="E1002" s="27"/>
      <c r="F1002" s="27"/>
      <c r="G1002" s="20"/>
      <c r="H1002" s="27"/>
      <c r="I1002" s="27"/>
      <c r="J1002" s="27"/>
      <c r="K1002" s="27"/>
      <c r="L1002" s="27"/>
      <c r="M1002" s="35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</row>
    <row r="1003">
      <c r="A1003" s="27"/>
      <c r="B1003" s="27"/>
      <c r="C1003" s="27"/>
      <c r="D1003" s="27"/>
      <c r="E1003" s="27"/>
      <c r="F1003" s="27"/>
      <c r="G1003" s="20"/>
      <c r="H1003" s="27"/>
      <c r="I1003" s="27"/>
      <c r="J1003" s="27"/>
      <c r="K1003" s="27"/>
      <c r="L1003" s="27"/>
      <c r="M1003" s="35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</row>
    <row r="1004">
      <c r="A1004" s="27"/>
      <c r="B1004" s="27"/>
      <c r="C1004" s="27"/>
      <c r="D1004" s="27"/>
      <c r="E1004" s="27"/>
      <c r="F1004" s="27"/>
      <c r="G1004" s="20"/>
      <c r="H1004" s="27"/>
      <c r="I1004" s="27"/>
      <c r="J1004" s="27"/>
      <c r="K1004" s="27"/>
      <c r="L1004" s="27"/>
      <c r="M1004" s="35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</row>
    <row r="1005">
      <c r="A1005" s="27"/>
      <c r="B1005" s="27"/>
      <c r="C1005" s="27"/>
      <c r="D1005" s="27"/>
      <c r="E1005" s="27"/>
      <c r="F1005" s="27"/>
      <c r="G1005" s="20"/>
      <c r="H1005" s="27"/>
      <c r="I1005" s="27"/>
      <c r="J1005" s="27"/>
      <c r="K1005" s="27"/>
      <c r="L1005" s="27"/>
      <c r="M1005" s="35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</row>
    <row r="1006">
      <c r="A1006" s="27"/>
      <c r="B1006" s="27"/>
      <c r="C1006" s="27"/>
      <c r="D1006" s="27"/>
      <c r="E1006" s="27"/>
      <c r="F1006" s="27"/>
      <c r="G1006" s="20"/>
      <c r="H1006" s="27"/>
      <c r="I1006" s="27"/>
      <c r="J1006" s="27"/>
      <c r="K1006" s="27"/>
      <c r="L1006" s="27"/>
      <c r="M1006" s="35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</row>
    <row r="1007">
      <c r="A1007" s="27"/>
      <c r="B1007" s="27"/>
      <c r="C1007" s="27"/>
      <c r="D1007" s="27"/>
      <c r="E1007" s="27"/>
      <c r="F1007" s="27"/>
      <c r="G1007" s="20"/>
      <c r="H1007" s="27"/>
      <c r="I1007" s="27"/>
      <c r="J1007" s="27"/>
      <c r="K1007" s="27"/>
      <c r="L1007" s="27"/>
      <c r="M1007" s="35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</row>
    <row r="1008">
      <c r="A1008" s="27"/>
      <c r="B1008" s="27"/>
      <c r="C1008" s="27"/>
      <c r="D1008" s="27"/>
      <c r="E1008" s="27"/>
      <c r="F1008" s="27"/>
      <c r="G1008" s="20"/>
      <c r="H1008" s="27"/>
      <c r="I1008" s="27"/>
      <c r="J1008" s="27"/>
      <c r="K1008" s="27"/>
      <c r="L1008" s="27"/>
      <c r="M1008" s="35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</row>
    <row r="1009">
      <c r="A1009" s="27"/>
      <c r="B1009" s="27"/>
      <c r="C1009" s="27"/>
      <c r="D1009" s="27"/>
      <c r="E1009" s="27"/>
      <c r="F1009" s="27"/>
      <c r="G1009" s="20"/>
      <c r="H1009" s="27"/>
      <c r="I1009" s="27"/>
      <c r="J1009" s="27"/>
      <c r="K1009" s="27"/>
      <c r="L1009" s="27"/>
      <c r="M1009" s="35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</row>
    <row r="1010">
      <c r="A1010" s="27"/>
      <c r="B1010" s="27"/>
      <c r="C1010" s="27"/>
      <c r="D1010" s="27"/>
      <c r="E1010" s="27"/>
      <c r="F1010" s="27"/>
      <c r="G1010" s="20"/>
      <c r="H1010" s="27"/>
      <c r="I1010" s="27"/>
      <c r="J1010" s="27"/>
      <c r="K1010" s="27"/>
      <c r="L1010" s="27"/>
      <c r="M1010" s="35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</row>
    <row r="1011">
      <c r="A1011" s="27"/>
      <c r="B1011" s="27"/>
      <c r="C1011" s="27"/>
      <c r="D1011" s="27"/>
      <c r="E1011" s="27"/>
      <c r="F1011" s="27"/>
      <c r="G1011" s="20"/>
      <c r="H1011" s="27"/>
      <c r="I1011" s="27"/>
      <c r="J1011" s="27"/>
      <c r="K1011" s="27"/>
      <c r="L1011" s="27"/>
      <c r="M1011" s="35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</row>
    <row r="1012">
      <c r="A1012" s="27"/>
      <c r="B1012" s="27"/>
      <c r="C1012" s="27"/>
      <c r="D1012" s="27"/>
      <c r="E1012" s="27"/>
      <c r="F1012" s="27"/>
      <c r="G1012" s="20"/>
      <c r="H1012" s="27"/>
      <c r="I1012" s="27"/>
      <c r="J1012" s="27"/>
      <c r="K1012" s="27"/>
      <c r="L1012" s="27"/>
      <c r="M1012" s="35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</row>
    <row r="1013">
      <c r="A1013" s="27"/>
      <c r="B1013" s="27"/>
      <c r="C1013" s="27"/>
      <c r="D1013" s="27"/>
      <c r="E1013" s="27"/>
      <c r="F1013" s="27"/>
      <c r="G1013" s="20"/>
      <c r="H1013" s="27"/>
      <c r="I1013" s="27"/>
      <c r="J1013" s="27"/>
      <c r="K1013" s="27"/>
      <c r="L1013" s="27"/>
      <c r="M1013" s="35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</row>
    <row r="1014">
      <c r="A1014" s="27"/>
      <c r="B1014" s="27"/>
      <c r="C1014" s="27"/>
      <c r="D1014" s="27"/>
      <c r="E1014" s="27"/>
      <c r="F1014" s="27"/>
      <c r="G1014" s="20"/>
      <c r="H1014" s="27"/>
      <c r="I1014" s="27"/>
      <c r="J1014" s="27"/>
      <c r="K1014" s="27"/>
      <c r="L1014" s="27"/>
      <c r="M1014" s="35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</row>
  </sheetData>
  <mergeCells count="4">
    <mergeCell ref="G183:H183"/>
    <mergeCell ref="L241:M241"/>
    <mergeCell ref="L277:M277"/>
    <mergeCell ref="P278:Q278"/>
  </mergeCells>
  <hyperlinks>
    <hyperlink r:id="rId1" ref="F1"/>
    <hyperlink r:id="rId2" ref="Q1"/>
    <hyperlink r:id="rId3" ref="C2"/>
    <hyperlink r:id="rId4" ref="K2"/>
    <hyperlink r:id="rId5" ref="O2"/>
    <hyperlink r:id="rId6" ref="C3"/>
    <hyperlink r:id="rId7" ref="K3"/>
    <hyperlink r:id="rId8" ref="O3"/>
    <hyperlink r:id="rId9" ref="C4"/>
    <hyperlink r:id="rId10" ref="K4"/>
    <hyperlink r:id="rId11" ref="O4"/>
    <hyperlink r:id="rId12" ref="C5"/>
    <hyperlink r:id="rId13" ref="K5"/>
    <hyperlink r:id="rId14" ref="O5"/>
    <hyperlink r:id="rId15" ref="C6"/>
    <hyperlink r:id="rId16" ref="K6"/>
    <hyperlink r:id="rId17" ref="O6"/>
    <hyperlink r:id="rId18" ref="C7"/>
    <hyperlink r:id="rId19" ref="K7"/>
    <hyperlink r:id="rId20" ref="O7"/>
    <hyperlink r:id="rId21" ref="C8"/>
    <hyperlink r:id="rId22" ref="K8"/>
    <hyperlink r:id="rId23" ref="O8"/>
    <hyperlink r:id="rId24" ref="C9"/>
    <hyperlink r:id="rId25" ref="K9"/>
    <hyperlink r:id="rId26" ref="O9"/>
    <hyperlink r:id="rId27" ref="C10"/>
    <hyperlink r:id="rId28" ref="K10"/>
    <hyperlink r:id="rId29" ref="O10"/>
    <hyperlink r:id="rId30" ref="C11"/>
    <hyperlink r:id="rId31" ref="K11"/>
    <hyperlink r:id="rId32" ref="C12"/>
    <hyperlink r:id="rId33" ref="K12"/>
    <hyperlink r:id="rId34" ref="O12"/>
    <hyperlink r:id="rId35" ref="C13"/>
    <hyperlink r:id="rId36" ref="K13"/>
    <hyperlink r:id="rId37" ref="O13"/>
    <hyperlink r:id="rId38" ref="C14"/>
    <hyperlink r:id="rId39" ref="K14"/>
    <hyperlink r:id="rId40" ref="O14"/>
    <hyperlink r:id="rId41" ref="C15"/>
    <hyperlink r:id="rId42" ref="K15"/>
    <hyperlink r:id="rId43" ref="C16"/>
    <hyperlink r:id="rId44" ref="K16"/>
    <hyperlink r:id="rId45" ref="O16"/>
    <hyperlink r:id="rId46" ref="C17"/>
    <hyperlink r:id="rId47" ref="C18"/>
    <hyperlink r:id="rId48" ref="K18"/>
    <hyperlink r:id="rId49" ref="O18"/>
    <hyperlink r:id="rId50" ref="C19"/>
    <hyperlink r:id="rId51" ref="K19"/>
    <hyperlink r:id="rId52" ref="O19"/>
    <hyperlink r:id="rId53" ref="C20"/>
    <hyperlink r:id="rId54" ref="K20"/>
    <hyperlink r:id="rId55" ref="O20"/>
    <hyperlink r:id="rId56" ref="C21"/>
    <hyperlink r:id="rId57" ref="K21"/>
    <hyperlink r:id="rId58" ref="O21"/>
    <hyperlink r:id="rId59" ref="C22"/>
    <hyperlink r:id="rId60" ref="K22"/>
    <hyperlink r:id="rId61" ref="O22"/>
    <hyperlink r:id="rId62" ref="C23"/>
    <hyperlink r:id="rId63" ref="K23"/>
    <hyperlink r:id="rId64" ref="O23"/>
    <hyperlink r:id="rId65" ref="C24"/>
    <hyperlink r:id="rId66" ref="K24"/>
    <hyperlink r:id="rId67" ref="C25"/>
    <hyperlink r:id="rId68" ref="K25"/>
    <hyperlink r:id="rId69" ref="O25"/>
    <hyperlink r:id="rId70" ref="C26"/>
    <hyperlink r:id="rId71" ref="K26"/>
    <hyperlink r:id="rId72" ref="O26"/>
    <hyperlink r:id="rId73" ref="C27"/>
    <hyperlink r:id="rId74" ref="K27"/>
    <hyperlink r:id="rId75" ref="C28"/>
    <hyperlink r:id="rId76" ref="K28"/>
    <hyperlink r:id="rId77" ref="C29"/>
    <hyperlink r:id="rId78" ref="K29"/>
    <hyperlink r:id="rId79" ref="O29"/>
    <hyperlink r:id="rId80" ref="C30"/>
    <hyperlink r:id="rId81" ref="O30"/>
    <hyperlink r:id="rId82" ref="C31"/>
    <hyperlink r:id="rId83" ref="O31"/>
    <hyperlink r:id="rId84" ref="C32"/>
    <hyperlink r:id="rId85" ref="C33"/>
    <hyperlink r:id="rId86" ref="K33"/>
    <hyperlink r:id="rId87" ref="O33"/>
    <hyperlink r:id="rId88" ref="C34"/>
    <hyperlink r:id="rId89" ref="K34"/>
    <hyperlink r:id="rId90" ref="O34"/>
    <hyperlink r:id="rId91" ref="C35"/>
    <hyperlink r:id="rId92" ref="K35"/>
    <hyperlink r:id="rId93" ref="O35"/>
    <hyperlink r:id="rId94" ref="C36"/>
    <hyperlink r:id="rId95" ref="K36"/>
    <hyperlink r:id="rId96" ref="O36"/>
    <hyperlink r:id="rId97" ref="C37"/>
    <hyperlink r:id="rId98" ref="K37"/>
    <hyperlink r:id="rId99" ref="O37"/>
    <hyperlink r:id="rId100" ref="C38"/>
    <hyperlink r:id="rId101" ref="K38"/>
    <hyperlink r:id="rId102" ref="O38"/>
    <hyperlink r:id="rId103" ref="C39"/>
    <hyperlink r:id="rId104" ref="K39"/>
    <hyperlink r:id="rId105" ref="O39"/>
    <hyperlink r:id="rId106" ref="C40"/>
    <hyperlink r:id="rId107" ref="K40"/>
    <hyperlink r:id="rId108" ref="O40"/>
    <hyperlink r:id="rId109" ref="C41"/>
    <hyperlink r:id="rId110" ref="K41"/>
    <hyperlink r:id="rId111" ref="O41"/>
    <hyperlink r:id="rId112" ref="C42"/>
    <hyperlink r:id="rId113" ref="K42"/>
    <hyperlink r:id="rId114" ref="O42"/>
    <hyperlink r:id="rId115" ref="C43"/>
    <hyperlink r:id="rId116" ref="K43"/>
    <hyperlink r:id="rId117" ref="O43"/>
    <hyperlink r:id="rId118" ref="C44"/>
    <hyperlink r:id="rId119" ref="K44"/>
    <hyperlink r:id="rId120" ref="O44"/>
    <hyperlink r:id="rId121" ref="C45"/>
    <hyperlink r:id="rId122" ref="K45"/>
    <hyperlink r:id="rId123" location="tuition-and-aid" ref="O45"/>
    <hyperlink r:id="rId124" ref="C46"/>
    <hyperlink r:id="rId125" ref="K46"/>
    <hyperlink r:id="rId126" ref="O46"/>
    <hyperlink r:id="rId127" ref="C47"/>
    <hyperlink r:id="rId128" ref="K47"/>
    <hyperlink r:id="rId129" ref="O47"/>
    <hyperlink r:id="rId130" ref="C48"/>
    <hyperlink r:id="rId131" ref="K48"/>
    <hyperlink r:id="rId132" ref="O48"/>
    <hyperlink r:id="rId133" ref="C49"/>
    <hyperlink r:id="rId134" ref="K49"/>
    <hyperlink r:id="rId135" ref="O49"/>
    <hyperlink r:id="rId136" ref="C50"/>
    <hyperlink r:id="rId137" ref="K50"/>
    <hyperlink r:id="rId138" ref="O50"/>
    <hyperlink r:id="rId139" ref="C51"/>
    <hyperlink r:id="rId140" ref="K51"/>
    <hyperlink r:id="rId141" ref="O51"/>
    <hyperlink r:id="rId142" ref="C52"/>
    <hyperlink r:id="rId143" ref="K52"/>
    <hyperlink r:id="rId144" ref="O52"/>
    <hyperlink r:id="rId145" ref="C53"/>
    <hyperlink r:id="rId146" ref="K53"/>
    <hyperlink r:id="rId147" ref="O53"/>
    <hyperlink r:id="rId148" ref="C54"/>
    <hyperlink r:id="rId149" ref="K54"/>
    <hyperlink r:id="rId150" ref="O54"/>
    <hyperlink r:id="rId151" ref="C55"/>
    <hyperlink r:id="rId152" ref="K55"/>
    <hyperlink r:id="rId153" ref="O55"/>
    <hyperlink r:id="rId154" ref="C56"/>
    <hyperlink r:id="rId155" ref="K56"/>
    <hyperlink r:id="rId156" ref="C57"/>
    <hyperlink r:id="rId157" ref="C58"/>
    <hyperlink r:id="rId158" ref="K58"/>
    <hyperlink r:id="rId159" ref="O58"/>
    <hyperlink r:id="rId160" ref="C59"/>
    <hyperlink r:id="rId161" ref="K59"/>
    <hyperlink r:id="rId162" ref="O59"/>
    <hyperlink r:id="rId163" ref="C60"/>
    <hyperlink r:id="rId164" ref="K60"/>
    <hyperlink r:id="rId165" ref="O60"/>
    <hyperlink r:id="rId166" ref="C61"/>
    <hyperlink r:id="rId167" ref="K61"/>
    <hyperlink r:id="rId168" location="tuition-and-aid" ref="O61"/>
    <hyperlink r:id="rId169" location="stream/0" ref="C62"/>
    <hyperlink r:id="rId170" ref="K62"/>
    <hyperlink r:id="rId171" ref="O62"/>
    <hyperlink r:id="rId172" ref="C63"/>
    <hyperlink r:id="rId173" ref="K63"/>
    <hyperlink r:id="rId174" ref="C64"/>
    <hyperlink r:id="rId175" ref="K64"/>
    <hyperlink r:id="rId176" ref="O64"/>
    <hyperlink r:id="rId177" ref="C65"/>
    <hyperlink r:id="rId178" ref="K65"/>
    <hyperlink r:id="rId179" ref="C66"/>
    <hyperlink r:id="rId180" ref="K66"/>
    <hyperlink r:id="rId181" ref="C67"/>
    <hyperlink r:id="rId182" ref="K67"/>
    <hyperlink r:id="rId183" ref="O67"/>
    <hyperlink r:id="rId184" ref="C68"/>
    <hyperlink r:id="rId185" ref="K68"/>
    <hyperlink r:id="rId186" ref="C69"/>
    <hyperlink r:id="rId187" ref="K69"/>
    <hyperlink r:id="rId188" ref="O69"/>
    <hyperlink r:id="rId189" ref="C70"/>
    <hyperlink r:id="rId190" ref="K70"/>
    <hyperlink r:id="rId191" ref="O70"/>
    <hyperlink r:id="rId192" ref="C71"/>
    <hyperlink r:id="rId193" ref="K71"/>
    <hyperlink r:id="rId194" ref="O71"/>
    <hyperlink r:id="rId195" ref="C72"/>
    <hyperlink r:id="rId196" ref="K72"/>
    <hyperlink r:id="rId197" ref="C73"/>
    <hyperlink r:id="rId198" ref="K73"/>
    <hyperlink r:id="rId199" ref="O73"/>
    <hyperlink r:id="rId200" ref="C74"/>
    <hyperlink r:id="rId201" ref="K74"/>
    <hyperlink r:id="rId202" ref="O74"/>
    <hyperlink r:id="rId203" ref="C75"/>
    <hyperlink r:id="rId204" ref="K75"/>
    <hyperlink r:id="rId205" ref="C76"/>
    <hyperlink r:id="rId206" ref="C77"/>
    <hyperlink r:id="rId207" ref="K77"/>
    <hyperlink r:id="rId208" ref="C78"/>
    <hyperlink r:id="rId209" ref="K78"/>
    <hyperlink r:id="rId210" ref="O78"/>
    <hyperlink r:id="rId211" ref="C79"/>
    <hyperlink r:id="rId212" ref="K79"/>
    <hyperlink r:id="rId213" ref="O79"/>
    <hyperlink r:id="rId214" ref="C80"/>
    <hyperlink r:id="rId215" ref="K80"/>
    <hyperlink r:id="rId216" ref="O80"/>
    <hyperlink r:id="rId217" ref="C81"/>
    <hyperlink r:id="rId218" ref="K81"/>
    <hyperlink r:id="rId219" ref="O81"/>
    <hyperlink r:id="rId220" ref="C82"/>
    <hyperlink r:id="rId221" ref="K82"/>
    <hyperlink r:id="rId222" ref="C83"/>
    <hyperlink r:id="rId223" ref="K83"/>
    <hyperlink r:id="rId224" ref="O83"/>
    <hyperlink r:id="rId225" ref="C84"/>
    <hyperlink r:id="rId226" ref="O84"/>
    <hyperlink r:id="rId227" ref="C85"/>
    <hyperlink r:id="rId228" ref="K85"/>
    <hyperlink r:id="rId229" ref="C86"/>
    <hyperlink r:id="rId230" ref="K86"/>
    <hyperlink r:id="rId231" ref="O86"/>
    <hyperlink r:id="rId232" ref="C87"/>
    <hyperlink r:id="rId233" ref="O87"/>
    <hyperlink r:id="rId234" ref="C88"/>
    <hyperlink r:id="rId235" ref="K88"/>
    <hyperlink r:id="rId236" ref="O88"/>
    <hyperlink r:id="rId237" ref="C89"/>
    <hyperlink r:id="rId238" ref="K89"/>
    <hyperlink r:id="rId239" ref="O89"/>
    <hyperlink r:id="rId240" ref="C90"/>
    <hyperlink r:id="rId241" ref="K90"/>
    <hyperlink r:id="rId242" ref="O90"/>
    <hyperlink r:id="rId243" ref="C91"/>
    <hyperlink r:id="rId244" ref="O91"/>
    <hyperlink r:id="rId245" ref="C92"/>
    <hyperlink r:id="rId246" ref="O92"/>
    <hyperlink r:id="rId247" ref="C93"/>
    <hyperlink r:id="rId248" ref="O93"/>
    <hyperlink r:id="rId249" ref="C94"/>
    <hyperlink r:id="rId250" ref="O94"/>
    <hyperlink r:id="rId251" ref="C95"/>
    <hyperlink r:id="rId252" ref="K95"/>
    <hyperlink r:id="rId253" ref="O95"/>
    <hyperlink r:id="rId254" ref="C96"/>
    <hyperlink r:id="rId255" ref="O96"/>
    <hyperlink r:id="rId256" ref="C97"/>
    <hyperlink r:id="rId257" ref="C98"/>
    <hyperlink r:id="rId258" ref="C99"/>
    <hyperlink r:id="rId259" ref="C100"/>
    <hyperlink r:id="rId260" ref="O100"/>
    <hyperlink r:id="rId261" ref="C101"/>
    <hyperlink r:id="rId262" ref="O101"/>
    <hyperlink r:id="rId263" ref="C102"/>
    <hyperlink r:id="rId264" ref="O102"/>
    <hyperlink r:id="rId265" ref="C103"/>
    <hyperlink r:id="rId266" ref="K103"/>
    <hyperlink r:id="rId267" ref="C104"/>
    <hyperlink r:id="rId268" ref="O104"/>
    <hyperlink r:id="rId269" ref="C105"/>
    <hyperlink r:id="rId270" ref="K105"/>
    <hyperlink r:id="rId271" ref="O105"/>
    <hyperlink r:id="rId272" ref="C106"/>
    <hyperlink r:id="rId273" ref="K106"/>
    <hyperlink r:id="rId274" ref="O106"/>
    <hyperlink r:id="rId275" ref="C107"/>
    <hyperlink r:id="rId276" ref="K107"/>
    <hyperlink r:id="rId277" ref="C108"/>
    <hyperlink r:id="rId278" ref="K108"/>
    <hyperlink r:id="rId279" ref="O108"/>
    <hyperlink r:id="rId280" ref="C109"/>
    <hyperlink r:id="rId281" ref="K109"/>
    <hyperlink r:id="rId282" location="tuition" ref="O109"/>
    <hyperlink r:id="rId283" ref="C110"/>
    <hyperlink r:id="rId284" ref="K110"/>
    <hyperlink r:id="rId285" ref="O110"/>
    <hyperlink r:id="rId286" ref="C111"/>
    <hyperlink r:id="rId287" ref="K111"/>
    <hyperlink r:id="rId288" ref="C112"/>
    <hyperlink r:id="rId289" ref="K112"/>
    <hyperlink r:id="rId290" ref="C113"/>
    <hyperlink r:id="rId291" ref="C114"/>
    <hyperlink r:id="rId292" ref="K114"/>
    <hyperlink r:id="rId293" ref="O114"/>
    <hyperlink r:id="rId294" ref="C115"/>
    <hyperlink r:id="rId295" ref="K115"/>
    <hyperlink r:id="rId296" ref="O115"/>
    <hyperlink r:id="rId297" ref="C116"/>
    <hyperlink r:id="rId298" ref="K116"/>
    <hyperlink r:id="rId299" ref="C117"/>
    <hyperlink r:id="rId300" ref="K117"/>
    <hyperlink r:id="rId301" ref="C118"/>
    <hyperlink r:id="rId302" ref="K118"/>
    <hyperlink r:id="rId303" ref="O118"/>
    <hyperlink r:id="rId304" ref="C119"/>
    <hyperlink r:id="rId305" ref="K119"/>
    <hyperlink r:id="rId306" ref="O119"/>
    <hyperlink r:id="rId307" ref="C120"/>
    <hyperlink r:id="rId308" ref="K120"/>
    <hyperlink r:id="rId309" ref="O120"/>
    <hyperlink r:id="rId310" ref="C121"/>
    <hyperlink r:id="rId311" ref="K121"/>
    <hyperlink r:id="rId312" ref="O121"/>
    <hyperlink r:id="rId313" ref="C122"/>
    <hyperlink r:id="rId314" ref="K122"/>
    <hyperlink r:id="rId315" ref="O122"/>
    <hyperlink r:id="rId316" ref="C123"/>
    <hyperlink r:id="rId317" ref="K123"/>
    <hyperlink r:id="rId318" ref="O123"/>
    <hyperlink r:id="rId319" ref="C124"/>
    <hyperlink r:id="rId320" ref="K124"/>
    <hyperlink r:id="rId321" ref="C125"/>
    <hyperlink r:id="rId322" ref="K125"/>
    <hyperlink r:id="rId323" location="tuition" ref="O125"/>
    <hyperlink r:id="rId324" ref="C126"/>
    <hyperlink r:id="rId325" ref="K126"/>
    <hyperlink r:id="rId326" ref="C127"/>
    <hyperlink r:id="rId327" ref="K127"/>
    <hyperlink r:id="rId328" ref="C128"/>
    <hyperlink r:id="rId329" ref="K128"/>
    <hyperlink r:id="rId330" ref="C129"/>
    <hyperlink r:id="rId331" ref="K129"/>
    <hyperlink r:id="rId332" ref="O129"/>
    <hyperlink r:id="rId333" ref="C130"/>
    <hyperlink r:id="rId334" ref="K130"/>
    <hyperlink r:id="rId335" ref="C131"/>
    <hyperlink r:id="rId336" ref="K131"/>
    <hyperlink r:id="rId337" ref="K132"/>
    <hyperlink r:id="rId338" ref="C133"/>
    <hyperlink r:id="rId339" ref="K133"/>
    <hyperlink r:id="rId340" ref="O133"/>
    <hyperlink r:id="rId341" ref="K134"/>
    <hyperlink r:id="rId342" ref="C135"/>
    <hyperlink r:id="rId343" ref="K135"/>
    <hyperlink r:id="rId344" ref="C136"/>
    <hyperlink r:id="rId345" ref="K136"/>
    <hyperlink r:id="rId346" ref="N136"/>
    <hyperlink r:id="rId347" ref="C137"/>
    <hyperlink r:id="rId348" ref="K137"/>
    <hyperlink r:id="rId349" ref="C138"/>
    <hyperlink r:id="rId350" ref="K138"/>
    <hyperlink r:id="rId351" ref="N138"/>
    <hyperlink r:id="rId352" ref="C139"/>
    <hyperlink r:id="rId353" ref="K139"/>
    <hyperlink r:id="rId354" ref="O139"/>
    <hyperlink r:id="rId355" ref="C140"/>
    <hyperlink r:id="rId356" ref="K140"/>
    <hyperlink r:id="rId357" ref="C141"/>
    <hyperlink r:id="rId358" ref="K141"/>
    <hyperlink r:id="rId359" ref="C142"/>
    <hyperlink r:id="rId360" ref="C143"/>
    <hyperlink r:id="rId361" ref="C144"/>
    <hyperlink r:id="rId362" ref="C145"/>
    <hyperlink r:id="rId363" ref="C146"/>
    <hyperlink r:id="rId364" ref="K146"/>
    <hyperlink r:id="rId365" ref="K147"/>
    <hyperlink r:id="rId366" ref="C148"/>
    <hyperlink r:id="rId367" ref="K148"/>
    <hyperlink r:id="rId368" ref="C149"/>
    <hyperlink r:id="rId369" ref="K149"/>
    <hyperlink r:id="rId370" ref="C150"/>
    <hyperlink r:id="rId371" ref="K150"/>
    <hyperlink r:id="rId372" ref="O150"/>
    <hyperlink r:id="rId373" ref="C151"/>
    <hyperlink r:id="rId374" ref="K151"/>
    <hyperlink r:id="rId375" ref="C152"/>
    <hyperlink r:id="rId376" ref="K152"/>
    <hyperlink r:id="rId377" ref="O152"/>
    <hyperlink r:id="rId378" ref="C153"/>
    <hyperlink r:id="rId379" ref="K154"/>
    <hyperlink r:id="rId380" ref="C155"/>
    <hyperlink r:id="rId381" ref="K155"/>
    <hyperlink r:id="rId382" ref="C156"/>
    <hyperlink r:id="rId383" ref="K156"/>
    <hyperlink r:id="rId384" ref="O156"/>
    <hyperlink r:id="rId385" ref="C157"/>
    <hyperlink r:id="rId386" ref="K157"/>
    <hyperlink r:id="rId387" ref="C158"/>
    <hyperlink r:id="rId388" ref="K158"/>
    <hyperlink r:id="rId389" ref="C159"/>
    <hyperlink r:id="rId390" ref="K159"/>
    <hyperlink r:id="rId391" ref="O159"/>
    <hyperlink r:id="rId392" ref="C160"/>
    <hyperlink r:id="rId393" ref="K160"/>
    <hyperlink r:id="rId394" ref="C161"/>
    <hyperlink r:id="rId395" ref="K161"/>
    <hyperlink r:id="rId396" ref="C162"/>
    <hyperlink r:id="rId397" ref="K162"/>
    <hyperlink r:id="rId398" ref="C163"/>
    <hyperlink r:id="rId399" ref="K163"/>
    <hyperlink r:id="rId400" ref="C164"/>
    <hyperlink r:id="rId401" ref="K164"/>
    <hyperlink r:id="rId402" ref="C165"/>
    <hyperlink r:id="rId403" ref="K165"/>
    <hyperlink r:id="rId404" ref="K166"/>
    <hyperlink r:id="rId405" ref="C167"/>
    <hyperlink r:id="rId406" ref="K167"/>
    <hyperlink r:id="rId407" ref="O167"/>
    <hyperlink r:id="rId408" ref="C168"/>
    <hyperlink r:id="rId409" ref="K168"/>
    <hyperlink r:id="rId410" ref="C169"/>
    <hyperlink r:id="rId411" ref="K169"/>
    <hyperlink r:id="rId412" ref="C171"/>
    <hyperlink r:id="rId413" ref="K171"/>
    <hyperlink r:id="rId414" ref="K172"/>
    <hyperlink r:id="rId415" ref="C173"/>
    <hyperlink r:id="rId416" ref="K173"/>
    <hyperlink r:id="rId417" ref="C174"/>
    <hyperlink r:id="rId418" ref="C175"/>
    <hyperlink r:id="rId419" ref="O175"/>
    <hyperlink r:id="rId420" ref="C176"/>
    <hyperlink r:id="rId421" ref="K176"/>
    <hyperlink r:id="rId422" ref="C177"/>
    <hyperlink r:id="rId423" ref="K178"/>
    <hyperlink r:id="rId424" ref="L178"/>
    <hyperlink r:id="rId425" ref="K180"/>
    <hyperlink r:id="rId426" ref="O180"/>
    <hyperlink r:id="rId427" ref="K181"/>
    <hyperlink r:id="rId428" ref="C182"/>
    <hyperlink r:id="rId429" ref="K182"/>
    <hyperlink r:id="rId430" ref="O182"/>
    <hyperlink r:id="rId431" ref="C183"/>
    <hyperlink r:id="rId432" ref="O183"/>
    <hyperlink r:id="rId433" ref="C184"/>
    <hyperlink r:id="rId434" ref="C185"/>
    <hyperlink r:id="rId435" ref="K185"/>
    <hyperlink r:id="rId436" ref="K186"/>
    <hyperlink r:id="rId437" ref="K187"/>
    <hyperlink r:id="rId438" ref="K188"/>
    <hyperlink r:id="rId439" ref="K189"/>
    <hyperlink r:id="rId440" ref="O189"/>
    <hyperlink r:id="rId441" ref="K190"/>
    <hyperlink r:id="rId442" ref="O190"/>
    <hyperlink r:id="rId443" ref="K191"/>
    <hyperlink r:id="rId444" ref="N191"/>
    <hyperlink r:id="rId445" ref="C192"/>
    <hyperlink r:id="rId446" ref="K192"/>
    <hyperlink r:id="rId447" ref="K193"/>
    <hyperlink r:id="rId448" ref="C194"/>
    <hyperlink r:id="rId449" ref="K194"/>
    <hyperlink r:id="rId450" ref="C195"/>
    <hyperlink r:id="rId451" ref="K195"/>
    <hyperlink r:id="rId452" ref="C196"/>
    <hyperlink r:id="rId453" ref="K196"/>
    <hyperlink r:id="rId454" ref="C197"/>
    <hyperlink r:id="rId455" ref="K197"/>
    <hyperlink r:id="rId456" ref="O197"/>
    <hyperlink r:id="rId457" ref="C198"/>
    <hyperlink r:id="rId458" ref="K198"/>
    <hyperlink r:id="rId459" ref="L198"/>
    <hyperlink r:id="rId460" ref="C199"/>
    <hyperlink r:id="rId461" ref="K199"/>
    <hyperlink r:id="rId462" ref="O199"/>
    <hyperlink r:id="rId463" ref="C200"/>
    <hyperlink r:id="rId464" ref="K200"/>
    <hyperlink r:id="rId465" ref="O200"/>
    <hyperlink r:id="rId466" ref="C201"/>
    <hyperlink r:id="rId467" ref="K201"/>
    <hyperlink r:id="rId468" ref="C202"/>
    <hyperlink r:id="rId469" ref="K202"/>
    <hyperlink r:id="rId470" ref="C203"/>
    <hyperlink r:id="rId471" ref="K203"/>
    <hyperlink r:id="rId472" ref="O203"/>
    <hyperlink r:id="rId473" ref="C204"/>
    <hyperlink r:id="rId474" ref="C205"/>
    <hyperlink r:id="rId475" ref="C206"/>
    <hyperlink r:id="rId476" ref="C207"/>
    <hyperlink r:id="rId477" ref="K207"/>
    <hyperlink r:id="rId478" ref="C208"/>
    <hyperlink r:id="rId479" ref="K208"/>
    <hyperlink r:id="rId480" ref="C209"/>
    <hyperlink r:id="rId481" ref="O209"/>
    <hyperlink r:id="rId482" ref="C210"/>
    <hyperlink r:id="rId483" ref="K210"/>
    <hyperlink r:id="rId484" ref="O210"/>
    <hyperlink r:id="rId485" ref="C211"/>
    <hyperlink r:id="rId486" ref="K211"/>
    <hyperlink r:id="rId487" ref="O211"/>
    <hyperlink r:id="rId488" ref="C212"/>
    <hyperlink r:id="rId489" ref="K212"/>
    <hyperlink r:id="rId490" ref="O212"/>
    <hyperlink r:id="rId491" ref="C213"/>
    <hyperlink r:id="rId492" ref="K213"/>
    <hyperlink r:id="rId493" ref="O213"/>
    <hyperlink r:id="rId494" ref="C214"/>
    <hyperlink r:id="rId495" ref="K214"/>
    <hyperlink r:id="rId496" ref="O214"/>
    <hyperlink r:id="rId497" ref="C215"/>
    <hyperlink r:id="rId498" ref="K215"/>
    <hyperlink r:id="rId499" ref="O215"/>
    <hyperlink r:id="rId500" ref="K216"/>
    <hyperlink r:id="rId501" ref="C217"/>
    <hyperlink r:id="rId502" ref="K217"/>
    <hyperlink r:id="rId503" ref="O217"/>
    <hyperlink r:id="rId504" ref="C218"/>
    <hyperlink r:id="rId505" ref="K218"/>
    <hyperlink r:id="rId506" ref="C219"/>
    <hyperlink r:id="rId507" ref="K219"/>
    <hyperlink r:id="rId508" ref="K220"/>
    <hyperlink r:id="rId509" ref="C221"/>
    <hyperlink r:id="rId510" ref="K221"/>
    <hyperlink r:id="rId511" ref="O221"/>
    <hyperlink r:id="rId512" ref="C222"/>
    <hyperlink r:id="rId513" ref="K222"/>
    <hyperlink r:id="rId514" ref="C223"/>
    <hyperlink r:id="rId515" ref="K223"/>
    <hyperlink r:id="rId516" location="tuition" ref="N223"/>
    <hyperlink r:id="rId517" ref="C224"/>
    <hyperlink r:id="rId518" ref="K224"/>
    <hyperlink r:id="rId519" ref="O224"/>
    <hyperlink r:id="rId520" ref="C225"/>
    <hyperlink r:id="rId521" ref="K225"/>
    <hyperlink r:id="rId522" ref="O225"/>
    <hyperlink r:id="rId523" ref="C226"/>
    <hyperlink r:id="rId524" ref="K226"/>
    <hyperlink r:id="rId525" ref="C227"/>
    <hyperlink r:id="rId526" ref="K227"/>
    <hyperlink r:id="rId527" ref="C228"/>
    <hyperlink r:id="rId528" ref="K228"/>
    <hyperlink r:id="rId529" ref="K229"/>
    <hyperlink r:id="rId530" ref="C230"/>
    <hyperlink r:id="rId531" ref="K230"/>
    <hyperlink r:id="rId532" ref="C231"/>
    <hyperlink r:id="rId533" ref="K231"/>
    <hyperlink r:id="rId534" ref="C232"/>
    <hyperlink r:id="rId535" ref="K232"/>
    <hyperlink r:id="rId536" ref="C233"/>
    <hyperlink r:id="rId537" ref="K233"/>
    <hyperlink r:id="rId538" ref="C234"/>
    <hyperlink r:id="rId539" ref="K234"/>
    <hyperlink r:id="rId540" ref="C235"/>
    <hyperlink r:id="rId541" ref="K235"/>
    <hyperlink r:id="rId542" ref="C236"/>
    <hyperlink r:id="rId543" ref="C237"/>
    <hyperlink r:id="rId544" ref="K237"/>
    <hyperlink r:id="rId545" ref="C238"/>
    <hyperlink r:id="rId546" ref="K238"/>
    <hyperlink r:id="rId547" ref="C239"/>
    <hyperlink r:id="rId548" ref="K239"/>
    <hyperlink r:id="rId549" ref="K240"/>
    <hyperlink r:id="rId550" ref="C241"/>
    <hyperlink r:id="rId551" ref="K241"/>
    <hyperlink r:id="rId552" ref="O241"/>
    <hyperlink r:id="rId553" ref="C242"/>
    <hyperlink r:id="rId554" ref="K242"/>
    <hyperlink r:id="rId555" ref="C243"/>
    <hyperlink r:id="rId556" ref="K243"/>
    <hyperlink r:id="rId557" ref="O243"/>
    <hyperlink r:id="rId558" ref="C244"/>
    <hyperlink r:id="rId559" ref="K244"/>
    <hyperlink r:id="rId560" ref="C245"/>
    <hyperlink r:id="rId561" ref="K245"/>
    <hyperlink r:id="rId562" ref="C246"/>
    <hyperlink r:id="rId563" ref="K246"/>
    <hyperlink r:id="rId564" ref="C247"/>
    <hyperlink r:id="rId565" ref="K247"/>
    <hyperlink r:id="rId566" ref="O247"/>
    <hyperlink r:id="rId567" ref="C248"/>
    <hyperlink r:id="rId568" ref="K248"/>
    <hyperlink r:id="rId569" ref="O248"/>
    <hyperlink r:id="rId570" ref="C250"/>
    <hyperlink r:id="rId571" ref="K250"/>
    <hyperlink r:id="rId572" ref="C251"/>
    <hyperlink r:id="rId573" ref="K251"/>
    <hyperlink r:id="rId574" ref="C252"/>
    <hyperlink r:id="rId575" ref="C253"/>
    <hyperlink r:id="rId576" ref="K253"/>
    <hyperlink r:id="rId577" ref="C254"/>
    <hyperlink r:id="rId578" ref="K254"/>
    <hyperlink r:id="rId579" ref="C255"/>
    <hyperlink r:id="rId580" ref="K255"/>
    <hyperlink r:id="rId581" ref="C256"/>
    <hyperlink r:id="rId582" ref="K256"/>
    <hyperlink r:id="rId583" ref="C257"/>
    <hyperlink r:id="rId584" ref="K257"/>
    <hyperlink r:id="rId585" ref="O257"/>
    <hyperlink r:id="rId586" ref="C258"/>
    <hyperlink r:id="rId587" ref="O258"/>
    <hyperlink r:id="rId588" ref="C259"/>
    <hyperlink r:id="rId589" ref="O259"/>
    <hyperlink r:id="rId590" ref="C260"/>
    <hyperlink r:id="rId591" ref="K260"/>
    <hyperlink r:id="rId592" ref="C261"/>
    <hyperlink r:id="rId593" ref="K261"/>
    <hyperlink r:id="rId594" ref="C262"/>
    <hyperlink r:id="rId595" ref="K262"/>
    <hyperlink r:id="rId596" ref="O262"/>
    <hyperlink r:id="rId597" ref="C263"/>
    <hyperlink r:id="rId598" ref="K263"/>
    <hyperlink r:id="rId599" location="tuition-fees" ref="O263"/>
    <hyperlink r:id="rId600" ref="C264"/>
    <hyperlink r:id="rId601" ref="K264"/>
    <hyperlink r:id="rId602" ref="O264"/>
    <hyperlink r:id="rId603" ref="C265"/>
    <hyperlink r:id="rId604" ref="K265"/>
    <hyperlink r:id="rId605" ref="C266"/>
    <hyperlink r:id="rId606" ref="K266"/>
    <hyperlink r:id="rId607" ref="O266"/>
    <hyperlink r:id="rId608" ref="C267"/>
    <hyperlink r:id="rId609" ref="K267"/>
    <hyperlink r:id="rId610" ref="O267"/>
    <hyperlink r:id="rId611" ref="C268"/>
    <hyperlink r:id="rId612" ref="K268"/>
    <hyperlink r:id="rId613" ref="C269"/>
    <hyperlink r:id="rId614" ref="O269"/>
    <hyperlink r:id="rId615" ref="C270"/>
    <hyperlink r:id="rId616" ref="K270"/>
    <hyperlink r:id="rId617" ref="C271"/>
    <hyperlink r:id="rId618" ref="K271"/>
    <hyperlink r:id="rId619" ref="C272"/>
    <hyperlink r:id="rId620" ref="K272"/>
    <hyperlink r:id="rId621" ref="C273"/>
    <hyperlink r:id="rId622" ref="O273"/>
    <hyperlink r:id="rId623" ref="C274"/>
    <hyperlink r:id="rId624" ref="K274"/>
    <hyperlink r:id="rId625" ref="O274"/>
    <hyperlink r:id="rId626" ref="K275"/>
    <hyperlink r:id="rId627" ref="C276"/>
    <hyperlink r:id="rId628" ref="K276"/>
    <hyperlink r:id="rId629" ref="O276"/>
    <hyperlink r:id="rId630" ref="C277"/>
    <hyperlink r:id="rId631" ref="K277"/>
    <hyperlink r:id="rId632" ref="O277"/>
    <hyperlink r:id="rId633" ref="C278"/>
    <hyperlink r:id="rId634" ref="K278"/>
    <hyperlink r:id="rId635" ref="O278"/>
    <hyperlink r:id="rId636" ref="C279"/>
    <hyperlink r:id="rId637" ref="K279"/>
    <hyperlink r:id="rId638" ref="O279"/>
    <hyperlink r:id="rId639" ref="C280"/>
    <hyperlink r:id="rId640" ref="O280"/>
    <hyperlink r:id="rId641" ref="C281"/>
    <hyperlink r:id="rId642" ref="K281"/>
    <hyperlink r:id="rId643" ref="O281"/>
    <hyperlink r:id="rId644" ref="C282"/>
    <hyperlink r:id="rId645" ref="K282"/>
    <hyperlink r:id="rId646" ref="O282"/>
    <hyperlink r:id="rId647" ref="C283"/>
    <hyperlink r:id="rId648" ref="K283"/>
    <hyperlink r:id="rId649" ref="C284"/>
    <hyperlink r:id="rId650" ref="C285"/>
    <hyperlink r:id="rId651" ref="C286"/>
    <hyperlink r:id="rId652" ref="C287"/>
    <hyperlink r:id="rId653" ref="K287"/>
    <hyperlink r:id="rId654" ref="C288"/>
    <hyperlink r:id="rId655" ref="C289"/>
    <hyperlink r:id="rId656" ref="K289"/>
    <hyperlink r:id="rId657" ref="C290"/>
    <hyperlink r:id="rId658" ref="K290"/>
    <hyperlink r:id="rId659" ref="C291"/>
    <hyperlink r:id="rId660" ref="K291"/>
    <hyperlink r:id="rId661" ref="C292"/>
    <hyperlink r:id="rId662" ref="K292"/>
    <hyperlink r:id="rId663" ref="C293"/>
    <hyperlink r:id="rId664" ref="K293"/>
    <hyperlink r:id="rId665" ref="C294"/>
    <hyperlink r:id="rId666" ref="K294"/>
    <hyperlink r:id="rId667" ref="C295"/>
    <hyperlink r:id="rId668" ref="K295"/>
    <hyperlink r:id="rId669" ref="K296"/>
    <hyperlink r:id="rId670" ref="C297"/>
    <hyperlink r:id="rId671" ref="K297"/>
    <hyperlink r:id="rId672" ref="C298"/>
    <hyperlink r:id="rId673" ref="K298"/>
    <hyperlink r:id="rId674" ref="C299"/>
    <hyperlink r:id="rId675" ref="K299"/>
    <hyperlink r:id="rId676" ref="C300"/>
    <hyperlink r:id="rId677" ref="K300"/>
    <hyperlink r:id="rId678" ref="C301"/>
    <hyperlink r:id="rId679" ref="K301"/>
    <hyperlink r:id="rId680" ref="C302"/>
    <hyperlink r:id="rId681" ref="K302"/>
    <hyperlink r:id="rId682" ref="K303"/>
    <hyperlink r:id="rId683" ref="C304"/>
    <hyperlink r:id="rId684" ref="K304"/>
    <hyperlink r:id="rId685" ref="C305"/>
    <hyperlink r:id="rId686" ref="K305"/>
    <hyperlink r:id="rId687" ref="O305"/>
    <hyperlink r:id="rId688" ref="C306"/>
    <hyperlink r:id="rId689" ref="K306"/>
    <hyperlink r:id="rId690" ref="O306"/>
    <hyperlink r:id="rId691" ref="C307"/>
    <hyperlink r:id="rId692" ref="K307"/>
    <hyperlink r:id="rId693" ref="C308"/>
    <hyperlink r:id="rId694" ref="K308"/>
    <hyperlink r:id="rId695" ref="C309"/>
    <hyperlink r:id="rId696" ref="K309"/>
    <hyperlink r:id="rId697" ref="O309"/>
    <hyperlink r:id="rId698" ref="C310"/>
    <hyperlink r:id="rId699" ref="K310"/>
    <hyperlink r:id="rId700" ref="C311"/>
    <hyperlink r:id="rId701" ref="K311"/>
    <hyperlink r:id="rId702" ref="C312"/>
    <hyperlink r:id="rId703" ref="K312"/>
    <hyperlink r:id="rId704" ref="O312"/>
    <hyperlink r:id="rId705" ref="C313"/>
    <hyperlink r:id="rId706" ref="K313"/>
    <hyperlink r:id="rId707" ref="O313"/>
    <hyperlink r:id="rId708" ref="C314"/>
    <hyperlink r:id="rId709" ref="K314"/>
    <hyperlink r:id="rId710" ref="O314"/>
    <hyperlink r:id="rId711" ref="C315"/>
    <hyperlink r:id="rId712" ref="K315"/>
    <hyperlink r:id="rId713" ref="O315"/>
    <hyperlink r:id="rId714" ref="C316"/>
    <hyperlink r:id="rId715" ref="K316"/>
    <hyperlink r:id="rId716" ref="K317"/>
    <hyperlink r:id="rId717" ref="C318"/>
    <hyperlink r:id="rId718" ref="K318"/>
    <hyperlink r:id="rId719" ref="O318"/>
    <hyperlink r:id="rId720" ref="C319"/>
    <hyperlink r:id="rId721" ref="K319"/>
    <hyperlink r:id="rId722" ref="O319"/>
    <hyperlink r:id="rId723" ref="C320"/>
    <hyperlink r:id="rId724" ref="K320"/>
    <hyperlink r:id="rId725" ref="C321"/>
    <hyperlink r:id="rId726" ref="K321"/>
    <hyperlink r:id="rId727" ref="O321"/>
    <hyperlink r:id="rId728" ref="C322"/>
    <hyperlink r:id="rId729" ref="K322"/>
    <hyperlink r:id="rId730" ref="C323"/>
    <hyperlink r:id="rId731" ref="K323"/>
    <hyperlink r:id="rId732" location="learn-more" ref="O323"/>
    <hyperlink r:id="rId733" ref="C324"/>
    <hyperlink r:id="rId734" ref="K324"/>
    <hyperlink r:id="rId735" ref="C325"/>
    <hyperlink r:id="rId736" ref="K325"/>
    <hyperlink r:id="rId737" ref="O325"/>
    <hyperlink r:id="rId738" ref="C326"/>
    <hyperlink r:id="rId739" ref="K326"/>
    <hyperlink r:id="rId740" ref="O326"/>
    <hyperlink r:id="rId741" ref="K327"/>
    <hyperlink r:id="rId742" ref="K328"/>
    <hyperlink r:id="rId743" ref="C329"/>
    <hyperlink r:id="rId744" ref="K329"/>
    <hyperlink r:id="rId745" ref="O329"/>
  </hyperlinks>
  <printOptions/>
  <pageMargins bottom="0.75" footer="0.0" header="0.0" left="0.7" right="0.7" top="0.75"/>
  <pageSetup orientation="landscape"/>
  <drawing r:id="rId7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1936</v>
      </c>
      <c r="B1" s="102" t="s">
        <v>6</v>
      </c>
      <c r="I1" s="101"/>
      <c r="J1" s="101"/>
      <c r="K1" s="102"/>
      <c r="L1" s="103"/>
      <c r="M1" s="103"/>
      <c r="N1" s="103"/>
      <c r="O1" s="103"/>
      <c r="P1" s="103"/>
      <c r="Q1" s="103"/>
      <c r="R1" s="103"/>
      <c r="S1" s="103"/>
      <c r="T1" s="103"/>
    </row>
    <row r="2">
      <c r="A2" s="104" t="s">
        <v>1937</v>
      </c>
      <c r="B2" s="105" t="s">
        <v>1938</v>
      </c>
      <c r="C2" s="105" t="s">
        <v>1939</v>
      </c>
      <c r="D2" s="105" t="s">
        <v>506</v>
      </c>
      <c r="E2" s="105" t="s">
        <v>68</v>
      </c>
      <c r="F2" s="105" t="s">
        <v>1338</v>
      </c>
      <c r="G2" s="104" t="s">
        <v>237</v>
      </c>
      <c r="H2" s="105" t="s">
        <v>1940</v>
      </c>
      <c r="I2" s="106"/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</row>
    <row r="3">
      <c r="A3" s="105">
        <f> COUNTIF(All_openings!H2:H1033, "&gt;=8/1/2025")</f>
        <v>65</v>
      </c>
      <c r="B3" s="105">
        <f> COUNTIFS(All_openings!H2:H1033, "&gt;=8/1/2025",All_openings!G2:G1033, "Roman Catholic")</f>
        <v>11</v>
      </c>
      <c r="C3" s="105">
        <f> COUNTIFS(All_openings!H2:H1033, "&gt;=8/1/2025",All_openings!G2:G1033, "Episcopal")</f>
        <v>0</v>
      </c>
      <c r="D3" s="105">
        <f> COUNTIFS(All_openings!H2:H1033, "&gt;=8/1/2025",All_openings!G2:G1033, "Lutheran")</f>
        <v>1</v>
      </c>
      <c r="E3" s="105">
        <f> COUNTIFS(All_openings!H2:H1033, "&gt;=8/1/2025",All_openings!G2:G1033,  "Christian")</f>
        <v>13</v>
      </c>
      <c r="F3" s="105">
        <f> COUNTIFS(All_openings!H2:H1033, "&gt;=8/1/2025",All_openings!G2:G1033,  "Jewish")</f>
        <v>3</v>
      </c>
      <c r="G3" s="105">
        <f> COUNTIFS(All_openings!H2:H1033, "&gt;=8/1/2025",All_openings!G2:G1033,  "Special needs")</f>
        <v>4</v>
      </c>
      <c r="H3" s="105">
        <f> COUNTIFS(All_openings!H2:H1033, "&gt;=8/1/2025",All_openings!G2:G1033,  "Independent")</f>
        <v>30</v>
      </c>
      <c r="I3" s="108"/>
      <c r="J3" s="108"/>
      <c r="K3" s="108"/>
      <c r="L3" s="109"/>
      <c r="M3" s="109"/>
      <c r="N3" s="109"/>
      <c r="O3" s="109"/>
      <c r="P3" s="109"/>
      <c r="Q3" s="110"/>
      <c r="R3" s="111"/>
      <c r="S3" s="111"/>
      <c r="T3" s="111"/>
    </row>
  </sheetData>
  <mergeCells count="1">
    <mergeCell ref="B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25"/>
  </cols>
  <sheetData>
    <row r="1">
      <c r="A1" s="1"/>
      <c r="B1" s="2" t="s">
        <v>1941</v>
      </c>
    </row>
    <row r="2">
      <c r="A2" s="1">
        <f t="shared" ref="A2:A14" si="1">IF(EDATE(DATE(2025,6,1), row(A2))&lt;TODAY(), EDATE(DATE(2025,6,1), Row(A2)), "")</f>
        <v>45870</v>
      </c>
      <c r="B2" s="3">
        <f> IF(A2="","",COUNTIFS(All_openings!$H$2:$H$1034, "&gt;="&amp; EDATE(DATE(2025,6,1), row(A2)),All_openings!$H$2:$H$1034, "&lt;"&amp; EDATE(DATE(2025,7,1), row(A2))))</f>
        <v>9</v>
      </c>
    </row>
    <row r="3">
      <c r="A3" s="1">
        <f t="shared" si="1"/>
        <v>45901</v>
      </c>
      <c r="B3" s="3">
        <f> IF(A3="","",COUNTIFS(All_openings!$H$2:$H$1034, "&gt;="&amp; EDATE(DATE(2025,6,1), row(A3)),All_openings!$H$2:$H$1034, "&lt;"&amp; EDATE(DATE(2025,7,1), row(A3))))</f>
        <v>4</v>
      </c>
    </row>
    <row r="4">
      <c r="A4" s="1">
        <f t="shared" si="1"/>
        <v>45931</v>
      </c>
      <c r="B4" s="3">
        <f> IF(A4="","",COUNTIFS(All_openings!$H$2:$H$1034, "&gt;="&amp; EDATE(DATE(2025,6,1), row(A4)),All_openings!$H$2:$H$1034, "&lt;"&amp; EDATE(DATE(2025,7,1), row(A4))))</f>
        <v>1</v>
      </c>
    </row>
    <row r="5">
      <c r="A5" s="1">
        <f t="shared" si="1"/>
        <v>45962</v>
      </c>
      <c r="B5" s="3">
        <f> IF(A5="","",COUNTIFS(All_openings!$H$2:$H$1034, "&gt;="&amp; EDATE(DATE(2025,6,1), row(A5)),All_openings!$H$2:$H$1034, "&lt;"&amp; EDATE(DATE(2025,7,1), row(A5))))</f>
        <v>4</v>
      </c>
    </row>
    <row r="6">
      <c r="A6" s="1">
        <f t="shared" si="1"/>
        <v>45992</v>
      </c>
      <c r="B6" s="3">
        <f> IF(A6="","",COUNTIFS(All_openings!$H$2:$H$1034, "&gt;="&amp; EDATE(DATE(2025,6,1), row(A6)),All_openings!$H$2:$H$1034, "&lt;"&amp; EDATE(DATE(2025,7,1), row(A6))))</f>
        <v>0</v>
      </c>
    </row>
    <row r="7">
      <c r="A7" s="1">
        <f t="shared" si="1"/>
        <v>46023</v>
      </c>
      <c r="B7" s="3">
        <f> IF(A7="","",COUNTIFS(All_openings!$H$2:$H$1034, "&gt;="&amp; EDATE(DATE(2025,6,1), row(A7)),All_openings!$H$2:$H$1034, "&lt;"&amp; EDATE(DATE(2025,7,1), row(A7))))</f>
        <v>6</v>
      </c>
    </row>
    <row r="8">
      <c r="A8" s="1">
        <f t="shared" si="1"/>
        <v>46054</v>
      </c>
      <c r="B8" s="3">
        <f> IF(A8="","",COUNTIFS(All_openings!$H$2:$H$1034, "&gt;="&amp; EDATE(DATE(2025,6,1), row(A8)),All_openings!$H$2:$H$1034, "&lt;"&amp; EDATE(DATE(2025,7,1), row(A8))))</f>
        <v>7</v>
      </c>
    </row>
    <row r="9">
      <c r="A9" s="1">
        <f t="shared" si="1"/>
        <v>46082</v>
      </c>
      <c r="B9" s="3">
        <f> IF(A9="","",COUNTIFS(All_openings!$H$2:$H$1034, "&gt;="&amp; EDATE(DATE(2025,6,1), row(A9)),All_openings!$H$2:$H$1034, "&lt;"&amp; EDATE(DATE(2025,7,1), row(A9))))</f>
        <v>3</v>
      </c>
    </row>
    <row r="10">
      <c r="A10" s="1">
        <f t="shared" si="1"/>
        <v>46113</v>
      </c>
      <c r="B10" s="3">
        <f> IF(A10="","",COUNTIFS(All_openings!$H$2:$H$1034, "&gt;="&amp; EDATE(DATE(2025,6,1), row(A10)),All_openings!$H$2:$H$1034, "&lt;"&amp; EDATE(DATE(2025,7,1), row(A10))))</f>
        <v>6</v>
      </c>
    </row>
    <row r="11">
      <c r="A11" s="1">
        <f t="shared" si="1"/>
        <v>46143</v>
      </c>
      <c r="B11" s="3">
        <f> IF(A11="","",COUNTIFS(All_openings!$H$2:$H$1034, "&gt;="&amp; EDATE(DATE(2025,6,1), row(A11)),All_openings!$H$2:$H$1034, "&lt;"&amp; EDATE(DATE(2025,7,1), row(A11))))</f>
        <v>10</v>
      </c>
    </row>
    <row r="12">
      <c r="A12" s="1">
        <f t="shared" si="1"/>
        <v>46174</v>
      </c>
      <c r="B12" s="3">
        <f> IF(A12="","",COUNTIFS(All_openings!$H$2:$H$1034, "&gt;="&amp; EDATE(DATE(2025,6,1), row(A12)),All_openings!$H$2:$H$1034, "&lt;"&amp; EDATE(DATE(2025,7,1), row(A12))))</f>
        <v>10</v>
      </c>
    </row>
    <row r="13">
      <c r="A13" s="1">
        <f t="shared" si="1"/>
        <v>46204</v>
      </c>
      <c r="B13" s="3">
        <f> IF(A13="","",COUNTIFS(All_openings!$H$2:$H$1034, "&gt;="&amp; EDATE(DATE(2025,6,1), row(A13)),All_openings!$H$2:$H$1034, "&lt;"&amp; EDATE(DATE(2025,7,1), row(A13))))</f>
        <v>5</v>
      </c>
    </row>
    <row r="14">
      <c r="A14" s="1" t="str">
        <f t="shared" si="1"/>
        <v/>
      </c>
      <c r="B14" s="3" t="str">
        <f> IF(A14="","",COUNTIFS(All_openings!$H$2:$H$1034, "&gt;="&amp; EDATE(DATE(2025,6,1), row(A14)),All_openings!$H$2:$H$1034, "&lt;"&amp; EDATE(DATE(2025,7,1), row(A14))))</f>
        <v/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1942</v>
      </c>
      <c r="B1" s="102" t="s">
        <v>6</v>
      </c>
      <c r="I1" s="102" t="s">
        <v>1943</v>
      </c>
      <c r="J1" s="102" t="s">
        <v>1944</v>
      </c>
      <c r="K1" s="102" t="s">
        <v>1945</v>
      </c>
      <c r="L1" s="103"/>
      <c r="M1" s="103"/>
      <c r="N1" s="103"/>
      <c r="O1" s="103"/>
      <c r="P1" s="103"/>
      <c r="Q1" s="103"/>
      <c r="R1" s="103"/>
      <c r="S1" s="103"/>
      <c r="T1" s="103"/>
    </row>
    <row r="2">
      <c r="A2" s="106"/>
      <c r="B2" s="105" t="s">
        <v>1938</v>
      </c>
      <c r="C2" s="105" t="s">
        <v>1939</v>
      </c>
      <c r="D2" s="105" t="s">
        <v>506</v>
      </c>
      <c r="E2" s="105" t="s">
        <v>68</v>
      </c>
      <c r="F2" s="105" t="s">
        <v>1338</v>
      </c>
      <c r="G2" s="104" t="s">
        <v>237</v>
      </c>
      <c r="H2" s="105" t="s">
        <v>1940</v>
      </c>
      <c r="I2" s="106"/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</row>
    <row r="3">
      <c r="A3" s="105">
        <f> COUNTIF(All_closures!J2:J1005, "&gt;=8/1/2022")</f>
        <v>234</v>
      </c>
      <c r="B3" s="105">
        <f> COUNTIFS(All_closures!J2:J1005, "&gt;=8/1/2022",All_closures!I2:I1005, "Roman Catholic")</f>
        <v>178</v>
      </c>
      <c r="C3" s="105">
        <f> COUNTIFS(All_closures!J2:J1005, "&gt;=8/1/2022",All_closures!I2:I1005, "Episcopal")</f>
        <v>1</v>
      </c>
      <c r="D3" s="105">
        <f> COUNTIFS(All_closures!J2:J1005, "&gt;=8/1/2022",All_closures!I2:I1005, "Lutheran")</f>
        <v>1</v>
      </c>
      <c r="E3" s="105">
        <f> COUNTIFS(All_closures!J2:J1005, "&gt;=8/1/2022",All_closures!I2:I1005,  "Christian")</f>
        <v>17</v>
      </c>
      <c r="F3" s="105">
        <f> COUNTIFS(All_closures!J2:J1005, "&gt;=8/1/2022",All_closures!I2:I1005,  "Jewish")</f>
        <v>3</v>
      </c>
      <c r="G3" s="105">
        <f> COUNTIFS(All_closures!J2:J1005, "&gt;=8/1/2022",All_closures!I2:I1005,  "Special needs")</f>
        <v>3</v>
      </c>
      <c r="H3" s="105">
        <f> COUNTIFS(All_closures!J2:J1005, "&gt;=8/1/2022",All_closures!I2:I1005,  "Independent")</f>
        <v>30</v>
      </c>
      <c r="I3" s="112">
        <f> SUMIF(All_closures!J2:J1005, "&gt;=8/1/2022",  All_closures!K2:K1005)</f>
        <v>33878</v>
      </c>
      <c r="J3" s="112">
        <f> SUMIF(All_closures!J2:J1005, "&gt;=8/1/2022",  All_closures!K2:K1005)/A3</f>
        <v>144.7777778</v>
      </c>
      <c r="K3" s="113">
        <f> AVERAGEIF(All_closures!J2:J1005, "&gt;=8/1/2022",  All_closures!S2:S1005)</f>
        <v>10036.16667</v>
      </c>
      <c r="L3" s="109"/>
      <c r="M3" s="109"/>
      <c r="N3" s="109"/>
      <c r="O3" s="109"/>
      <c r="P3" s="109"/>
      <c r="Q3" s="110"/>
      <c r="R3" s="111"/>
      <c r="S3" s="111"/>
      <c r="T3" s="111"/>
    </row>
    <row r="4">
      <c r="A4" s="105"/>
    </row>
    <row r="5">
      <c r="A5" s="105"/>
    </row>
    <row r="6">
      <c r="A6" s="105"/>
    </row>
    <row r="8">
      <c r="A8" s="105"/>
    </row>
  </sheetData>
  <mergeCells count="1">
    <mergeCell ref="B1:H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1942</v>
      </c>
      <c r="B1" s="102" t="s">
        <v>6</v>
      </c>
      <c r="I1" s="102" t="s">
        <v>1943</v>
      </c>
      <c r="J1" s="102" t="s">
        <v>1944</v>
      </c>
      <c r="K1" s="102" t="s">
        <v>1945</v>
      </c>
      <c r="L1" s="103"/>
      <c r="M1" s="103"/>
      <c r="N1" s="103"/>
      <c r="O1" s="103"/>
      <c r="P1" s="103"/>
      <c r="Q1" s="103"/>
      <c r="R1" s="103"/>
      <c r="S1" s="103"/>
      <c r="T1" s="103"/>
    </row>
    <row r="2">
      <c r="A2" s="106"/>
      <c r="B2" s="105" t="s">
        <v>1938</v>
      </c>
      <c r="C2" s="105" t="s">
        <v>1939</v>
      </c>
      <c r="D2" s="105" t="s">
        <v>506</v>
      </c>
      <c r="E2" s="105" t="s">
        <v>68</v>
      </c>
      <c r="F2" s="105" t="s">
        <v>1338</v>
      </c>
      <c r="G2" s="104" t="s">
        <v>237</v>
      </c>
      <c r="H2" s="105" t="s">
        <v>1940</v>
      </c>
      <c r="I2" s="106"/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</row>
    <row r="3">
      <c r="A3" s="105">
        <f> COUNTIFS(All_closures!J2:J1005, "&gt;=8/1/2023", All_closures!J2:J1005, "&lt;=7/31/2024")</f>
        <v>60</v>
      </c>
      <c r="B3" s="105">
        <f> COUNTIFS(All_closures!J2:J1005, "&gt;=8/1/2023",All_closures!J2:J1005, "&lt;8/1/2024",All_closures!I2:I1005, "Roman Catholic")</f>
        <v>41</v>
      </c>
      <c r="C3" s="105">
        <f> COUNTIFS(All_closures!J2:J1005, "&gt;=8/1/2023", All_closures!J2:J1005, "&lt;8/1/2024", All_closures!I2:I1005, "Episcopal")</f>
        <v>0</v>
      </c>
      <c r="D3" s="105">
        <f> COUNTIFS(All_closures!J2:J1005, "&gt;=8/1/2023", All_closures!J2:J1005, "&lt;8/1/2024",All_closures!I2:I1005, "Lutheran")</f>
        <v>0</v>
      </c>
      <c r="E3" s="105">
        <f> COUNTIFS(All_closures!J2:J1005, "&gt;=8/1/2023", All_closures!J2:J1005, "&lt;8/1/2024",All_closures!I2:I1005,  "Christian")</f>
        <v>8</v>
      </c>
      <c r="F3" s="105">
        <f> COUNTIFS(All_closures!J2:J1005, "&gt;=8/1/2023", All_closures!J2:J1005, "&lt;8/1/2024",All_closures!I2:I1005,  "Jewish")</f>
        <v>1</v>
      </c>
      <c r="G3" s="105">
        <f> COUNTIFS(All_closures!J2:J1005, "&gt;=8/1/2023", All_closures!J2:J1005, "&lt;8/1/2024",All_closures!I2:I1005,  "Special needs")</f>
        <v>1</v>
      </c>
      <c r="H3" s="105">
        <f> COUNTIFS(All_closures!J2:J1005, "&gt;=8/1/2023", All_closures!J2:J1005, "&lt;8/1/2024",All_closures!I2:I1005,  "Independent")</f>
        <v>9</v>
      </c>
      <c r="I3" s="112">
        <f> SUMIFS(All_closures!K2:K1005, All_closures!J2:J1005, "&gt;=8/1/2023", All_closures!J2:J1005, "&lt;=7/31/2024")</f>
        <v>6572</v>
      </c>
      <c r="J3" s="112">
        <f> if(A3=0,"", SUMIFS(All_closures!K2:K1005, All_closures!J2:J1005, "&gt;=8/1/2023", All_closures!J2:J1005, "&lt;=7/31/2024")/A3)</f>
        <v>109.5333333</v>
      </c>
      <c r="K3" s="113">
        <f> if(A3=0,"",AVERAGEIFS(All_closures!S2:S1005, All_closures!J2:J1005, "&gt;=8/1/2023", All_closures!J2:J1005, "&lt;=7/31/2024"))</f>
        <v>10835.53509</v>
      </c>
      <c r="L3" s="109"/>
      <c r="M3" s="109"/>
      <c r="N3" s="109"/>
      <c r="O3" s="109"/>
      <c r="P3" s="109"/>
      <c r="Q3" s="110"/>
      <c r="R3" s="111"/>
      <c r="S3" s="111"/>
      <c r="T3" s="111"/>
    </row>
    <row r="4">
      <c r="A4" s="105"/>
    </row>
    <row r="5">
      <c r="A5" s="105"/>
    </row>
    <row r="6">
      <c r="A6" s="105"/>
    </row>
    <row r="8">
      <c r="A8" s="105"/>
    </row>
  </sheetData>
  <mergeCells count="1">
    <mergeCell ref="B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1942</v>
      </c>
      <c r="B1" s="102" t="s">
        <v>6</v>
      </c>
      <c r="I1" s="102" t="s">
        <v>1943</v>
      </c>
      <c r="J1" s="102" t="s">
        <v>1944</v>
      </c>
      <c r="K1" s="102" t="s">
        <v>1945</v>
      </c>
      <c r="L1" s="103"/>
      <c r="M1" s="103"/>
      <c r="N1" s="103"/>
      <c r="O1" s="103"/>
      <c r="P1" s="103"/>
      <c r="Q1" s="103"/>
      <c r="R1" s="103"/>
      <c r="S1" s="103"/>
      <c r="T1" s="103"/>
    </row>
    <row r="2">
      <c r="A2" s="106"/>
      <c r="B2" s="105" t="s">
        <v>1938</v>
      </c>
      <c r="C2" s="105" t="s">
        <v>1939</v>
      </c>
      <c r="D2" s="105" t="s">
        <v>506</v>
      </c>
      <c r="E2" s="105" t="s">
        <v>68</v>
      </c>
      <c r="F2" s="105" t="s">
        <v>1338</v>
      </c>
      <c r="G2" s="104" t="s">
        <v>237</v>
      </c>
      <c r="H2" s="105" t="s">
        <v>1940</v>
      </c>
      <c r="I2" s="106"/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</row>
    <row r="3">
      <c r="A3" s="105">
        <f> COUNTIF(All_closures!J2:J1005, "&gt;=8/1/2024")</f>
        <v>120</v>
      </c>
      <c r="B3" s="105">
        <f> COUNTIFS(All_closures!J2:J1005, "&gt;=8/1/2024",All_closures!I2:I1005, "Roman Catholic")</f>
        <v>92</v>
      </c>
      <c r="C3" s="105">
        <f> COUNTIFS(All_closures!J2:J1005, "&gt;=8/1/2024",All_closures!I2:I1005, "Episcopal")</f>
        <v>1</v>
      </c>
      <c r="D3" s="105">
        <f> COUNTIFS(All_closures!J2:J1005, "&gt;=8/1/2024",All_closures!I2:I1005, "Lutheran")</f>
        <v>1</v>
      </c>
      <c r="E3" s="105">
        <f> COUNTIFS(All_closures!J2:J1005, "&gt;=8/1/2024",All_closures!I2:I1005,  "Christian")</f>
        <v>8</v>
      </c>
      <c r="F3" s="105">
        <f> COUNTIFS(All_closures!J2:J1005, "&gt;=8/1/2024",All_closures!I2:I1005,  "Jewish")</f>
        <v>2</v>
      </c>
      <c r="G3" s="105">
        <f> COUNTIFS(All_closures!J2:J1005, "&gt;=8/1/2024",All_closures!I2:I1005,  "Special needs")</f>
        <v>1</v>
      </c>
      <c r="H3" s="105">
        <f> COUNTIFS(All_closures!J2:J1005, "&gt;=8/1/2024",All_closures!I2:I1005,  "Independent")</f>
        <v>14</v>
      </c>
      <c r="I3" s="112">
        <f> SUMIF(All_closures!J2:J1005, "&gt;=8/1/2024",  All_closures!K2:K1005)</f>
        <v>17682</v>
      </c>
      <c r="J3" s="112">
        <f> if(A3=0,"", SUMIF(All_closures!J2:J1005, "&gt;=8/1/2024",  All_closures!K2:K1005)/A3)</f>
        <v>147.35</v>
      </c>
      <c r="K3" s="113">
        <f> if(A3=0,"",AVERAGEIF(All_closures!J2:J1005, "&gt;=8/1/2024",  All_closures!S2:S1005))</f>
        <v>9637.8</v>
      </c>
      <c r="L3" s="109"/>
      <c r="M3" s="109"/>
      <c r="N3" s="109"/>
      <c r="O3" s="109"/>
      <c r="P3" s="109"/>
      <c r="Q3" s="110"/>
      <c r="R3" s="111"/>
      <c r="S3" s="111"/>
      <c r="T3" s="111"/>
    </row>
    <row r="4">
      <c r="A4" s="105"/>
    </row>
    <row r="5">
      <c r="A5" s="105"/>
    </row>
    <row r="6">
      <c r="A6" s="105"/>
    </row>
    <row r="8">
      <c r="A8" s="105"/>
    </row>
  </sheetData>
  <mergeCells count="1">
    <mergeCell ref="B1:H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36.13"/>
    <col customWidth="1" min="3" max="4" width="13.75"/>
    <col customWidth="1" min="5" max="6" width="14.13"/>
    <col customWidth="1" min="7" max="7" width="11.5"/>
    <col customWidth="1" min="8" max="9" width="13.13"/>
    <col customWidth="1" min="10" max="11" width="14.25"/>
    <col customWidth="1" min="12" max="13" width="17.38"/>
    <col customWidth="1" min="14" max="14" width="41.5"/>
    <col customWidth="1" min="15" max="15" width="15.5"/>
    <col customWidth="1" min="16" max="16" width="37.5"/>
    <col customWidth="1" min="17" max="17" width="16.13"/>
    <col customWidth="1" min="18" max="18" width="26.5"/>
    <col customWidth="1" min="19" max="19" width="17.5"/>
    <col customWidth="1" min="20" max="20" width="29.5"/>
    <col customWidth="1" min="21" max="21" width="8.75"/>
    <col customWidth="1" min="22" max="22" width="10.38"/>
    <col customWidth="1" min="23" max="24" width="11.25"/>
    <col customWidth="1" min="25" max="25" width="9.0"/>
    <col customWidth="1" min="26" max="26" width="10.88"/>
    <col customWidth="1" min="27" max="28" width="9.63"/>
    <col customWidth="1" min="29" max="29" width="9.13"/>
    <col customWidth="1" min="30" max="30" width="11.0"/>
    <col customWidth="1" min="31" max="31" width="25.75"/>
    <col customWidth="1" min="33" max="33" width="15.0"/>
    <col customWidth="1" min="34" max="34" width="8.25"/>
    <col customWidth="1" min="35" max="45" width="7.75"/>
  </cols>
  <sheetData>
    <row r="1">
      <c r="A1" s="114"/>
      <c r="B1" s="115" t="s">
        <v>1942</v>
      </c>
      <c r="C1" s="115" t="s">
        <v>1946</v>
      </c>
      <c r="D1" s="115" t="s">
        <v>1947</v>
      </c>
      <c r="E1" s="115" t="s">
        <v>1948</v>
      </c>
      <c r="F1" s="115" t="s">
        <v>3</v>
      </c>
      <c r="G1" s="115" t="s">
        <v>4</v>
      </c>
      <c r="H1" s="116" t="s">
        <v>5</v>
      </c>
      <c r="I1" s="115" t="s">
        <v>6</v>
      </c>
      <c r="J1" s="117" t="s">
        <v>7</v>
      </c>
      <c r="K1" s="115" t="s">
        <v>1949</v>
      </c>
      <c r="L1" s="115" t="s">
        <v>1950</v>
      </c>
      <c r="M1" s="118" t="s">
        <v>1951</v>
      </c>
      <c r="N1" s="115" t="s">
        <v>11</v>
      </c>
      <c r="O1" s="115" t="s">
        <v>1952</v>
      </c>
      <c r="P1" s="115" t="s">
        <v>2</v>
      </c>
      <c r="Q1" s="119" t="s">
        <v>1953</v>
      </c>
      <c r="R1" s="115" t="s">
        <v>1954</v>
      </c>
      <c r="S1" s="120" t="s">
        <v>1955</v>
      </c>
      <c r="T1" s="115" t="s">
        <v>1956</v>
      </c>
      <c r="U1" s="121" t="s">
        <v>1957</v>
      </c>
      <c r="V1" s="121" t="s">
        <v>1958</v>
      </c>
      <c r="W1" s="121" t="s">
        <v>1959</v>
      </c>
      <c r="X1" s="121" t="s">
        <v>1960</v>
      </c>
      <c r="Y1" s="121" t="s">
        <v>1961</v>
      </c>
      <c r="Z1" s="121" t="s">
        <v>1962</v>
      </c>
      <c r="AA1" s="121" t="s">
        <v>1963</v>
      </c>
      <c r="AB1" s="121" t="s">
        <v>1964</v>
      </c>
      <c r="AC1" s="121" t="s">
        <v>1965</v>
      </c>
      <c r="AD1" s="121" t="s">
        <v>1966</v>
      </c>
      <c r="AE1" s="115" t="s">
        <v>1967</v>
      </c>
      <c r="AF1" s="122" t="s">
        <v>14</v>
      </c>
      <c r="AG1" s="123" t="s">
        <v>15</v>
      </c>
      <c r="AH1" s="124" t="s">
        <v>16</v>
      </c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</row>
    <row r="2">
      <c r="A2" s="25">
        <f t="shared" ref="A2:A33" si="1">ROW()-1</f>
        <v>1</v>
      </c>
      <c r="B2" s="25" t="s">
        <v>1968</v>
      </c>
      <c r="C2" s="126" t="s">
        <v>1969</v>
      </c>
      <c r="D2" s="25"/>
      <c r="E2" s="25"/>
      <c r="F2" s="25" t="s">
        <v>1970</v>
      </c>
      <c r="G2" s="25" t="s">
        <v>42</v>
      </c>
      <c r="H2" s="25" t="s">
        <v>43</v>
      </c>
      <c r="I2" s="25" t="s">
        <v>33</v>
      </c>
      <c r="J2" s="127">
        <v>43908.0</v>
      </c>
      <c r="K2" s="25">
        <v>90.0</v>
      </c>
      <c r="L2" s="25" t="s">
        <v>1971</v>
      </c>
      <c r="M2" s="128">
        <v>1865.0</v>
      </c>
      <c r="N2" s="25"/>
      <c r="O2" s="25" t="s">
        <v>1324</v>
      </c>
      <c r="P2" s="129" t="s">
        <v>1972</v>
      </c>
      <c r="Q2" s="130"/>
      <c r="R2" s="131"/>
      <c r="S2" s="132">
        <v>5200.0</v>
      </c>
      <c r="T2" s="129" t="s">
        <v>1973</v>
      </c>
      <c r="U2" s="133">
        <v>0.0</v>
      </c>
      <c r="V2" s="133">
        <f t="shared" ref="V2:V11" si="2">IF(U2&lt;&gt;"",K2*U2/100,"")
</f>
        <v>0</v>
      </c>
      <c r="W2" s="133">
        <v>0.0</v>
      </c>
      <c r="X2" s="133">
        <f t="shared" ref="X2:X11" si="3">IF(W2&lt;&gt;"",K2*W2/100,"")
</f>
        <v>0</v>
      </c>
      <c r="Y2" s="133">
        <v>1.8</v>
      </c>
      <c r="Z2" s="133">
        <f t="shared" ref="Z2:Z11" si="4">IF(Y2&lt;&gt;"",K2*Y2/100,"")
</f>
        <v>1.62</v>
      </c>
      <c r="AA2" s="133">
        <v>95.8</v>
      </c>
      <c r="AB2" s="133">
        <f t="shared" ref="AB2:AB11" si="5">IF(AA2&lt;&gt;"",K2*AA2/100,"")
</f>
        <v>86.22</v>
      </c>
      <c r="AC2" s="133">
        <v>2.4</v>
      </c>
      <c r="AD2" s="133">
        <f t="shared" ref="AD2:AD11" si="6">IF(AC2&lt;&gt;"",K2*AC2/100,"")
</f>
        <v>2.16</v>
      </c>
      <c r="AE2" s="129" t="s">
        <v>1974</v>
      </c>
      <c r="AF2" s="25" t="s">
        <v>1975</v>
      </c>
      <c r="AG2" s="46">
        <v>59763.0</v>
      </c>
      <c r="AH2" s="25">
        <v>2020.0</v>
      </c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>
      <c r="A3" s="25">
        <f t="shared" si="1"/>
        <v>2</v>
      </c>
      <c r="B3" s="25" t="s">
        <v>1976</v>
      </c>
      <c r="C3" s="126" t="s">
        <v>1969</v>
      </c>
      <c r="D3" s="32"/>
      <c r="E3" s="25"/>
      <c r="F3" s="25" t="s">
        <v>1977</v>
      </c>
      <c r="G3" s="25" t="s">
        <v>76</v>
      </c>
      <c r="H3" s="25" t="s">
        <v>43</v>
      </c>
      <c r="I3" s="25" t="s">
        <v>1338</v>
      </c>
      <c r="J3" s="127">
        <v>43922.0</v>
      </c>
      <c r="K3" s="25">
        <v>80.0</v>
      </c>
      <c r="L3" s="25" t="s">
        <v>1978</v>
      </c>
      <c r="M3" s="128">
        <v>2007.0</v>
      </c>
      <c r="N3" s="32"/>
      <c r="O3" s="25"/>
      <c r="P3" s="32"/>
      <c r="Q3" s="134"/>
      <c r="R3" s="32"/>
      <c r="S3" s="135"/>
      <c r="T3" s="131"/>
      <c r="U3" s="133">
        <v>0.0</v>
      </c>
      <c r="V3" s="133">
        <f t="shared" si="2"/>
        <v>0</v>
      </c>
      <c r="W3" s="133">
        <v>0.0</v>
      </c>
      <c r="X3" s="133">
        <f t="shared" si="3"/>
        <v>0</v>
      </c>
      <c r="Y3" s="133">
        <v>0.0</v>
      </c>
      <c r="Z3" s="133">
        <f t="shared" si="4"/>
        <v>0</v>
      </c>
      <c r="AA3" s="133">
        <v>100.0</v>
      </c>
      <c r="AB3" s="133">
        <f t="shared" si="5"/>
        <v>80</v>
      </c>
      <c r="AC3" s="133">
        <v>0.0</v>
      </c>
      <c r="AD3" s="133">
        <f t="shared" si="6"/>
        <v>0</v>
      </c>
      <c r="AE3" s="136" t="s">
        <v>1979</v>
      </c>
      <c r="AF3" s="25" t="s">
        <v>1980</v>
      </c>
      <c r="AG3" s="46">
        <v>136424.0</v>
      </c>
      <c r="AH3" s="25">
        <v>2020.0</v>
      </c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</row>
    <row r="4">
      <c r="A4" s="25">
        <f t="shared" si="1"/>
        <v>3</v>
      </c>
      <c r="B4" s="25" t="s">
        <v>1981</v>
      </c>
      <c r="C4" s="126" t="s">
        <v>1969</v>
      </c>
      <c r="D4" s="25"/>
      <c r="E4" s="25"/>
      <c r="F4" s="25" t="s">
        <v>1982</v>
      </c>
      <c r="G4" s="25" t="s">
        <v>42</v>
      </c>
      <c r="H4" s="25" t="s">
        <v>43</v>
      </c>
      <c r="I4" s="25" t="s">
        <v>33</v>
      </c>
      <c r="J4" s="127">
        <v>43929.0</v>
      </c>
      <c r="K4" s="133">
        <v>148.0</v>
      </c>
      <c r="L4" s="133" t="s">
        <v>1971</v>
      </c>
      <c r="M4" s="137">
        <v>1963.0</v>
      </c>
      <c r="N4" s="25" t="s">
        <v>1983</v>
      </c>
      <c r="O4" s="25" t="s">
        <v>1324</v>
      </c>
      <c r="P4" s="129" t="s">
        <v>1984</v>
      </c>
      <c r="Q4" s="130"/>
      <c r="R4" s="131"/>
      <c r="S4" s="132">
        <v>6303.0</v>
      </c>
      <c r="T4" s="129" t="s">
        <v>1985</v>
      </c>
      <c r="U4" s="133">
        <v>1.9</v>
      </c>
      <c r="V4" s="133">
        <f t="shared" si="2"/>
        <v>2.812</v>
      </c>
      <c r="W4" s="133">
        <v>3.1</v>
      </c>
      <c r="X4" s="133">
        <f t="shared" si="3"/>
        <v>4.588</v>
      </c>
      <c r="Y4" s="133">
        <v>6.2</v>
      </c>
      <c r="Z4" s="133">
        <f t="shared" si="4"/>
        <v>9.176</v>
      </c>
      <c r="AA4" s="133">
        <v>85.7</v>
      </c>
      <c r="AB4" s="133">
        <f t="shared" si="5"/>
        <v>126.836</v>
      </c>
      <c r="AC4" s="133">
        <v>3.1</v>
      </c>
      <c r="AD4" s="133">
        <f t="shared" si="6"/>
        <v>4.588</v>
      </c>
      <c r="AE4" s="129" t="s">
        <v>1986</v>
      </c>
      <c r="AF4" s="25" t="s">
        <v>1987</v>
      </c>
      <c r="AG4" s="46">
        <v>100538.0</v>
      </c>
      <c r="AH4" s="25">
        <v>2020.0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</row>
    <row r="5">
      <c r="A5" s="25">
        <f t="shared" si="1"/>
        <v>4</v>
      </c>
      <c r="B5" s="25" t="s">
        <v>1988</v>
      </c>
      <c r="C5" s="126" t="s">
        <v>1969</v>
      </c>
      <c r="D5" s="25"/>
      <c r="E5" s="25"/>
      <c r="F5" s="25" t="s">
        <v>1989</v>
      </c>
      <c r="G5" s="25" t="s">
        <v>115</v>
      </c>
      <c r="H5" s="25" t="s">
        <v>32</v>
      </c>
      <c r="I5" s="25" t="s">
        <v>237</v>
      </c>
      <c r="J5" s="127">
        <v>43932.0</v>
      </c>
      <c r="K5" s="133">
        <v>28.0</v>
      </c>
      <c r="L5" s="133" t="s">
        <v>1978</v>
      </c>
      <c r="M5" s="137"/>
      <c r="N5" s="131"/>
      <c r="O5" s="25"/>
      <c r="P5" s="131"/>
      <c r="Q5" s="130"/>
      <c r="R5" s="131"/>
      <c r="S5" s="135"/>
      <c r="T5" s="131"/>
      <c r="U5" s="133">
        <v>82.0</v>
      </c>
      <c r="V5" s="133">
        <f t="shared" si="2"/>
        <v>22.96</v>
      </c>
      <c r="W5" s="133">
        <v>4.0</v>
      </c>
      <c r="X5" s="133">
        <f t="shared" si="3"/>
        <v>1.12</v>
      </c>
      <c r="Y5" s="133">
        <v>0.0</v>
      </c>
      <c r="Z5" s="133">
        <f t="shared" si="4"/>
        <v>0</v>
      </c>
      <c r="AA5" s="133">
        <v>14.0</v>
      </c>
      <c r="AB5" s="133">
        <f t="shared" si="5"/>
        <v>3.92</v>
      </c>
      <c r="AC5" s="133">
        <v>0.0</v>
      </c>
      <c r="AD5" s="133">
        <f t="shared" si="6"/>
        <v>0</v>
      </c>
      <c r="AE5" s="129" t="s">
        <v>1990</v>
      </c>
      <c r="AF5" s="25" t="s">
        <v>1991</v>
      </c>
      <c r="AG5" s="46">
        <v>72189.0</v>
      </c>
      <c r="AH5" s="25">
        <v>2020.0</v>
      </c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</row>
    <row r="6">
      <c r="A6" s="25">
        <f t="shared" si="1"/>
        <v>5</v>
      </c>
      <c r="B6" s="25" t="s">
        <v>1992</v>
      </c>
      <c r="C6" s="126" t="s">
        <v>1969</v>
      </c>
      <c r="D6" s="25"/>
      <c r="E6" s="25"/>
      <c r="F6" s="25" t="s">
        <v>1993</v>
      </c>
      <c r="G6" s="25" t="s">
        <v>83</v>
      </c>
      <c r="H6" s="25" t="s">
        <v>43</v>
      </c>
      <c r="I6" s="25" t="s">
        <v>33</v>
      </c>
      <c r="J6" s="127">
        <v>43936.0</v>
      </c>
      <c r="K6" s="133">
        <v>258.0</v>
      </c>
      <c r="L6" s="133" t="s">
        <v>1971</v>
      </c>
      <c r="M6" s="137">
        <v>1911.0</v>
      </c>
      <c r="N6" s="25" t="s">
        <v>1994</v>
      </c>
      <c r="O6" s="25" t="s">
        <v>1324</v>
      </c>
      <c r="P6" s="129" t="s">
        <v>1995</v>
      </c>
      <c r="Q6" s="130"/>
      <c r="R6" s="131"/>
      <c r="S6" s="132">
        <v>10590.0</v>
      </c>
      <c r="T6" s="129" t="s">
        <v>1996</v>
      </c>
      <c r="U6" s="133">
        <v>7.1</v>
      </c>
      <c r="V6" s="133">
        <f t="shared" si="2"/>
        <v>18.318</v>
      </c>
      <c r="W6" s="133">
        <v>1.6</v>
      </c>
      <c r="X6" s="133">
        <f t="shared" si="3"/>
        <v>4.128</v>
      </c>
      <c r="Y6" s="133">
        <v>2.6</v>
      </c>
      <c r="Z6" s="133">
        <f t="shared" si="4"/>
        <v>6.708</v>
      </c>
      <c r="AA6" s="133">
        <v>88.3</v>
      </c>
      <c r="AB6" s="133">
        <f t="shared" si="5"/>
        <v>227.814</v>
      </c>
      <c r="AC6" s="133">
        <v>0.4</v>
      </c>
      <c r="AD6" s="133">
        <f t="shared" si="6"/>
        <v>1.032</v>
      </c>
      <c r="AE6" s="129" t="s">
        <v>1997</v>
      </c>
      <c r="AF6" s="25" t="s">
        <v>1998</v>
      </c>
      <c r="AG6" s="46">
        <v>63252.0</v>
      </c>
      <c r="AH6" s="25">
        <v>2020.0</v>
      </c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</row>
    <row r="7">
      <c r="A7" s="25">
        <f t="shared" si="1"/>
        <v>6</v>
      </c>
      <c r="B7" s="25" t="s">
        <v>1999</v>
      </c>
      <c r="C7" s="126" t="s">
        <v>1969</v>
      </c>
      <c r="D7" s="25"/>
      <c r="E7" s="25"/>
      <c r="F7" s="25" t="s">
        <v>2000</v>
      </c>
      <c r="G7" s="25" t="s">
        <v>83</v>
      </c>
      <c r="H7" s="25" t="s">
        <v>43</v>
      </c>
      <c r="I7" s="25" t="s">
        <v>33</v>
      </c>
      <c r="J7" s="127">
        <v>43936.0</v>
      </c>
      <c r="K7" s="133">
        <v>62.0</v>
      </c>
      <c r="L7" s="133" t="s">
        <v>1971</v>
      </c>
      <c r="M7" s="137">
        <v>1994.0</v>
      </c>
      <c r="N7" s="131"/>
      <c r="O7" s="25" t="s">
        <v>1324</v>
      </c>
      <c r="P7" s="129" t="s">
        <v>2001</v>
      </c>
      <c r="Q7" s="138">
        <v>10.0</v>
      </c>
      <c r="R7" s="129" t="s">
        <v>2002</v>
      </c>
      <c r="S7" s="132">
        <v>5825.0</v>
      </c>
      <c r="T7" s="129" t="s">
        <v>2003</v>
      </c>
      <c r="U7" s="133">
        <v>5.3</v>
      </c>
      <c r="V7" s="133">
        <f t="shared" si="2"/>
        <v>3.286</v>
      </c>
      <c r="W7" s="133">
        <v>4.0</v>
      </c>
      <c r="X7" s="133">
        <f t="shared" si="3"/>
        <v>2.48</v>
      </c>
      <c r="Y7" s="133">
        <v>5.3</v>
      </c>
      <c r="Z7" s="133">
        <f t="shared" si="4"/>
        <v>3.286</v>
      </c>
      <c r="AA7" s="133">
        <v>82.7</v>
      </c>
      <c r="AB7" s="133">
        <f t="shared" si="5"/>
        <v>51.274</v>
      </c>
      <c r="AC7" s="133">
        <v>2.7</v>
      </c>
      <c r="AD7" s="133">
        <f t="shared" si="6"/>
        <v>1.674</v>
      </c>
      <c r="AE7" s="129" t="s">
        <v>2004</v>
      </c>
      <c r="AF7" s="25" t="s">
        <v>2005</v>
      </c>
      <c r="AG7" s="46">
        <v>122991.0</v>
      </c>
      <c r="AH7" s="25">
        <v>2020.0</v>
      </c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</row>
    <row r="8">
      <c r="A8" s="25">
        <f t="shared" si="1"/>
        <v>7</v>
      </c>
      <c r="B8" s="25" t="s">
        <v>2006</v>
      </c>
      <c r="C8" s="126" t="s">
        <v>1969</v>
      </c>
      <c r="D8" s="25" t="s">
        <v>2007</v>
      </c>
      <c r="E8" s="25" t="s">
        <v>1324</v>
      </c>
      <c r="F8" s="25" t="s">
        <v>2008</v>
      </c>
      <c r="G8" s="25" t="s">
        <v>100</v>
      </c>
      <c r="H8" s="25" t="s">
        <v>43</v>
      </c>
      <c r="I8" s="25" t="s">
        <v>33</v>
      </c>
      <c r="J8" s="127">
        <v>43938.0</v>
      </c>
      <c r="K8" s="133">
        <v>200.0</v>
      </c>
      <c r="L8" s="133" t="s">
        <v>1971</v>
      </c>
      <c r="M8" s="137">
        <v>1929.0</v>
      </c>
      <c r="N8" s="25" t="s">
        <v>2009</v>
      </c>
      <c r="O8" s="25" t="s">
        <v>1324</v>
      </c>
      <c r="P8" s="129" t="s">
        <v>2010</v>
      </c>
      <c r="Q8" s="130"/>
      <c r="R8" s="131"/>
      <c r="S8" s="132">
        <v>5150.0</v>
      </c>
      <c r="T8" s="129" t="s">
        <v>2011</v>
      </c>
      <c r="U8" s="133">
        <v>1.0</v>
      </c>
      <c r="V8" s="133">
        <f t="shared" si="2"/>
        <v>2</v>
      </c>
      <c r="W8" s="133">
        <v>3.5</v>
      </c>
      <c r="X8" s="133">
        <f t="shared" si="3"/>
        <v>7</v>
      </c>
      <c r="Y8" s="133">
        <v>1.5</v>
      </c>
      <c r="Z8" s="133">
        <f t="shared" si="4"/>
        <v>3</v>
      </c>
      <c r="AA8" s="133">
        <v>90.0</v>
      </c>
      <c r="AB8" s="133">
        <f t="shared" si="5"/>
        <v>180</v>
      </c>
      <c r="AC8" s="133">
        <v>4.0</v>
      </c>
      <c r="AD8" s="133">
        <f t="shared" si="6"/>
        <v>8</v>
      </c>
      <c r="AE8" s="129" t="s">
        <v>2012</v>
      </c>
      <c r="AF8" s="25" t="s">
        <v>2013</v>
      </c>
      <c r="AG8" s="46">
        <v>62205.0</v>
      </c>
      <c r="AH8" s="25">
        <v>2020.0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</row>
    <row r="9">
      <c r="A9" s="25">
        <f t="shared" si="1"/>
        <v>8</v>
      </c>
      <c r="B9" s="25" t="s">
        <v>2014</v>
      </c>
      <c r="C9" s="126" t="s">
        <v>1969</v>
      </c>
      <c r="D9" s="25" t="s">
        <v>1324</v>
      </c>
      <c r="E9" s="25" t="s">
        <v>2007</v>
      </c>
      <c r="F9" s="25" t="s">
        <v>2008</v>
      </c>
      <c r="G9" s="25" t="s">
        <v>100</v>
      </c>
      <c r="H9" s="25" t="s">
        <v>43</v>
      </c>
      <c r="I9" s="25" t="s">
        <v>33</v>
      </c>
      <c r="J9" s="127">
        <v>43938.0</v>
      </c>
      <c r="K9" s="133">
        <v>140.0</v>
      </c>
      <c r="L9" s="133" t="s">
        <v>1971</v>
      </c>
      <c r="M9" s="137">
        <v>1948.0</v>
      </c>
      <c r="N9" s="25" t="s">
        <v>2015</v>
      </c>
      <c r="O9" s="25" t="s">
        <v>1324</v>
      </c>
      <c r="P9" s="129" t="s">
        <v>2010</v>
      </c>
      <c r="Q9" s="130"/>
      <c r="R9" s="131"/>
      <c r="S9" s="132">
        <v>9100.0</v>
      </c>
      <c r="T9" s="129" t="s">
        <v>2016</v>
      </c>
      <c r="U9" s="133">
        <v>3.0</v>
      </c>
      <c r="V9" s="133">
        <f t="shared" si="2"/>
        <v>4.2</v>
      </c>
      <c r="W9" s="133">
        <v>6.0</v>
      </c>
      <c r="X9" s="133">
        <f t="shared" si="3"/>
        <v>8.4</v>
      </c>
      <c r="Y9" s="133">
        <v>6.0</v>
      </c>
      <c r="Z9" s="133">
        <f t="shared" si="4"/>
        <v>8.4</v>
      </c>
      <c r="AA9" s="133">
        <v>81.0</v>
      </c>
      <c r="AB9" s="133">
        <f t="shared" si="5"/>
        <v>113.4</v>
      </c>
      <c r="AC9" s="133">
        <v>2.0</v>
      </c>
      <c r="AD9" s="133">
        <f t="shared" si="6"/>
        <v>2.8</v>
      </c>
      <c r="AE9" s="129" t="s">
        <v>2017</v>
      </c>
      <c r="AF9" s="25" t="s">
        <v>2013</v>
      </c>
      <c r="AG9" s="46">
        <v>62205.0</v>
      </c>
      <c r="AH9" s="25">
        <v>2020.0</v>
      </c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</row>
    <row r="10">
      <c r="A10" s="25">
        <f t="shared" si="1"/>
        <v>9</v>
      </c>
      <c r="B10" s="25" t="s">
        <v>2018</v>
      </c>
      <c r="C10" s="126" t="s">
        <v>1969</v>
      </c>
      <c r="D10" s="25"/>
      <c r="E10" s="25"/>
      <c r="F10" s="25" t="s">
        <v>2019</v>
      </c>
      <c r="G10" s="25" t="s">
        <v>100</v>
      </c>
      <c r="H10" s="25" t="s">
        <v>43</v>
      </c>
      <c r="I10" s="25" t="s">
        <v>33</v>
      </c>
      <c r="J10" s="127">
        <v>43938.0</v>
      </c>
      <c r="K10" s="133">
        <v>108.0</v>
      </c>
      <c r="L10" s="133" t="s">
        <v>1971</v>
      </c>
      <c r="M10" s="137"/>
      <c r="N10" s="131"/>
      <c r="O10" s="25" t="s">
        <v>1324</v>
      </c>
      <c r="P10" s="129" t="s">
        <v>2010</v>
      </c>
      <c r="Q10" s="130"/>
      <c r="R10" s="131"/>
      <c r="S10" s="132">
        <v>4525.0</v>
      </c>
      <c r="T10" s="129" t="s">
        <v>2020</v>
      </c>
      <c r="U10" s="133">
        <v>9.1</v>
      </c>
      <c r="V10" s="133">
        <f t="shared" si="2"/>
        <v>9.828</v>
      </c>
      <c r="W10" s="133">
        <v>3.3</v>
      </c>
      <c r="X10" s="133">
        <f t="shared" si="3"/>
        <v>3.564</v>
      </c>
      <c r="Y10" s="133">
        <v>2.6</v>
      </c>
      <c r="Z10" s="133">
        <f t="shared" si="4"/>
        <v>2.808</v>
      </c>
      <c r="AA10" s="133">
        <v>78.6</v>
      </c>
      <c r="AB10" s="133">
        <f t="shared" si="5"/>
        <v>84.888</v>
      </c>
      <c r="AC10" s="133">
        <v>6.5</v>
      </c>
      <c r="AD10" s="133">
        <f t="shared" si="6"/>
        <v>7.02</v>
      </c>
      <c r="AE10" s="129" t="s">
        <v>2021</v>
      </c>
      <c r="AF10" s="25" t="s">
        <v>2022</v>
      </c>
      <c r="AG10" s="46">
        <v>97207.0</v>
      </c>
      <c r="AH10" s="25">
        <v>2020.0</v>
      </c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</row>
    <row r="11">
      <c r="A11" s="25">
        <f t="shared" si="1"/>
        <v>10</v>
      </c>
      <c r="B11" s="25" t="s">
        <v>2023</v>
      </c>
      <c r="C11" s="126" t="s">
        <v>1969</v>
      </c>
      <c r="D11" s="25"/>
      <c r="E11" s="25"/>
      <c r="F11" s="25" t="s">
        <v>99</v>
      </c>
      <c r="G11" s="25" t="s">
        <v>100</v>
      </c>
      <c r="H11" s="25" t="s">
        <v>43</v>
      </c>
      <c r="I11" s="25" t="s">
        <v>33</v>
      </c>
      <c r="J11" s="127">
        <v>43938.0</v>
      </c>
      <c r="K11" s="133">
        <v>94.0</v>
      </c>
      <c r="L11" s="133" t="s">
        <v>1971</v>
      </c>
      <c r="M11" s="137">
        <v>1922.0</v>
      </c>
      <c r="N11" s="131"/>
      <c r="O11" s="25" t="s">
        <v>1324</v>
      </c>
      <c r="P11" s="129" t="s">
        <v>2024</v>
      </c>
      <c r="Q11" s="138">
        <v>10.0</v>
      </c>
      <c r="R11" s="129" t="s">
        <v>2025</v>
      </c>
      <c r="S11" s="132">
        <v>5375.0</v>
      </c>
      <c r="T11" s="129" t="s">
        <v>2026</v>
      </c>
      <c r="U11" s="133">
        <v>5.5</v>
      </c>
      <c r="V11" s="133">
        <f t="shared" si="2"/>
        <v>5.17</v>
      </c>
      <c r="W11" s="133">
        <v>5.5</v>
      </c>
      <c r="X11" s="133">
        <f t="shared" si="3"/>
        <v>5.17</v>
      </c>
      <c r="Y11" s="133">
        <v>1.7</v>
      </c>
      <c r="Z11" s="133">
        <f t="shared" si="4"/>
        <v>1.598</v>
      </c>
      <c r="AA11" s="133">
        <v>85.7</v>
      </c>
      <c r="AB11" s="133">
        <f t="shared" si="5"/>
        <v>80.558</v>
      </c>
      <c r="AC11" s="133">
        <v>1.7</v>
      </c>
      <c r="AD11" s="133">
        <f t="shared" si="6"/>
        <v>1.598</v>
      </c>
      <c r="AE11" s="129" t="s">
        <v>2027</v>
      </c>
      <c r="AF11" s="25" t="s">
        <v>2028</v>
      </c>
      <c r="AG11" s="46">
        <v>119663.0</v>
      </c>
      <c r="AH11" s="25">
        <v>2020.0</v>
      </c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</row>
    <row r="12">
      <c r="A12" s="25">
        <f t="shared" si="1"/>
        <v>11</v>
      </c>
      <c r="B12" s="25" t="s">
        <v>2029</v>
      </c>
      <c r="C12" s="126"/>
      <c r="D12" s="25"/>
      <c r="E12" s="25"/>
      <c r="F12" s="25" t="s">
        <v>99</v>
      </c>
      <c r="G12" s="25" t="s">
        <v>100</v>
      </c>
      <c r="H12" s="25" t="s">
        <v>43</v>
      </c>
      <c r="I12" s="25" t="s">
        <v>33</v>
      </c>
      <c r="J12" s="127">
        <v>43938.0</v>
      </c>
      <c r="K12" s="133">
        <v>206.0</v>
      </c>
      <c r="L12" s="133" t="s">
        <v>1971</v>
      </c>
      <c r="M12" s="137"/>
      <c r="N12" s="139"/>
      <c r="O12" s="25"/>
      <c r="P12" s="45" t="s">
        <v>2010</v>
      </c>
      <c r="Q12" s="130"/>
      <c r="R12" s="131"/>
      <c r="S12" s="132"/>
      <c r="T12" s="129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29"/>
      <c r="AF12" s="25" t="s">
        <v>103</v>
      </c>
      <c r="AG12" s="46">
        <v>119663.0</v>
      </c>
      <c r="AH12" s="25">
        <v>2020.0</v>
      </c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</row>
    <row r="13">
      <c r="A13" s="25">
        <f t="shared" si="1"/>
        <v>12</v>
      </c>
      <c r="B13" s="25" t="s">
        <v>2030</v>
      </c>
      <c r="C13" s="126" t="s">
        <v>1969</v>
      </c>
      <c r="D13" s="25"/>
      <c r="E13" s="25"/>
      <c r="F13" s="25" t="s">
        <v>2031</v>
      </c>
      <c r="G13" s="25" t="s">
        <v>684</v>
      </c>
      <c r="H13" s="25" t="s">
        <v>32</v>
      </c>
      <c r="I13" s="25" t="s">
        <v>33</v>
      </c>
      <c r="J13" s="127">
        <v>43938.0</v>
      </c>
      <c r="K13" s="133">
        <v>135.0</v>
      </c>
      <c r="L13" s="133" t="s">
        <v>1971</v>
      </c>
      <c r="M13" s="137">
        <v>1907.0</v>
      </c>
      <c r="N13" s="131"/>
      <c r="O13" s="25" t="s">
        <v>1324</v>
      </c>
      <c r="P13" s="129" t="s">
        <v>2032</v>
      </c>
      <c r="Q13" s="130"/>
      <c r="R13" s="131"/>
      <c r="S13" s="132">
        <v>4700.0</v>
      </c>
      <c r="T13" s="129" t="s">
        <v>2033</v>
      </c>
      <c r="U13" s="133">
        <v>12.2</v>
      </c>
      <c r="V13" s="133">
        <f t="shared" ref="V13:V152" si="7">IF(U13&lt;&gt;"",K13*U13/100,"")
</f>
        <v>16.47</v>
      </c>
      <c r="W13" s="133">
        <v>26.8</v>
      </c>
      <c r="X13" s="133">
        <f t="shared" ref="X13:X152" si="8">IF(W13&lt;&gt;"",K13*W13/100,"")
</f>
        <v>36.18</v>
      </c>
      <c r="Y13" s="133">
        <v>10.6</v>
      </c>
      <c r="Z13" s="133">
        <f t="shared" ref="Z13:Z152" si="9">IF(Y13&lt;&gt;"",K13*Y13/100,"")
</f>
        <v>14.31</v>
      </c>
      <c r="AA13" s="133">
        <v>35.8</v>
      </c>
      <c r="AB13" s="133">
        <f t="shared" ref="AB13:AB152" si="10">IF(AA13&lt;&gt;"",K13*AA13/100,"")
</f>
        <v>48.33</v>
      </c>
      <c r="AC13" s="133">
        <v>14.6</v>
      </c>
      <c r="AD13" s="133">
        <f t="shared" ref="AD13:AD152" si="11">IF(AC13&lt;&gt;"",K13*AC13/100,"")
</f>
        <v>19.71</v>
      </c>
      <c r="AE13" s="129" t="s">
        <v>2034</v>
      </c>
      <c r="AF13" s="25" t="s">
        <v>2035</v>
      </c>
      <c r="AG13" s="46">
        <v>48140.0</v>
      </c>
      <c r="AH13" s="25">
        <v>2020.0</v>
      </c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</row>
    <row r="14">
      <c r="A14" s="25">
        <f t="shared" si="1"/>
        <v>13</v>
      </c>
      <c r="B14" s="25" t="s">
        <v>2036</v>
      </c>
      <c r="C14" s="126" t="s">
        <v>1969</v>
      </c>
      <c r="D14" s="126" t="s">
        <v>1436</v>
      </c>
      <c r="E14" s="25"/>
      <c r="F14" s="25" t="s">
        <v>2037</v>
      </c>
      <c r="G14" s="25" t="s">
        <v>76</v>
      </c>
      <c r="H14" s="25" t="s">
        <v>43</v>
      </c>
      <c r="I14" s="25" t="s">
        <v>23</v>
      </c>
      <c r="J14" s="127">
        <v>43942.0</v>
      </c>
      <c r="K14" s="133">
        <v>175.0</v>
      </c>
      <c r="L14" s="133" t="s">
        <v>1971</v>
      </c>
      <c r="M14" s="137">
        <v>1934.0</v>
      </c>
      <c r="N14" s="47" t="s">
        <v>2038</v>
      </c>
      <c r="O14" s="25" t="s">
        <v>1324</v>
      </c>
      <c r="P14" s="129" t="s">
        <v>2039</v>
      </c>
      <c r="Q14" s="138">
        <v>42.0</v>
      </c>
      <c r="R14" s="129" t="s">
        <v>2040</v>
      </c>
      <c r="S14" s="132">
        <v>29213.0</v>
      </c>
      <c r="T14" s="129" t="s">
        <v>2041</v>
      </c>
      <c r="U14" s="133">
        <v>5.8</v>
      </c>
      <c r="V14" s="133">
        <f t="shared" si="7"/>
        <v>10.15</v>
      </c>
      <c r="W14" s="133">
        <v>8.1</v>
      </c>
      <c r="X14" s="133">
        <f t="shared" si="8"/>
        <v>14.175</v>
      </c>
      <c r="Y14" s="133">
        <v>2.3</v>
      </c>
      <c r="Z14" s="133">
        <f t="shared" si="9"/>
        <v>4.025</v>
      </c>
      <c r="AA14" s="133">
        <v>72.7</v>
      </c>
      <c r="AB14" s="133">
        <f t="shared" si="10"/>
        <v>127.225</v>
      </c>
      <c r="AC14" s="133">
        <v>11.1</v>
      </c>
      <c r="AD14" s="133">
        <f t="shared" si="11"/>
        <v>19.425</v>
      </c>
      <c r="AE14" s="129" t="s">
        <v>2042</v>
      </c>
      <c r="AF14" s="25" t="s">
        <v>2043</v>
      </c>
      <c r="AG14" s="46">
        <v>140931.0</v>
      </c>
      <c r="AH14" s="25">
        <v>2020.0</v>
      </c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</row>
    <row r="15">
      <c r="A15" s="25">
        <f t="shared" si="1"/>
        <v>14</v>
      </c>
      <c r="B15" s="25" t="s">
        <v>2044</v>
      </c>
      <c r="C15" s="126" t="s">
        <v>1969</v>
      </c>
      <c r="D15" s="25"/>
      <c r="E15" s="25"/>
      <c r="F15" s="25" t="s">
        <v>2045</v>
      </c>
      <c r="G15" s="25" t="s">
        <v>122</v>
      </c>
      <c r="H15" s="25" t="s">
        <v>32</v>
      </c>
      <c r="I15" s="25" t="s">
        <v>33</v>
      </c>
      <c r="J15" s="127">
        <v>43943.0</v>
      </c>
      <c r="K15" s="133">
        <v>85.0</v>
      </c>
      <c r="L15" s="133" t="s">
        <v>2046</v>
      </c>
      <c r="M15" s="137">
        <v>1954.0</v>
      </c>
      <c r="N15" s="131"/>
      <c r="O15" s="25" t="s">
        <v>1324</v>
      </c>
      <c r="P15" s="129" t="s">
        <v>2047</v>
      </c>
      <c r="Q15" s="138">
        <v>100.0</v>
      </c>
      <c r="R15" s="25" t="s">
        <v>2046</v>
      </c>
      <c r="S15" s="132">
        <v>3750.0</v>
      </c>
      <c r="T15" s="129" t="s">
        <v>2048</v>
      </c>
      <c r="U15" s="133">
        <v>11.1</v>
      </c>
      <c r="V15" s="133">
        <f t="shared" si="7"/>
        <v>9.435</v>
      </c>
      <c r="W15" s="133">
        <v>83.6</v>
      </c>
      <c r="X15" s="133">
        <f t="shared" si="8"/>
        <v>71.06</v>
      </c>
      <c r="Y15" s="133">
        <v>2.3</v>
      </c>
      <c r="Z15" s="133">
        <f t="shared" si="9"/>
        <v>1.955</v>
      </c>
      <c r="AA15" s="133">
        <v>2.3</v>
      </c>
      <c r="AB15" s="133">
        <f t="shared" si="10"/>
        <v>1.955</v>
      </c>
      <c r="AC15" s="133">
        <v>0.6</v>
      </c>
      <c r="AD15" s="133">
        <f t="shared" si="11"/>
        <v>0.51</v>
      </c>
      <c r="AE15" s="129" t="s">
        <v>2049</v>
      </c>
      <c r="AF15" s="25" t="s">
        <v>2050</v>
      </c>
      <c r="AG15" s="46">
        <v>42928.0</v>
      </c>
      <c r="AH15" s="25">
        <v>2020.0</v>
      </c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</row>
    <row r="16">
      <c r="A16" s="25">
        <f t="shared" si="1"/>
        <v>15</v>
      </c>
      <c r="B16" s="25" t="s">
        <v>2051</v>
      </c>
      <c r="C16" s="126" t="s">
        <v>1969</v>
      </c>
      <c r="D16" s="25"/>
      <c r="E16" s="25"/>
      <c r="F16" s="25" t="s">
        <v>2045</v>
      </c>
      <c r="G16" s="25" t="s">
        <v>122</v>
      </c>
      <c r="H16" s="25" t="s">
        <v>32</v>
      </c>
      <c r="I16" s="25" t="s">
        <v>33</v>
      </c>
      <c r="J16" s="127">
        <v>43943.0</v>
      </c>
      <c r="K16" s="133">
        <v>131.0</v>
      </c>
      <c r="L16" s="133" t="s">
        <v>1978</v>
      </c>
      <c r="M16" s="137">
        <v>1942.0</v>
      </c>
      <c r="N16" s="131"/>
      <c r="O16" s="25" t="s">
        <v>1324</v>
      </c>
      <c r="P16" s="129" t="s">
        <v>2052</v>
      </c>
      <c r="Q16" s="130"/>
      <c r="R16" s="131"/>
      <c r="S16" s="132">
        <v>3750.0</v>
      </c>
      <c r="T16" s="129" t="s">
        <v>2053</v>
      </c>
      <c r="U16" s="133">
        <v>2.0</v>
      </c>
      <c r="V16" s="133">
        <f t="shared" si="7"/>
        <v>2.62</v>
      </c>
      <c r="W16" s="133">
        <v>87.0</v>
      </c>
      <c r="X16" s="133">
        <f t="shared" si="8"/>
        <v>113.97</v>
      </c>
      <c r="Y16" s="133">
        <v>7.0</v>
      </c>
      <c r="Z16" s="133">
        <f t="shared" si="9"/>
        <v>9.17</v>
      </c>
      <c r="AA16" s="133">
        <v>6.0</v>
      </c>
      <c r="AB16" s="133">
        <f t="shared" si="10"/>
        <v>7.86</v>
      </c>
      <c r="AC16" s="133">
        <v>1.0</v>
      </c>
      <c r="AD16" s="133">
        <f t="shared" si="11"/>
        <v>1.31</v>
      </c>
      <c r="AE16" s="129" t="s">
        <v>2054</v>
      </c>
      <c r="AF16" s="25" t="s">
        <v>2055</v>
      </c>
      <c r="AG16" s="46">
        <v>57544.0</v>
      </c>
      <c r="AH16" s="25">
        <v>2020.0</v>
      </c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>
      <c r="A17" s="25">
        <f t="shared" si="1"/>
        <v>16</v>
      </c>
      <c r="B17" s="25" t="s">
        <v>2056</v>
      </c>
      <c r="C17" s="126" t="s">
        <v>1969</v>
      </c>
      <c r="D17" s="25"/>
      <c r="E17" s="25"/>
      <c r="F17" s="25" t="s">
        <v>2045</v>
      </c>
      <c r="G17" s="25" t="s">
        <v>122</v>
      </c>
      <c r="H17" s="25" t="s">
        <v>32</v>
      </c>
      <c r="I17" s="25" t="s">
        <v>33</v>
      </c>
      <c r="J17" s="127">
        <v>43943.0</v>
      </c>
      <c r="K17" s="133">
        <v>162.0</v>
      </c>
      <c r="L17" s="133" t="s">
        <v>1978</v>
      </c>
      <c r="M17" s="137"/>
      <c r="N17" s="131"/>
      <c r="O17" s="25" t="s">
        <v>1324</v>
      </c>
      <c r="P17" s="129" t="s">
        <v>2052</v>
      </c>
      <c r="Q17" s="130"/>
      <c r="R17" s="131"/>
      <c r="S17" s="132">
        <v>7000.0</v>
      </c>
      <c r="T17" s="129" t="s">
        <v>2057</v>
      </c>
      <c r="U17" s="133">
        <v>94.1</v>
      </c>
      <c r="V17" s="133">
        <f t="shared" si="7"/>
        <v>152.442</v>
      </c>
      <c r="W17" s="133">
        <v>2.9</v>
      </c>
      <c r="X17" s="133">
        <f t="shared" si="8"/>
        <v>4.698</v>
      </c>
      <c r="Y17" s="133">
        <v>2.9</v>
      </c>
      <c r="Z17" s="133">
        <f t="shared" si="9"/>
        <v>4.698</v>
      </c>
      <c r="AA17" s="133">
        <v>0.0</v>
      </c>
      <c r="AB17" s="133">
        <f t="shared" si="10"/>
        <v>0</v>
      </c>
      <c r="AC17" s="133">
        <v>0.0</v>
      </c>
      <c r="AD17" s="133">
        <f t="shared" si="11"/>
        <v>0</v>
      </c>
      <c r="AE17" s="129" t="s">
        <v>2058</v>
      </c>
      <c r="AF17" s="25" t="s">
        <v>2059</v>
      </c>
      <c r="AG17" s="46">
        <v>31472.0</v>
      </c>
      <c r="AH17" s="25">
        <v>2020.0</v>
      </c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</row>
    <row r="18">
      <c r="A18" s="25">
        <f t="shared" si="1"/>
        <v>17</v>
      </c>
      <c r="B18" s="25" t="s">
        <v>2060</v>
      </c>
      <c r="C18" s="126" t="s">
        <v>1969</v>
      </c>
      <c r="D18" s="25"/>
      <c r="E18" s="25"/>
      <c r="F18" s="25" t="s">
        <v>2061</v>
      </c>
      <c r="G18" s="25" t="s">
        <v>122</v>
      </c>
      <c r="H18" s="25" t="s">
        <v>32</v>
      </c>
      <c r="I18" s="25" t="s">
        <v>33</v>
      </c>
      <c r="J18" s="127">
        <v>43943.0</v>
      </c>
      <c r="K18" s="133">
        <v>60.0</v>
      </c>
      <c r="L18" s="133" t="s">
        <v>1978</v>
      </c>
      <c r="M18" s="137">
        <v>1947.0</v>
      </c>
      <c r="N18" s="131"/>
      <c r="O18" s="25" t="s">
        <v>1324</v>
      </c>
      <c r="P18" s="129" t="s">
        <v>2052</v>
      </c>
      <c r="Q18" s="138">
        <v>95.0</v>
      </c>
      <c r="R18" s="129" t="s">
        <v>2062</v>
      </c>
      <c r="S18" s="132">
        <v>3750.0</v>
      </c>
      <c r="T18" s="129" t="s">
        <v>2063</v>
      </c>
      <c r="U18" s="133">
        <v>2.2</v>
      </c>
      <c r="V18" s="133">
        <f t="shared" si="7"/>
        <v>1.32</v>
      </c>
      <c r="W18" s="133">
        <v>91.1</v>
      </c>
      <c r="X18" s="133">
        <f t="shared" si="8"/>
        <v>54.66</v>
      </c>
      <c r="Y18" s="133">
        <v>0.0</v>
      </c>
      <c r="Z18" s="133">
        <f t="shared" si="9"/>
        <v>0</v>
      </c>
      <c r="AA18" s="133">
        <v>2.2</v>
      </c>
      <c r="AB18" s="133">
        <f t="shared" si="10"/>
        <v>1.32</v>
      </c>
      <c r="AC18" s="133">
        <v>4.4</v>
      </c>
      <c r="AD18" s="133">
        <f t="shared" si="11"/>
        <v>2.64</v>
      </c>
      <c r="AE18" s="129" t="s">
        <v>2064</v>
      </c>
      <c r="AF18" s="25" t="s">
        <v>2065</v>
      </c>
      <c r="AG18" s="46">
        <v>36832.0</v>
      </c>
      <c r="AH18" s="25">
        <v>2020.0</v>
      </c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</row>
    <row r="19">
      <c r="A19" s="25">
        <f t="shared" si="1"/>
        <v>18</v>
      </c>
      <c r="B19" s="25" t="s">
        <v>2066</v>
      </c>
      <c r="C19" s="126" t="s">
        <v>1969</v>
      </c>
      <c r="D19" s="25"/>
      <c r="E19" s="25"/>
      <c r="F19" s="25" t="s">
        <v>2031</v>
      </c>
      <c r="G19" s="25" t="s">
        <v>684</v>
      </c>
      <c r="H19" s="25" t="s">
        <v>32</v>
      </c>
      <c r="I19" s="25" t="s">
        <v>68</v>
      </c>
      <c r="J19" s="127">
        <v>43943.0</v>
      </c>
      <c r="K19" s="25">
        <v>38.0</v>
      </c>
      <c r="L19" s="25" t="s">
        <v>1971</v>
      </c>
      <c r="M19" s="128">
        <v>1976.0</v>
      </c>
      <c r="N19" s="25" t="s">
        <v>2067</v>
      </c>
      <c r="O19" s="25" t="s">
        <v>1324</v>
      </c>
      <c r="P19" s="129" t="s">
        <v>2068</v>
      </c>
      <c r="Q19" s="130"/>
      <c r="R19" s="131"/>
      <c r="S19" s="132">
        <v>6875.0</v>
      </c>
      <c r="T19" s="21" t="s">
        <v>2069</v>
      </c>
      <c r="U19" s="133">
        <v>30.0</v>
      </c>
      <c r="V19" s="133">
        <f t="shared" si="7"/>
        <v>11.4</v>
      </c>
      <c r="W19" s="133">
        <v>7.0</v>
      </c>
      <c r="X19" s="133">
        <f t="shared" si="8"/>
        <v>2.66</v>
      </c>
      <c r="Y19" s="133">
        <v>5.0</v>
      </c>
      <c r="Z19" s="133">
        <f t="shared" si="9"/>
        <v>1.9</v>
      </c>
      <c r="AA19" s="133">
        <v>50.0</v>
      </c>
      <c r="AB19" s="133">
        <f t="shared" si="10"/>
        <v>19</v>
      </c>
      <c r="AC19" s="133">
        <v>5.0</v>
      </c>
      <c r="AD19" s="133">
        <f t="shared" si="11"/>
        <v>1.9</v>
      </c>
      <c r="AE19" s="129" t="s">
        <v>2070</v>
      </c>
      <c r="AF19" s="25" t="s">
        <v>2071</v>
      </c>
      <c r="AG19" s="46">
        <v>97726.0</v>
      </c>
      <c r="AH19" s="25">
        <v>2020.0</v>
      </c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</row>
    <row r="20">
      <c r="A20" s="25">
        <f t="shared" si="1"/>
        <v>19</v>
      </c>
      <c r="B20" s="25" t="s">
        <v>2072</v>
      </c>
      <c r="C20" s="126" t="s">
        <v>1969</v>
      </c>
      <c r="D20" s="25"/>
      <c r="E20" s="25"/>
      <c r="F20" s="25" t="s">
        <v>2073</v>
      </c>
      <c r="G20" s="25" t="s">
        <v>91</v>
      </c>
      <c r="H20" s="25" t="s">
        <v>43</v>
      </c>
      <c r="I20" s="25" t="s">
        <v>33</v>
      </c>
      <c r="J20" s="127">
        <v>43949.0</v>
      </c>
      <c r="K20" s="133">
        <v>62.0</v>
      </c>
      <c r="L20" s="133" t="s">
        <v>1971</v>
      </c>
      <c r="M20" s="137"/>
      <c r="N20" s="25"/>
      <c r="O20" s="25" t="s">
        <v>1324</v>
      </c>
      <c r="P20" s="129" t="s">
        <v>2074</v>
      </c>
      <c r="Q20" s="130"/>
      <c r="R20" s="131"/>
      <c r="S20" s="135"/>
      <c r="T20" s="131"/>
      <c r="U20" s="133">
        <v>0.0</v>
      </c>
      <c r="V20" s="133">
        <f t="shared" si="7"/>
        <v>0</v>
      </c>
      <c r="W20" s="133">
        <v>9.8</v>
      </c>
      <c r="X20" s="133">
        <f t="shared" si="8"/>
        <v>6.076</v>
      </c>
      <c r="Y20" s="133">
        <v>2.2</v>
      </c>
      <c r="Z20" s="133">
        <f t="shared" si="9"/>
        <v>1.364</v>
      </c>
      <c r="AA20" s="133">
        <v>88.0</v>
      </c>
      <c r="AB20" s="133">
        <f t="shared" si="10"/>
        <v>54.56</v>
      </c>
      <c r="AC20" s="133">
        <v>0.0</v>
      </c>
      <c r="AD20" s="133">
        <f t="shared" si="11"/>
        <v>0</v>
      </c>
      <c r="AE20" s="129" t="s">
        <v>2075</v>
      </c>
      <c r="AF20" s="25" t="s">
        <v>2076</v>
      </c>
      <c r="AG20" s="46">
        <v>58004.0</v>
      </c>
      <c r="AH20" s="25">
        <v>2020.0</v>
      </c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</row>
    <row r="21">
      <c r="A21" s="25">
        <f t="shared" si="1"/>
        <v>20</v>
      </c>
      <c r="B21" s="25" t="s">
        <v>2077</v>
      </c>
      <c r="C21" s="126" t="s">
        <v>1969</v>
      </c>
      <c r="D21" s="25"/>
      <c r="E21" s="25"/>
      <c r="F21" s="25" t="s">
        <v>753</v>
      </c>
      <c r="G21" s="25" t="s">
        <v>91</v>
      </c>
      <c r="H21" s="25" t="s">
        <v>43</v>
      </c>
      <c r="I21" s="25" t="s">
        <v>33</v>
      </c>
      <c r="J21" s="127">
        <v>43949.0</v>
      </c>
      <c r="K21" s="133">
        <v>350.0</v>
      </c>
      <c r="L21" s="133" t="s">
        <v>1971</v>
      </c>
      <c r="M21" s="137">
        <v>1859.0</v>
      </c>
      <c r="N21" s="25"/>
      <c r="O21" s="25" t="s">
        <v>1324</v>
      </c>
      <c r="P21" s="129" t="s">
        <v>2078</v>
      </c>
      <c r="Q21" s="130"/>
      <c r="R21" s="131"/>
      <c r="S21" s="132">
        <v>4310.0</v>
      </c>
      <c r="T21" s="129" t="s">
        <v>2079</v>
      </c>
      <c r="U21" s="133">
        <v>3.0</v>
      </c>
      <c r="V21" s="133">
        <f t="shared" si="7"/>
        <v>10.5</v>
      </c>
      <c r="W21" s="133">
        <v>8.0</v>
      </c>
      <c r="X21" s="133">
        <f t="shared" si="8"/>
        <v>28</v>
      </c>
      <c r="Y21" s="133">
        <v>3.0</v>
      </c>
      <c r="Z21" s="133">
        <f t="shared" si="9"/>
        <v>10.5</v>
      </c>
      <c r="AA21" s="133">
        <v>83.0</v>
      </c>
      <c r="AB21" s="133">
        <f t="shared" si="10"/>
        <v>290.5</v>
      </c>
      <c r="AC21" s="133">
        <v>1.0</v>
      </c>
      <c r="AD21" s="133">
        <f t="shared" si="11"/>
        <v>3.5</v>
      </c>
      <c r="AE21" s="129" t="s">
        <v>2080</v>
      </c>
      <c r="AF21" s="25" t="s">
        <v>2081</v>
      </c>
      <c r="AG21" s="46">
        <v>56110.0</v>
      </c>
      <c r="AH21" s="25">
        <v>2020.0</v>
      </c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</row>
    <row r="22">
      <c r="A22" s="25">
        <f t="shared" si="1"/>
        <v>21</v>
      </c>
      <c r="B22" s="25" t="s">
        <v>2082</v>
      </c>
      <c r="C22" s="126" t="s">
        <v>1969</v>
      </c>
      <c r="D22" s="25"/>
      <c r="E22" s="25"/>
      <c r="F22" s="25" t="s">
        <v>2083</v>
      </c>
      <c r="G22" s="25" t="s">
        <v>21</v>
      </c>
      <c r="H22" s="25" t="s">
        <v>22</v>
      </c>
      <c r="I22" s="25" t="s">
        <v>33</v>
      </c>
      <c r="J22" s="127">
        <v>43949.0</v>
      </c>
      <c r="K22" s="25">
        <v>76.0</v>
      </c>
      <c r="L22" s="25" t="s">
        <v>1971</v>
      </c>
      <c r="M22" s="128">
        <v>1912.0</v>
      </c>
      <c r="N22" s="131"/>
      <c r="O22" s="25" t="s">
        <v>1324</v>
      </c>
      <c r="P22" s="129" t="s">
        <v>2084</v>
      </c>
      <c r="Q22" s="130"/>
      <c r="R22" s="140"/>
      <c r="S22" s="135"/>
      <c r="T22" s="140"/>
      <c r="U22" s="133">
        <v>0.0</v>
      </c>
      <c r="V22" s="133">
        <f t="shared" si="7"/>
        <v>0</v>
      </c>
      <c r="W22" s="133">
        <v>55.1</v>
      </c>
      <c r="X22" s="133">
        <f t="shared" si="8"/>
        <v>41.876</v>
      </c>
      <c r="Y22" s="133">
        <v>6.1</v>
      </c>
      <c r="Z22" s="133">
        <f t="shared" si="9"/>
        <v>4.636</v>
      </c>
      <c r="AA22" s="133">
        <v>24.5</v>
      </c>
      <c r="AB22" s="133">
        <f t="shared" si="10"/>
        <v>18.62</v>
      </c>
      <c r="AC22" s="133">
        <v>14.3</v>
      </c>
      <c r="AD22" s="133">
        <f t="shared" si="11"/>
        <v>10.868</v>
      </c>
      <c r="AE22" s="129" t="s">
        <v>2085</v>
      </c>
      <c r="AF22" s="25" t="s">
        <v>2086</v>
      </c>
      <c r="AG22" s="46">
        <v>82719.0</v>
      </c>
      <c r="AH22" s="25">
        <v>2020.0</v>
      </c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</row>
    <row r="23">
      <c r="A23" s="25">
        <f t="shared" si="1"/>
        <v>22</v>
      </c>
      <c r="B23" s="25" t="s">
        <v>2087</v>
      </c>
      <c r="C23" s="25" t="s">
        <v>1969</v>
      </c>
      <c r="D23" s="25" t="s">
        <v>1436</v>
      </c>
      <c r="E23" s="25"/>
      <c r="F23" s="25" t="s">
        <v>2088</v>
      </c>
      <c r="G23" s="25" t="s">
        <v>1127</v>
      </c>
      <c r="H23" s="25" t="s">
        <v>32</v>
      </c>
      <c r="I23" s="25" t="s">
        <v>33</v>
      </c>
      <c r="J23" s="127">
        <v>43951.0</v>
      </c>
      <c r="K23" s="133">
        <v>210.0</v>
      </c>
      <c r="L23" s="133" t="s">
        <v>1971</v>
      </c>
      <c r="M23" s="137">
        <v>2011.0</v>
      </c>
      <c r="N23" s="131"/>
      <c r="O23" s="25" t="s">
        <v>1324</v>
      </c>
      <c r="P23" s="129" t="s">
        <v>2089</v>
      </c>
      <c r="Q23" s="138">
        <v>90.0</v>
      </c>
      <c r="R23" s="129" t="s">
        <v>2090</v>
      </c>
      <c r="S23" s="132">
        <v>6470.0</v>
      </c>
      <c r="T23" s="129" t="s">
        <v>2090</v>
      </c>
      <c r="U23" s="133">
        <v>4.3</v>
      </c>
      <c r="V23" s="133">
        <f t="shared" si="7"/>
        <v>9.03</v>
      </c>
      <c r="W23" s="133">
        <v>10.4</v>
      </c>
      <c r="X23" s="133">
        <f t="shared" si="8"/>
        <v>21.84</v>
      </c>
      <c r="Y23" s="133">
        <v>0.8</v>
      </c>
      <c r="Z23" s="133">
        <f t="shared" si="9"/>
        <v>1.68</v>
      </c>
      <c r="AA23" s="133">
        <v>83.8</v>
      </c>
      <c r="AB23" s="133">
        <f t="shared" si="10"/>
        <v>175.98</v>
      </c>
      <c r="AC23" s="133">
        <v>0.8</v>
      </c>
      <c r="AD23" s="133">
        <f t="shared" si="11"/>
        <v>1.68</v>
      </c>
      <c r="AE23" s="129" t="s">
        <v>2091</v>
      </c>
      <c r="AF23" s="25" t="s">
        <v>2092</v>
      </c>
      <c r="AG23" s="46">
        <v>61762.0</v>
      </c>
      <c r="AH23" s="25">
        <v>2020.0</v>
      </c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</row>
    <row r="24">
      <c r="A24" s="25">
        <f t="shared" si="1"/>
        <v>23</v>
      </c>
      <c r="B24" s="25" t="s">
        <v>2093</v>
      </c>
      <c r="C24" s="126" t="s">
        <v>1969</v>
      </c>
      <c r="D24" s="25"/>
      <c r="E24" s="25"/>
      <c r="F24" s="25" t="s">
        <v>2094</v>
      </c>
      <c r="G24" s="25" t="s">
        <v>76</v>
      </c>
      <c r="H24" s="25" t="s">
        <v>43</v>
      </c>
      <c r="I24" s="25" t="s">
        <v>33</v>
      </c>
      <c r="J24" s="127">
        <v>43951.0</v>
      </c>
      <c r="K24" s="133">
        <v>132.0</v>
      </c>
      <c r="L24" s="133" t="s">
        <v>1971</v>
      </c>
      <c r="M24" s="137">
        <v>1994.0</v>
      </c>
      <c r="N24" s="131"/>
      <c r="O24" s="25" t="s">
        <v>1324</v>
      </c>
      <c r="P24" s="129" t="s">
        <v>2095</v>
      </c>
      <c r="Q24" s="138">
        <v>32.0</v>
      </c>
      <c r="R24" s="129" t="s">
        <v>2096</v>
      </c>
      <c r="S24" s="132">
        <v>6600.0</v>
      </c>
      <c r="T24" s="129" t="s">
        <v>2097</v>
      </c>
      <c r="U24" s="133">
        <v>8.3</v>
      </c>
      <c r="V24" s="133">
        <f t="shared" si="7"/>
        <v>10.956</v>
      </c>
      <c r="W24" s="133">
        <v>0.9</v>
      </c>
      <c r="X24" s="133">
        <f t="shared" si="8"/>
        <v>1.188</v>
      </c>
      <c r="Y24" s="133">
        <v>1.8</v>
      </c>
      <c r="Z24" s="133">
        <f t="shared" si="9"/>
        <v>2.376</v>
      </c>
      <c r="AA24" s="133">
        <v>88.9</v>
      </c>
      <c r="AB24" s="133">
        <f t="shared" si="10"/>
        <v>117.348</v>
      </c>
      <c r="AC24" s="133">
        <v>0.0</v>
      </c>
      <c r="AD24" s="133">
        <f t="shared" si="11"/>
        <v>0</v>
      </c>
      <c r="AE24" s="129" t="s">
        <v>2096</v>
      </c>
      <c r="AF24" s="25" t="s">
        <v>2098</v>
      </c>
      <c r="AG24" s="46">
        <v>150106.0</v>
      </c>
      <c r="AH24" s="25">
        <v>2020.0</v>
      </c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</row>
    <row r="25">
      <c r="A25" s="25">
        <f t="shared" si="1"/>
        <v>24</v>
      </c>
      <c r="B25" s="25" t="s">
        <v>2099</v>
      </c>
      <c r="C25" s="126" t="s">
        <v>1969</v>
      </c>
      <c r="D25" s="25"/>
      <c r="E25" s="25"/>
      <c r="F25" s="25" t="s">
        <v>2100</v>
      </c>
      <c r="G25" s="25" t="s">
        <v>21</v>
      </c>
      <c r="H25" s="25" t="s">
        <v>22</v>
      </c>
      <c r="I25" s="25" t="s">
        <v>1939</v>
      </c>
      <c r="J25" s="127">
        <v>43951.0</v>
      </c>
      <c r="K25" s="25">
        <v>106.0</v>
      </c>
      <c r="L25" s="25" t="s">
        <v>1971</v>
      </c>
      <c r="M25" s="128">
        <v>1982.0</v>
      </c>
      <c r="N25" s="25" t="s">
        <v>2101</v>
      </c>
      <c r="O25" s="25" t="s">
        <v>1324</v>
      </c>
      <c r="P25" s="129" t="s">
        <v>2102</v>
      </c>
      <c r="Q25" s="138">
        <v>35.0</v>
      </c>
      <c r="R25" s="129" t="s">
        <v>2103</v>
      </c>
      <c r="S25" s="132">
        <v>13613.0</v>
      </c>
      <c r="T25" s="129" t="s">
        <v>2104</v>
      </c>
      <c r="U25" s="133">
        <v>6.6</v>
      </c>
      <c r="V25" s="133">
        <f t="shared" si="7"/>
        <v>6.996</v>
      </c>
      <c r="W25" s="133">
        <v>14.9</v>
      </c>
      <c r="X25" s="133">
        <f t="shared" si="8"/>
        <v>15.794</v>
      </c>
      <c r="Y25" s="133">
        <v>14.9</v>
      </c>
      <c r="Z25" s="133">
        <f t="shared" si="9"/>
        <v>15.794</v>
      </c>
      <c r="AA25" s="133">
        <v>49.4</v>
      </c>
      <c r="AB25" s="133">
        <f t="shared" si="10"/>
        <v>52.364</v>
      </c>
      <c r="AC25" s="133">
        <v>14.3</v>
      </c>
      <c r="AD25" s="133">
        <f t="shared" si="11"/>
        <v>15.158</v>
      </c>
      <c r="AE25" s="129" t="s">
        <v>2105</v>
      </c>
      <c r="AF25" s="25" t="s">
        <v>2106</v>
      </c>
      <c r="AG25" s="46">
        <v>133266.0</v>
      </c>
      <c r="AH25" s="25">
        <v>2020.0</v>
      </c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>
      <c r="A26" s="25">
        <f t="shared" si="1"/>
        <v>25</v>
      </c>
      <c r="B26" s="25" t="s">
        <v>2107</v>
      </c>
      <c r="C26" s="126" t="s">
        <v>1969</v>
      </c>
      <c r="D26" s="25"/>
      <c r="E26" s="25"/>
      <c r="F26" s="25" t="s">
        <v>2108</v>
      </c>
      <c r="G26" s="25" t="s">
        <v>42</v>
      </c>
      <c r="H26" s="25" t="s">
        <v>43</v>
      </c>
      <c r="I26" s="25" t="s">
        <v>33</v>
      </c>
      <c r="J26" s="127">
        <v>43955.0</v>
      </c>
      <c r="K26" s="133">
        <v>66.0</v>
      </c>
      <c r="L26" s="133" t="s">
        <v>1971</v>
      </c>
      <c r="M26" s="137">
        <v>1953.0</v>
      </c>
      <c r="N26" s="129"/>
      <c r="O26" s="25" t="s">
        <v>1324</v>
      </c>
      <c r="P26" s="129" t="s">
        <v>2109</v>
      </c>
      <c r="Q26" s="130"/>
      <c r="R26" s="140"/>
      <c r="S26" s="132">
        <v>6500.0</v>
      </c>
      <c r="T26" s="129" t="s">
        <v>2110</v>
      </c>
      <c r="U26" s="133">
        <v>1.9</v>
      </c>
      <c r="V26" s="133">
        <f t="shared" si="7"/>
        <v>1.254</v>
      </c>
      <c r="W26" s="133">
        <v>7.7</v>
      </c>
      <c r="X26" s="133">
        <f t="shared" si="8"/>
        <v>5.082</v>
      </c>
      <c r="Y26" s="133">
        <v>1.9</v>
      </c>
      <c r="Z26" s="133">
        <f t="shared" si="9"/>
        <v>1.254</v>
      </c>
      <c r="AA26" s="133">
        <v>74.0</v>
      </c>
      <c r="AB26" s="133">
        <f t="shared" si="10"/>
        <v>48.84</v>
      </c>
      <c r="AC26" s="133">
        <v>14.4</v>
      </c>
      <c r="AD26" s="133">
        <f t="shared" si="11"/>
        <v>9.504</v>
      </c>
      <c r="AE26" s="129" t="s">
        <v>2111</v>
      </c>
      <c r="AF26" s="25" t="s">
        <v>2112</v>
      </c>
      <c r="AG26" s="46">
        <v>154705.0</v>
      </c>
      <c r="AH26" s="25">
        <v>2020.0</v>
      </c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>
      <c r="A27" s="25">
        <f t="shared" si="1"/>
        <v>26</v>
      </c>
      <c r="B27" s="25" t="s">
        <v>2113</v>
      </c>
      <c r="C27" s="126" t="s">
        <v>1969</v>
      </c>
      <c r="D27" s="25"/>
      <c r="E27" s="25"/>
      <c r="F27" s="25" t="s">
        <v>300</v>
      </c>
      <c r="G27" s="25" t="s">
        <v>133</v>
      </c>
      <c r="H27" s="25" t="s">
        <v>32</v>
      </c>
      <c r="I27" s="25" t="s">
        <v>33</v>
      </c>
      <c r="J27" s="127">
        <v>43956.0</v>
      </c>
      <c r="K27" s="133">
        <v>273.0</v>
      </c>
      <c r="L27" s="133" t="s">
        <v>1978</v>
      </c>
      <c r="M27" s="137">
        <v>1847.0</v>
      </c>
      <c r="N27" s="131"/>
      <c r="O27" s="25" t="s">
        <v>1324</v>
      </c>
      <c r="P27" s="129" t="s">
        <v>2114</v>
      </c>
      <c r="Q27" s="138">
        <v>90.0</v>
      </c>
      <c r="R27" s="129" t="s">
        <v>2114</v>
      </c>
      <c r="S27" s="132">
        <v>15070.0</v>
      </c>
      <c r="T27" s="129" t="s">
        <v>2115</v>
      </c>
      <c r="U27" s="133">
        <v>37.5</v>
      </c>
      <c r="V27" s="133">
        <f t="shared" si="7"/>
        <v>102.375</v>
      </c>
      <c r="W27" s="133">
        <v>4.8</v>
      </c>
      <c r="X27" s="133">
        <f t="shared" si="8"/>
        <v>13.104</v>
      </c>
      <c r="Y27" s="133">
        <v>4.4</v>
      </c>
      <c r="Z27" s="133">
        <f t="shared" si="9"/>
        <v>12.012</v>
      </c>
      <c r="AA27" s="133">
        <v>46.4</v>
      </c>
      <c r="AB27" s="133">
        <f t="shared" si="10"/>
        <v>126.672</v>
      </c>
      <c r="AC27" s="133">
        <v>6.4</v>
      </c>
      <c r="AD27" s="133">
        <f t="shared" si="11"/>
        <v>17.472</v>
      </c>
      <c r="AE27" s="129" t="s">
        <v>2116</v>
      </c>
      <c r="AF27" s="25" t="s">
        <v>2117</v>
      </c>
      <c r="AG27" s="46">
        <v>32323.0</v>
      </c>
      <c r="AH27" s="25">
        <v>2020.0</v>
      </c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>
      <c r="A28" s="25">
        <f t="shared" si="1"/>
        <v>27</v>
      </c>
      <c r="B28" s="25" t="s">
        <v>2118</v>
      </c>
      <c r="C28" s="126" t="s">
        <v>1969</v>
      </c>
      <c r="D28" s="25"/>
      <c r="E28" s="25"/>
      <c r="F28" s="25" t="s">
        <v>2119</v>
      </c>
      <c r="G28" s="25" t="s">
        <v>83</v>
      </c>
      <c r="H28" s="25" t="s">
        <v>43</v>
      </c>
      <c r="I28" s="25" t="s">
        <v>33</v>
      </c>
      <c r="J28" s="127">
        <v>43956.0</v>
      </c>
      <c r="K28" s="25">
        <v>132.0</v>
      </c>
      <c r="L28" s="25" t="s">
        <v>1971</v>
      </c>
      <c r="M28" s="128">
        <v>1910.0</v>
      </c>
      <c r="N28" s="73"/>
      <c r="O28" s="25" t="s">
        <v>1324</v>
      </c>
      <c r="P28" s="129" t="s">
        <v>2120</v>
      </c>
      <c r="Q28" s="130"/>
      <c r="R28" s="131"/>
      <c r="S28" s="132">
        <v>7550.0</v>
      </c>
      <c r="T28" s="129" t="s">
        <v>2121</v>
      </c>
      <c r="U28" s="133">
        <v>1.8</v>
      </c>
      <c r="V28" s="133">
        <f t="shared" si="7"/>
        <v>2.376</v>
      </c>
      <c r="W28" s="133">
        <v>7.0</v>
      </c>
      <c r="X28" s="133">
        <f t="shared" si="8"/>
        <v>9.24</v>
      </c>
      <c r="Y28" s="133">
        <v>5.3</v>
      </c>
      <c r="Z28" s="133">
        <f t="shared" si="9"/>
        <v>6.996</v>
      </c>
      <c r="AA28" s="133">
        <v>80.7</v>
      </c>
      <c r="AB28" s="133">
        <f t="shared" si="10"/>
        <v>106.524</v>
      </c>
      <c r="AC28" s="133">
        <v>5.3</v>
      </c>
      <c r="AD28" s="133">
        <f t="shared" si="11"/>
        <v>6.996</v>
      </c>
      <c r="AE28" s="129" t="s">
        <v>2122</v>
      </c>
      <c r="AF28" s="25" t="s">
        <v>2123</v>
      </c>
      <c r="AG28" s="46">
        <v>77992.0</v>
      </c>
      <c r="AH28" s="25">
        <v>2020.0</v>
      </c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</row>
    <row r="29">
      <c r="A29" s="25">
        <f t="shared" si="1"/>
        <v>28</v>
      </c>
      <c r="B29" s="25" t="s">
        <v>2124</v>
      </c>
      <c r="C29" s="126" t="s">
        <v>1969</v>
      </c>
      <c r="D29" s="25"/>
      <c r="E29" s="25"/>
      <c r="F29" s="25" t="s">
        <v>2125</v>
      </c>
      <c r="G29" s="25" t="s">
        <v>1162</v>
      </c>
      <c r="H29" s="25" t="s">
        <v>67</v>
      </c>
      <c r="I29" s="25" t="s">
        <v>33</v>
      </c>
      <c r="J29" s="127">
        <v>43957.0</v>
      </c>
      <c r="K29" s="25">
        <v>36.0</v>
      </c>
      <c r="L29" s="25" t="s">
        <v>1971</v>
      </c>
      <c r="M29" s="128">
        <v>1910.0</v>
      </c>
      <c r="N29" s="131"/>
      <c r="O29" s="25" t="s">
        <v>1324</v>
      </c>
      <c r="P29" s="129" t="s">
        <v>2126</v>
      </c>
      <c r="Q29" s="130"/>
      <c r="R29" s="131"/>
      <c r="S29" s="132">
        <v>3850.0</v>
      </c>
      <c r="T29" s="129" t="s">
        <v>2127</v>
      </c>
      <c r="U29" s="133">
        <v>2.0</v>
      </c>
      <c r="V29" s="133">
        <f t="shared" si="7"/>
        <v>0.72</v>
      </c>
      <c r="W29" s="133">
        <v>26.7</v>
      </c>
      <c r="X29" s="133">
        <f t="shared" si="8"/>
        <v>9.612</v>
      </c>
      <c r="Y29" s="133">
        <v>0.0</v>
      </c>
      <c r="Z29" s="133">
        <f t="shared" si="9"/>
        <v>0</v>
      </c>
      <c r="AA29" s="133">
        <v>56.4</v>
      </c>
      <c r="AB29" s="133">
        <f t="shared" si="10"/>
        <v>20.304</v>
      </c>
      <c r="AC29" s="133">
        <v>14.9</v>
      </c>
      <c r="AD29" s="133">
        <f t="shared" si="11"/>
        <v>5.364</v>
      </c>
      <c r="AE29" s="129" t="s">
        <v>2128</v>
      </c>
      <c r="AF29" s="25" t="s">
        <v>2129</v>
      </c>
      <c r="AG29" s="46">
        <v>62299.0</v>
      </c>
      <c r="AH29" s="25">
        <v>2020.0</v>
      </c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</row>
    <row r="30">
      <c r="A30" s="25">
        <f t="shared" si="1"/>
        <v>29</v>
      </c>
      <c r="B30" s="25" t="s">
        <v>2130</v>
      </c>
      <c r="C30" s="126" t="s">
        <v>1969</v>
      </c>
      <c r="D30" s="25"/>
      <c r="E30" s="25"/>
      <c r="F30" s="25" t="s">
        <v>1370</v>
      </c>
      <c r="G30" s="25" t="s">
        <v>1306</v>
      </c>
      <c r="H30" s="25" t="s">
        <v>32</v>
      </c>
      <c r="I30" s="25" t="s">
        <v>33</v>
      </c>
      <c r="J30" s="127">
        <v>43957.0</v>
      </c>
      <c r="K30" s="25">
        <v>100.0</v>
      </c>
      <c r="L30" s="25" t="s">
        <v>1971</v>
      </c>
      <c r="M30" s="128">
        <v>1958.0</v>
      </c>
      <c r="N30" s="131"/>
      <c r="O30" s="25" t="s">
        <v>1324</v>
      </c>
      <c r="P30" s="129" t="s">
        <v>2131</v>
      </c>
      <c r="Q30" s="138">
        <v>0.8</v>
      </c>
      <c r="R30" s="25" t="s">
        <v>2046</v>
      </c>
      <c r="S30" s="132">
        <v>4520.0</v>
      </c>
      <c r="T30" s="25" t="s">
        <v>2046</v>
      </c>
      <c r="U30" s="133">
        <v>84.3</v>
      </c>
      <c r="V30" s="133">
        <f t="shared" si="7"/>
        <v>84.3</v>
      </c>
      <c r="W30" s="133">
        <v>7.8</v>
      </c>
      <c r="X30" s="133">
        <f t="shared" si="8"/>
        <v>7.8</v>
      </c>
      <c r="Y30" s="133">
        <v>0.0</v>
      </c>
      <c r="Z30" s="133">
        <f t="shared" si="9"/>
        <v>0</v>
      </c>
      <c r="AA30" s="133">
        <v>3.3</v>
      </c>
      <c r="AB30" s="133">
        <f t="shared" si="10"/>
        <v>3.3</v>
      </c>
      <c r="AC30" s="133">
        <v>4.6</v>
      </c>
      <c r="AD30" s="133">
        <f t="shared" si="11"/>
        <v>4.6</v>
      </c>
      <c r="AE30" s="129" t="s">
        <v>2132</v>
      </c>
      <c r="AF30" s="25" t="s">
        <v>2133</v>
      </c>
      <c r="AG30" s="46">
        <v>22304.0</v>
      </c>
      <c r="AH30" s="25">
        <v>2020.0</v>
      </c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</row>
    <row r="31">
      <c r="A31" s="25">
        <f t="shared" si="1"/>
        <v>30</v>
      </c>
      <c r="B31" s="25" t="s">
        <v>2134</v>
      </c>
      <c r="C31" s="126" t="s">
        <v>1969</v>
      </c>
      <c r="D31" s="25"/>
      <c r="E31" s="25"/>
      <c r="F31" s="25" t="s">
        <v>2135</v>
      </c>
      <c r="G31" s="25" t="s">
        <v>91</v>
      </c>
      <c r="H31" s="25" t="s">
        <v>43</v>
      </c>
      <c r="I31" s="25" t="s">
        <v>33</v>
      </c>
      <c r="J31" s="127">
        <v>43957.0</v>
      </c>
      <c r="K31" s="25">
        <v>70.0</v>
      </c>
      <c r="L31" s="25" t="s">
        <v>1971</v>
      </c>
      <c r="M31" s="128">
        <v>1961.0</v>
      </c>
      <c r="N31" s="131"/>
      <c r="O31" s="25" t="s">
        <v>1324</v>
      </c>
      <c r="P31" s="129" t="s">
        <v>2136</v>
      </c>
      <c r="Q31" s="138">
        <v>28.0</v>
      </c>
      <c r="R31" s="129" t="s">
        <v>2137</v>
      </c>
      <c r="S31" s="132">
        <v>4400.0</v>
      </c>
      <c r="T31" s="129" t="s">
        <v>2138</v>
      </c>
      <c r="U31" s="133">
        <v>22.1</v>
      </c>
      <c r="V31" s="133">
        <f t="shared" si="7"/>
        <v>15.47</v>
      </c>
      <c r="W31" s="133">
        <v>7.7</v>
      </c>
      <c r="X31" s="133">
        <f t="shared" si="8"/>
        <v>5.39</v>
      </c>
      <c r="Y31" s="133">
        <v>2.9</v>
      </c>
      <c r="Z31" s="133">
        <f t="shared" si="9"/>
        <v>2.03</v>
      </c>
      <c r="AA31" s="133">
        <v>54.8</v>
      </c>
      <c r="AB31" s="133">
        <f t="shared" si="10"/>
        <v>38.36</v>
      </c>
      <c r="AC31" s="133">
        <v>12.5</v>
      </c>
      <c r="AD31" s="133">
        <f t="shared" si="11"/>
        <v>8.75</v>
      </c>
      <c r="AE31" s="129" t="s">
        <v>2137</v>
      </c>
      <c r="AF31" s="25" t="s">
        <v>2139</v>
      </c>
      <c r="AG31" s="46">
        <v>75058.0</v>
      </c>
      <c r="AH31" s="25">
        <v>2020.0</v>
      </c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</row>
    <row r="32">
      <c r="A32" s="25">
        <f t="shared" si="1"/>
        <v>31</v>
      </c>
      <c r="B32" s="25" t="s">
        <v>2140</v>
      </c>
      <c r="C32" s="126" t="s">
        <v>1969</v>
      </c>
      <c r="D32" s="25"/>
      <c r="E32" s="25"/>
      <c r="F32" s="25" t="s">
        <v>2141</v>
      </c>
      <c r="G32" s="25" t="s">
        <v>100</v>
      </c>
      <c r="H32" s="25" t="s">
        <v>43</v>
      </c>
      <c r="I32" s="25" t="s">
        <v>33</v>
      </c>
      <c r="J32" s="127">
        <v>43958.0</v>
      </c>
      <c r="K32" s="133">
        <v>279.0</v>
      </c>
      <c r="L32" s="133" t="s">
        <v>1978</v>
      </c>
      <c r="M32" s="137">
        <v>2007.0</v>
      </c>
      <c r="N32" s="131"/>
      <c r="O32" s="25" t="s">
        <v>1324</v>
      </c>
      <c r="P32" s="129" t="s">
        <v>2142</v>
      </c>
      <c r="Q32" s="138">
        <v>85.0</v>
      </c>
      <c r="R32" s="129" t="s">
        <v>2143</v>
      </c>
      <c r="S32" s="132">
        <v>2975.0</v>
      </c>
      <c r="T32" s="129" t="s">
        <v>2144</v>
      </c>
      <c r="U32" s="133">
        <v>56.1</v>
      </c>
      <c r="V32" s="133">
        <f t="shared" si="7"/>
        <v>156.519</v>
      </c>
      <c r="W32" s="133">
        <v>30.6</v>
      </c>
      <c r="X32" s="133">
        <f t="shared" si="8"/>
        <v>85.374</v>
      </c>
      <c r="Y32" s="133">
        <v>1.1</v>
      </c>
      <c r="Z32" s="133">
        <f t="shared" si="9"/>
        <v>3.069</v>
      </c>
      <c r="AA32" s="133">
        <v>1.1</v>
      </c>
      <c r="AB32" s="133">
        <f t="shared" si="10"/>
        <v>3.069</v>
      </c>
      <c r="AC32" s="133">
        <v>11.1</v>
      </c>
      <c r="AD32" s="133">
        <f t="shared" si="11"/>
        <v>30.969</v>
      </c>
      <c r="AE32" s="129" t="s">
        <v>2145</v>
      </c>
      <c r="AF32" s="25" t="s">
        <v>2146</v>
      </c>
      <c r="AG32" s="46">
        <v>47451.0</v>
      </c>
      <c r="AH32" s="25">
        <v>2020.0</v>
      </c>
      <c r="AI32" s="27"/>
      <c r="AJ32" s="27"/>
      <c r="AK32" s="27"/>
      <c r="AL32" s="27"/>
      <c r="AM32" s="27"/>
      <c r="AN32" s="27"/>
      <c r="AO32" s="141"/>
      <c r="AP32" s="142"/>
      <c r="AQ32" s="143"/>
      <c r="AR32" s="143"/>
      <c r="AS32" s="143"/>
    </row>
    <row r="33">
      <c r="A33" s="25">
        <f t="shared" si="1"/>
        <v>32</v>
      </c>
      <c r="B33" s="25" t="s">
        <v>2147</v>
      </c>
      <c r="C33" s="126" t="s">
        <v>1969</v>
      </c>
      <c r="D33" s="25"/>
      <c r="E33" s="25"/>
      <c r="F33" s="25" t="s">
        <v>2148</v>
      </c>
      <c r="G33" s="25" t="s">
        <v>286</v>
      </c>
      <c r="H33" s="25" t="s">
        <v>32</v>
      </c>
      <c r="I33" s="25" t="s">
        <v>33</v>
      </c>
      <c r="J33" s="127">
        <v>43958.0</v>
      </c>
      <c r="K33" s="133">
        <v>80.0</v>
      </c>
      <c r="L33" s="133" t="s">
        <v>1971</v>
      </c>
      <c r="M33" s="137">
        <v>2000.0</v>
      </c>
      <c r="N33" s="25"/>
      <c r="O33" s="25" t="s">
        <v>1324</v>
      </c>
      <c r="P33" s="129" t="s">
        <v>2149</v>
      </c>
      <c r="Q33" s="130"/>
      <c r="R33" s="131"/>
      <c r="S33" s="132">
        <v>6800.0</v>
      </c>
      <c r="T33" s="129" t="s">
        <v>2150</v>
      </c>
      <c r="U33" s="133">
        <v>2.4</v>
      </c>
      <c r="V33" s="133">
        <f t="shared" si="7"/>
        <v>1.92</v>
      </c>
      <c r="W33" s="133">
        <v>8.9</v>
      </c>
      <c r="X33" s="133">
        <f t="shared" si="8"/>
        <v>7.12</v>
      </c>
      <c r="Y33" s="133">
        <v>3.0</v>
      </c>
      <c r="Z33" s="133">
        <f t="shared" si="9"/>
        <v>2.4</v>
      </c>
      <c r="AA33" s="133">
        <v>77.5</v>
      </c>
      <c r="AB33" s="133">
        <f t="shared" si="10"/>
        <v>62</v>
      </c>
      <c r="AC33" s="133">
        <v>8.3</v>
      </c>
      <c r="AD33" s="133">
        <f t="shared" si="11"/>
        <v>6.64</v>
      </c>
      <c r="AE33" s="129" t="s">
        <v>2151</v>
      </c>
      <c r="AF33" s="25" t="s">
        <v>2152</v>
      </c>
      <c r="AG33" s="46">
        <v>148888.0</v>
      </c>
      <c r="AH33" s="25">
        <v>2020.0</v>
      </c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</row>
    <row r="34">
      <c r="A34" s="131">
        <f t="shared" ref="A34:A41" si="12">row()-1</f>
        <v>33</v>
      </c>
      <c r="B34" s="131" t="s">
        <v>2153</v>
      </c>
      <c r="C34" s="25"/>
      <c r="D34" s="25" t="s">
        <v>1436</v>
      </c>
      <c r="E34" s="27"/>
      <c r="F34" s="131" t="s">
        <v>2154</v>
      </c>
      <c r="G34" s="25" t="s">
        <v>100</v>
      </c>
      <c r="H34" s="25" t="s">
        <v>43</v>
      </c>
      <c r="I34" s="25" t="s">
        <v>33</v>
      </c>
      <c r="J34" s="127">
        <v>43958.0</v>
      </c>
      <c r="K34" s="144">
        <v>208.0</v>
      </c>
      <c r="L34" s="133" t="s">
        <v>1978</v>
      </c>
      <c r="M34" s="145">
        <v>1957.0</v>
      </c>
      <c r="N34" s="131" t="s">
        <v>2155</v>
      </c>
      <c r="O34" s="25" t="s">
        <v>1324</v>
      </c>
      <c r="P34" s="146" t="s">
        <v>2156</v>
      </c>
      <c r="Q34" s="130"/>
      <c r="R34" s="146" t="s">
        <v>2157</v>
      </c>
      <c r="S34" s="135" t="s">
        <v>2158</v>
      </c>
      <c r="T34" s="146" t="s">
        <v>2159</v>
      </c>
      <c r="U34" s="144">
        <v>5.0</v>
      </c>
      <c r="V34" s="133">
        <f t="shared" si="7"/>
        <v>10.4</v>
      </c>
      <c r="W34" s="144">
        <v>2.0</v>
      </c>
      <c r="X34" s="133">
        <f t="shared" si="8"/>
        <v>4.16</v>
      </c>
      <c r="Y34" s="144">
        <v>17.0</v>
      </c>
      <c r="Z34" s="133">
        <f t="shared" si="9"/>
        <v>35.36</v>
      </c>
      <c r="AA34" s="144">
        <v>58.0</v>
      </c>
      <c r="AB34" s="133">
        <f t="shared" si="10"/>
        <v>120.64</v>
      </c>
      <c r="AC34" s="144">
        <v>18.0</v>
      </c>
      <c r="AD34" s="133">
        <f t="shared" si="11"/>
        <v>37.44</v>
      </c>
      <c r="AE34" s="146" t="s">
        <v>2160</v>
      </c>
      <c r="AF34" s="31" t="s">
        <v>2161</v>
      </c>
      <c r="AG34" s="147">
        <v>150258.0</v>
      </c>
      <c r="AH34" s="25">
        <v>2020.0</v>
      </c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</row>
    <row r="35">
      <c r="A35" s="131">
        <f t="shared" si="12"/>
        <v>34</v>
      </c>
      <c r="B35" s="131" t="s">
        <v>2162</v>
      </c>
      <c r="C35" s="25"/>
      <c r="D35" s="25" t="s">
        <v>1436</v>
      </c>
      <c r="E35" s="27"/>
      <c r="F35" s="131" t="s">
        <v>2163</v>
      </c>
      <c r="G35" s="25" t="s">
        <v>100</v>
      </c>
      <c r="H35" s="25" t="s">
        <v>43</v>
      </c>
      <c r="I35" s="25" t="s">
        <v>33</v>
      </c>
      <c r="J35" s="127">
        <v>43958.0</v>
      </c>
      <c r="K35" s="144">
        <v>233.0</v>
      </c>
      <c r="L35" s="133" t="s">
        <v>1978</v>
      </c>
      <c r="M35" s="145">
        <v>1950.0</v>
      </c>
      <c r="N35" s="131" t="s">
        <v>2164</v>
      </c>
      <c r="O35" s="25" t="s">
        <v>1324</v>
      </c>
      <c r="P35" s="146" t="s">
        <v>2165</v>
      </c>
      <c r="Q35" s="130"/>
      <c r="R35" s="131"/>
      <c r="S35" s="135">
        <v>4275.0</v>
      </c>
      <c r="T35" s="146" t="s">
        <v>2166</v>
      </c>
      <c r="U35" s="144">
        <v>9.0</v>
      </c>
      <c r="V35" s="133">
        <f t="shared" si="7"/>
        <v>20.97</v>
      </c>
      <c r="W35" s="144">
        <v>28.0</v>
      </c>
      <c r="X35" s="133">
        <f t="shared" si="8"/>
        <v>65.24</v>
      </c>
      <c r="Y35" s="144">
        <v>6.0</v>
      </c>
      <c r="Z35" s="133">
        <f t="shared" si="9"/>
        <v>13.98</v>
      </c>
      <c r="AA35" s="144">
        <v>45.0</v>
      </c>
      <c r="AB35" s="133">
        <f t="shared" si="10"/>
        <v>104.85</v>
      </c>
      <c r="AC35" s="144">
        <v>13.0</v>
      </c>
      <c r="AD35" s="133">
        <f t="shared" si="11"/>
        <v>30.29</v>
      </c>
      <c r="AE35" s="146" t="s">
        <v>2167</v>
      </c>
      <c r="AF35" s="31" t="s">
        <v>2168</v>
      </c>
      <c r="AG35" s="147">
        <v>123052.0</v>
      </c>
      <c r="AH35" s="25">
        <v>2020.0</v>
      </c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</row>
    <row r="36">
      <c r="A36" s="131">
        <f t="shared" si="12"/>
        <v>35</v>
      </c>
      <c r="B36" s="131" t="s">
        <v>2169</v>
      </c>
      <c r="C36" s="25"/>
      <c r="D36" s="25" t="s">
        <v>1436</v>
      </c>
      <c r="E36" s="27"/>
      <c r="F36" s="131" t="s">
        <v>2170</v>
      </c>
      <c r="G36" s="25" t="s">
        <v>100</v>
      </c>
      <c r="H36" s="25" t="s">
        <v>43</v>
      </c>
      <c r="I36" s="25" t="s">
        <v>33</v>
      </c>
      <c r="J36" s="127">
        <v>43958.0</v>
      </c>
      <c r="K36" s="144">
        <v>111.0</v>
      </c>
      <c r="L36" s="133" t="s">
        <v>1971</v>
      </c>
      <c r="M36" s="145">
        <v>1991.0</v>
      </c>
      <c r="N36" s="131" t="s">
        <v>2171</v>
      </c>
      <c r="O36" s="25" t="s">
        <v>1324</v>
      </c>
      <c r="P36" s="146" t="s">
        <v>2172</v>
      </c>
      <c r="Q36" s="130"/>
      <c r="R36" s="131"/>
      <c r="S36" s="135" t="s">
        <v>2173</v>
      </c>
      <c r="T36" s="146" t="s">
        <v>2174</v>
      </c>
      <c r="U36" s="144">
        <v>1.0</v>
      </c>
      <c r="V36" s="133">
        <f t="shared" si="7"/>
        <v>1.11</v>
      </c>
      <c r="W36" s="144">
        <v>4.0</v>
      </c>
      <c r="X36" s="133">
        <f t="shared" si="8"/>
        <v>4.44</v>
      </c>
      <c r="Y36" s="144">
        <v>4.0</v>
      </c>
      <c r="Z36" s="133">
        <f t="shared" si="9"/>
        <v>4.44</v>
      </c>
      <c r="AA36" s="144">
        <v>91.0</v>
      </c>
      <c r="AB36" s="133">
        <f t="shared" si="10"/>
        <v>101.01</v>
      </c>
      <c r="AC36" s="144">
        <v>1.0</v>
      </c>
      <c r="AD36" s="133">
        <f t="shared" si="11"/>
        <v>1.11</v>
      </c>
      <c r="AE36" s="146" t="s">
        <v>2175</v>
      </c>
      <c r="AF36" s="31" t="s">
        <v>2176</v>
      </c>
      <c r="AG36" s="147">
        <v>128948.0</v>
      </c>
      <c r="AH36" s="25">
        <v>2020.0</v>
      </c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</row>
    <row r="37">
      <c r="A37" s="131">
        <f t="shared" si="12"/>
        <v>36</v>
      </c>
      <c r="B37" s="131" t="s">
        <v>2177</v>
      </c>
      <c r="C37" s="25"/>
      <c r="D37" s="25" t="s">
        <v>1436</v>
      </c>
      <c r="E37" s="27"/>
      <c r="F37" s="131" t="s">
        <v>2178</v>
      </c>
      <c r="G37" s="25" t="s">
        <v>100</v>
      </c>
      <c r="H37" s="25" t="s">
        <v>43</v>
      </c>
      <c r="I37" s="25" t="s">
        <v>33</v>
      </c>
      <c r="J37" s="127">
        <v>43958.0</v>
      </c>
      <c r="K37" s="144">
        <v>187.0</v>
      </c>
      <c r="L37" s="133" t="s">
        <v>1978</v>
      </c>
      <c r="M37" s="145" t="s">
        <v>2179</v>
      </c>
      <c r="N37" s="131" t="s">
        <v>2180</v>
      </c>
      <c r="O37" s="25" t="s">
        <v>1324</v>
      </c>
      <c r="P37" s="146" t="s">
        <v>2181</v>
      </c>
      <c r="Q37" s="130"/>
      <c r="R37" s="131"/>
      <c r="S37" s="135"/>
      <c r="T37" s="144"/>
      <c r="U37" s="144">
        <v>84.0</v>
      </c>
      <c r="V37" s="133">
        <f t="shared" si="7"/>
        <v>157.08</v>
      </c>
      <c r="W37" s="144">
        <v>5.0</v>
      </c>
      <c r="X37" s="133">
        <f t="shared" si="8"/>
        <v>9.35</v>
      </c>
      <c r="Y37" s="144">
        <v>3.0</v>
      </c>
      <c r="Z37" s="133">
        <f t="shared" si="9"/>
        <v>5.61</v>
      </c>
      <c r="AA37" s="144">
        <v>10.0</v>
      </c>
      <c r="AB37" s="133">
        <f t="shared" si="10"/>
        <v>18.7</v>
      </c>
      <c r="AC37" s="144">
        <v>1.0</v>
      </c>
      <c r="AD37" s="133">
        <f t="shared" si="11"/>
        <v>1.87</v>
      </c>
      <c r="AE37" s="146" t="s">
        <v>2182</v>
      </c>
      <c r="AF37" s="31" t="s">
        <v>2183</v>
      </c>
      <c r="AG37" s="147">
        <v>56017.0</v>
      </c>
      <c r="AH37" s="25">
        <v>2020.0</v>
      </c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</row>
    <row r="38">
      <c r="A38" s="131">
        <f t="shared" si="12"/>
        <v>37</v>
      </c>
      <c r="B38" s="131" t="s">
        <v>2184</v>
      </c>
      <c r="C38" s="25"/>
      <c r="D38" s="25" t="s">
        <v>1436</v>
      </c>
      <c r="E38" s="27"/>
      <c r="F38" s="131" t="s">
        <v>2185</v>
      </c>
      <c r="G38" s="25" t="s">
        <v>100</v>
      </c>
      <c r="H38" s="25" t="s">
        <v>43</v>
      </c>
      <c r="I38" s="25" t="s">
        <v>33</v>
      </c>
      <c r="J38" s="127">
        <v>43958.0</v>
      </c>
      <c r="K38" s="144">
        <v>171.0</v>
      </c>
      <c r="L38" s="133" t="s">
        <v>2186</v>
      </c>
      <c r="M38" s="145">
        <v>1883.0</v>
      </c>
      <c r="N38" s="131" t="s">
        <v>2171</v>
      </c>
      <c r="O38" s="25" t="s">
        <v>1324</v>
      </c>
      <c r="P38" s="146" t="s">
        <v>2187</v>
      </c>
      <c r="Q38" s="130"/>
      <c r="R38" s="146" t="s">
        <v>2188</v>
      </c>
      <c r="S38" s="135"/>
      <c r="T38" s="144"/>
      <c r="U38" s="144">
        <v>94.0</v>
      </c>
      <c r="V38" s="133">
        <f t="shared" si="7"/>
        <v>160.74</v>
      </c>
      <c r="W38" s="144">
        <v>4.0</v>
      </c>
      <c r="X38" s="133">
        <f t="shared" si="8"/>
        <v>6.84</v>
      </c>
      <c r="Y38" s="144">
        <v>1.0</v>
      </c>
      <c r="Z38" s="133">
        <f t="shared" si="9"/>
        <v>1.71</v>
      </c>
      <c r="AA38" s="144">
        <v>0.0</v>
      </c>
      <c r="AB38" s="133">
        <f t="shared" si="10"/>
        <v>0</v>
      </c>
      <c r="AC38" s="144">
        <v>1.0</v>
      </c>
      <c r="AD38" s="133">
        <f t="shared" si="11"/>
        <v>1.71</v>
      </c>
      <c r="AE38" s="146" t="s">
        <v>2187</v>
      </c>
      <c r="AF38" s="31" t="s">
        <v>2189</v>
      </c>
      <c r="AG38" s="147">
        <v>41270.0</v>
      </c>
      <c r="AH38" s="25">
        <v>2020.0</v>
      </c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</row>
    <row r="39">
      <c r="A39" s="131">
        <f t="shared" si="12"/>
        <v>38</v>
      </c>
      <c r="B39" s="131" t="s">
        <v>2190</v>
      </c>
      <c r="C39" s="25"/>
      <c r="D39" s="25" t="s">
        <v>1436</v>
      </c>
      <c r="E39" s="27"/>
      <c r="F39" s="131" t="s">
        <v>1452</v>
      </c>
      <c r="G39" s="25" t="s">
        <v>100</v>
      </c>
      <c r="H39" s="25" t="s">
        <v>43</v>
      </c>
      <c r="I39" s="25" t="s">
        <v>33</v>
      </c>
      <c r="J39" s="127">
        <v>43958.0</v>
      </c>
      <c r="K39" s="144">
        <v>178.0</v>
      </c>
      <c r="L39" s="133" t="s">
        <v>1978</v>
      </c>
      <c r="M39" s="145">
        <v>1952.0</v>
      </c>
      <c r="N39" s="131" t="s">
        <v>2180</v>
      </c>
      <c r="O39" s="25" t="s">
        <v>1324</v>
      </c>
      <c r="P39" s="146" t="s">
        <v>2191</v>
      </c>
      <c r="Q39" s="130"/>
      <c r="R39" s="146" t="s">
        <v>2192</v>
      </c>
      <c r="S39" s="135"/>
      <c r="T39" s="32"/>
      <c r="U39" s="144">
        <v>19.0</v>
      </c>
      <c r="V39" s="133">
        <f t="shared" si="7"/>
        <v>33.82</v>
      </c>
      <c r="W39" s="144">
        <v>12.0</v>
      </c>
      <c r="X39" s="133">
        <f t="shared" si="8"/>
        <v>21.36</v>
      </c>
      <c r="Y39" s="144">
        <v>12.0</v>
      </c>
      <c r="Z39" s="133">
        <f t="shared" si="9"/>
        <v>21.36</v>
      </c>
      <c r="AA39" s="144">
        <v>48.0</v>
      </c>
      <c r="AB39" s="133">
        <f t="shared" si="10"/>
        <v>85.44</v>
      </c>
      <c r="AC39" s="144">
        <v>9.0</v>
      </c>
      <c r="AD39" s="133">
        <f t="shared" si="11"/>
        <v>16.02</v>
      </c>
      <c r="AE39" s="146" t="s">
        <v>2193</v>
      </c>
      <c r="AF39" s="31" t="s">
        <v>2194</v>
      </c>
      <c r="AG39" s="147">
        <v>140362.0</v>
      </c>
      <c r="AH39" s="25">
        <v>2020.0</v>
      </c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</row>
    <row r="40">
      <c r="A40" s="131">
        <f t="shared" si="12"/>
        <v>39</v>
      </c>
      <c r="B40" s="131" t="s">
        <v>2195</v>
      </c>
      <c r="C40" s="25"/>
      <c r="D40" s="25" t="s">
        <v>1436</v>
      </c>
      <c r="E40" s="27"/>
      <c r="F40" s="131" t="s">
        <v>2196</v>
      </c>
      <c r="G40" s="25" t="s">
        <v>100</v>
      </c>
      <c r="H40" s="25" t="s">
        <v>43</v>
      </c>
      <c r="I40" s="25" t="s">
        <v>33</v>
      </c>
      <c r="J40" s="127">
        <v>43958.0</v>
      </c>
      <c r="K40" s="144">
        <v>191.0</v>
      </c>
      <c r="L40" s="133" t="s">
        <v>2186</v>
      </c>
      <c r="M40" s="145">
        <v>1965.0</v>
      </c>
      <c r="N40" s="131" t="s">
        <v>2171</v>
      </c>
      <c r="O40" s="25" t="s">
        <v>1324</v>
      </c>
      <c r="P40" s="146" t="s">
        <v>2197</v>
      </c>
      <c r="Q40" s="130"/>
      <c r="R40" s="146" t="s">
        <v>2198</v>
      </c>
      <c r="S40" s="135"/>
      <c r="T40" s="146" t="s">
        <v>2199</v>
      </c>
      <c r="U40" s="144">
        <v>18.0</v>
      </c>
      <c r="V40" s="133">
        <f t="shared" si="7"/>
        <v>34.38</v>
      </c>
      <c r="W40" s="144">
        <v>19.0</v>
      </c>
      <c r="X40" s="133">
        <f t="shared" si="8"/>
        <v>36.29</v>
      </c>
      <c r="Y40" s="144">
        <v>12.0</v>
      </c>
      <c r="Z40" s="133">
        <f t="shared" si="9"/>
        <v>22.92</v>
      </c>
      <c r="AA40" s="144">
        <v>27.0</v>
      </c>
      <c r="AB40" s="133">
        <f t="shared" si="10"/>
        <v>51.57</v>
      </c>
      <c r="AC40" s="144">
        <v>24.0</v>
      </c>
      <c r="AD40" s="133">
        <f t="shared" si="11"/>
        <v>45.84</v>
      </c>
      <c r="AE40" s="146" t="s">
        <v>2198</v>
      </c>
      <c r="AF40" s="31" t="s">
        <v>2200</v>
      </c>
      <c r="AG40" s="147">
        <v>112736.0</v>
      </c>
      <c r="AH40" s="25">
        <v>2020.0</v>
      </c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</row>
    <row r="41">
      <c r="A41" s="131">
        <f t="shared" si="12"/>
        <v>40</v>
      </c>
      <c r="B41" s="131" t="s">
        <v>2201</v>
      </c>
      <c r="C41" s="25"/>
      <c r="D41" s="25" t="s">
        <v>1436</v>
      </c>
      <c r="E41" s="27"/>
      <c r="F41" s="131" t="s">
        <v>2202</v>
      </c>
      <c r="G41" s="25" t="s">
        <v>100</v>
      </c>
      <c r="H41" s="25" t="s">
        <v>43</v>
      </c>
      <c r="I41" s="25" t="s">
        <v>33</v>
      </c>
      <c r="J41" s="127">
        <v>43958.0</v>
      </c>
      <c r="K41" s="144">
        <v>164.0</v>
      </c>
      <c r="L41" s="133" t="s">
        <v>2186</v>
      </c>
      <c r="M41" s="145">
        <v>1926.0</v>
      </c>
      <c r="N41" s="131" t="s">
        <v>2180</v>
      </c>
      <c r="O41" s="25" t="s">
        <v>1324</v>
      </c>
      <c r="P41" s="146" t="s">
        <v>2203</v>
      </c>
      <c r="Q41" s="130"/>
      <c r="R41" s="131"/>
      <c r="S41" s="135">
        <v>10000.0</v>
      </c>
      <c r="T41" s="148" t="s">
        <v>2204</v>
      </c>
      <c r="U41" s="144">
        <v>32.0</v>
      </c>
      <c r="V41" s="133">
        <f t="shared" si="7"/>
        <v>52.48</v>
      </c>
      <c r="W41" s="144">
        <v>32.0</v>
      </c>
      <c r="X41" s="133">
        <f t="shared" si="8"/>
        <v>52.48</v>
      </c>
      <c r="Y41" s="144">
        <v>1.0</v>
      </c>
      <c r="Z41" s="133">
        <f t="shared" si="9"/>
        <v>1.64</v>
      </c>
      <c r="AA41" s="144">
        <v>35.0</v>
      </c>
      <c r="AB41" s="133">
        <f t="shared" si="10"/>
        <v>57.4</v>
      </c>
      <c r="AC41" s="144">
        <v>0.0</v>
      </c>
      <c r="AD41" s="133">
        <f t="shared" si="11"/>
        <v>0</v>
      </c>
      <c r="AE41" s="146" t="s">
        <v>2203</v>
      </c>
      <c r="AF41" s="31" t="s">
        <v>2205</v>
      </c>
      <c r="AG41" s="147">
        <v>99949.0</v>
      </c>
      <c r="AH41" s="25">
        <v>2020.0</v>
      </c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</row>
    <row r="42">
      <c r="A42" s="25">
        <f t="shared" ref="A42:A57" si="13">ROW()-1</f>
        <v>41</v>
      </c>
      <c r="B42" s="25" t="s">
        <v>2206</v>
      </c>
      <c r="C42" s="126" t="s">
        <v>1969</v>
      </c>
      <c r="D42" s="25"/>
      <c r="E42" s="25"/>
      <c r="F42" s="25" t="s">
        <v>2207</v>
      </c>
      <c r="G42" s="25" t="s">
        <v>21</v>
      </c>
      <c r="H42" s="25" t="s">
        <v>22</v>
      </c>
      <c r="I42" s="25" t="s">
        <v>33</v>
      </c>
      <c r="J42" s="127">
        <v>43959.0</v>
      </c>
      <c r="K42" s="25">
        <v>110.0</v>
      </c>
      <c r="L42" s="25" t="s">
        <v>1971</v>
      </c>
      <c r="M42" s="128">
        <v>1943.0</v>
      </c>
      <c r="N42" s="131"/>
      <c r="O42" s="25" t="s">
        <v>1324</v>
      </c>
      <c r="P42" s="129" t="s">
        <v>2208</v>
      </c>
      <c r="Q42" s="138">
        <v>10.0</v>
      </c>
      <c r="R42" s="129" t="s">
        <v>2209</v>
      </c>
      <c r="S42" s="132">
        <v>8000.0</v>
      </c>
      <c r="T42" s="129" t="s">
        <v>2210</v>
      </c>
      <c r="U42" s="133">
        <v>0.0</v>
      </c>
      <c r="V42" s="133">
        <f t="shared" si="7"/>
        <v>0</v>
      </c>
      <c r="W42" s="133">
        <v>17.6</v>
      </c>
      <c r="X42" s="133">
        <f t="shared" si="8"/>
        <v>19.36</v>
      </c>
      <c r="Y42" s="133">
        <v>8.2</v>
      </c>
      <c r="Z42" s="133">
        <f t="shared" si="9"/>
        <v>9.02</v>
      </c>
      <c r="AA42" s="133">
        <v>64.1</v>
      </c>
      <c r="AB42" s="133">
        <f t="shared" si="10"/>
        <v>70.51</v>
      </c>
      <c r="AC42" s="133">
        <v>10.1</v>
      </c>
      <c r="AD42" s="133">
        <f t="shared" si="11"/>
        <v>11.11</v>
      </c>
      <c r="AE42" s="129" t="s">
        <v>2211</v>
      </c>
      <c r="AF42" s="25" t="s">
        <v>2212</v>
      </c>
      <c r="AG42" s="46">
        <v>108740.0</v>
      </c>
      <c r="AH42" s="25">
        <v>2020.0</v>
      </c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</row>
    <row r="43">
      <c r="A43" s="25">
        <f t="shared" si="13"/>
        <v>42</v>
      </c>
      <c r="B43" s="25" t="s">
        <v>2213</v>
      </c>
      <c r="C43" s="126" t="s">
        <v>1969</v>
      </c>
      <c r="D43" s="25"/>
      <c r="E43" s="25"/>
      <c r="F43" s="25" t="s">
        <v>2214</v>
      </c>
      <c r="G43" s="25" t="s">
        <v>91</v>
      </c>
      <c r="H43" s="25" t="s">
        <v>43</v>
      </c>
      <c r="I43" s="25" t="s">
        <v>33</v>
      </c>
      <c r="J43" s="127">
        <v>43963.0</v>
      </c>
      <c r="K43" s="25">
        <v>81.0</v>
      </c>
      <c r="L43" s="25" t="s">
        <v>1971</v>
      </c>
      <c r="M43" s="128">
        <v>1940.0</v>
      </c>
      <c r="N43" s="131"/>
      <c r="O43" s="25" t="s">
        <v>1324</v>
      </c>
      <c r="P43" s="129" t="s">
        <v>2215</v>
      </c>
      <c r="Q43" s="138">
        <v>10.0</v>
      </c>
      <c r="R43" s="129" t="s">
        <v>2216</v>
      </c>
      <c r="S43" s="132">
        <v>4148.0</v>
      </c>
      <c r="T43" s="129" t="s">
        <v>2217</v>
      </c>
      <c r="U43" s="133">
        <v>2.1</v>
      </c>
      <c r="V43" s="133">
        <f t="shared" si="7"/>
        <v>1.701</v>
      </c>
      <c r="W43" s="133">
        <v>0.0</v>
      </c>
      <c r="X43" s="133">
        <f t="shared" si="8"/>
        <v>0</v>
      </c>
      <c r="Y43" s="133">
        <v>0.0</v>
      </c>
      <c r="Z43" s="133">
        <f t="shared" si="9"/>
        <v>0</v>
      </c>
      <c r="AA43" s="133">
        <v>96.5</v>
      </c>
      <c r="AB43" s="133">
        <f t="shared" si="10"/>
        <v>78.165</v>
      </c>
      <c r="AC43" s="133">
        <v>1.4</v>
      </c>
      <c r="AD43" s="133">
        <f t="shared" si="11"/>
        <v>1.134</v>
      </c>
      <c r="AE43" s="129" t="s">
        <v>2218</v>
      </c>
      <c r="AF43" s="25" t="s">
        <v>2219</v>
      </c>
      <c r="AG43" s="46">
        <v>71419.0</v>
      </c>
      <c r="AH43" s="25">
        <v>2020.0</v>
      </c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</row>
    <row r="44">
      <c r="A44" s="25">
        <f t="shared" si="13"/>
        <v>43</v>
      </c>
      <c r="B44" s="25" t="s">
        <v>2220</v>
      </c>
      <c r="C44" s="126" t="s">
        <v>1969</v>
      </c>
      <c r="D44" s="25"/>
      <c r="E44" s="25"/>
      <c r="F44" s="25" t="s">
        <v>2221</v>
      </c>
      <c r="G44" s="25" t="s">
        <v>133</v>
      </c>
      <c r="H44" s="25" t="s">
        <v>32</v>
      </c>
      <c r="I44" s="25" t="s">
        <v>33</v>
      </c>
      <c r="J44" s="127">
        <v>43964.0</v>
      </c>
      <c r="K44" s="25">
        <v>197.0</v>
      </c>
      <c r="L44" s="25" t="s">
        <v>1978</v>
      </c>
      <c r="M44" s="128">
        <v>1957.0</v>
      </c>
      <c r="N44" s="131"/>
      <c r="O44" s="25" t="s">
        <v>1324</v>
      </c>
      <c r="P44" s="129" t="s">
        <v>2222</v>
      </c>
      <c r="Q44" s="130"/>
      <c r="R44" s="131"/>
      <c r="S44" s="132">
        <v>7725.0</v>
      </c>
      <c r="T44" s="129" t="s">
        <v>2223</v>
      </c>
      <c r="U44" s="133">
        <v>98.1</v>
      </c>
      <c r="V44" s="133">
        <f t="shared" si="7"/>
        <v>193.257</v>
      </c>
      <c r="W44" s="133">
        <v>1.9</v>
      </c>
      <c r="X44" s="133">
        <f t="shared" si="8"/>
        <v>3.743</v>
      </c>
      <c r="Y44" s="133">
        <v>0.0</v>
      </c>
      <c r="Z44" s="133">
        <f t="shared" si="9"/>
        <v>0</v>
      </c>
      <c r="AA44" s="133">
        <v>0.0</v>
      </c>
      <c r="AB44" s="133">
        <f t="shared" si="10"/>
        <v>0</v>
      </c>
      <c r="AC44" s="133">
        <v>0.0</v>
      </c>
      <c r="AD44" s="133">
        <f t="shared" si="11"/>
        <v>0</v>
      </c>
      <c r="AE44" s="129" t="s">
        <v>2224</v>
      </c>
      <c r="AF44" s="25" t="s">
        <v>2225</v>
      </c>
      <c r="AG44" s="46">
        <v>69261.0</v>
      </c>
      <c r="AH44" s="25">
        <v>2020.0</v>
      </c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</row>
    <row r="45">
      <c r="A45" s="25">
        <f t="shared" si="13"/>
        <v>44</v>
      </c>
      <c r="B45" s="25" t="s">
        <v>2226</v>
      </c>
      <c r="C45" s="126" t="s">
        <v>1969</v>
      </c>
      <c r="D45" s="25"/>
      <c r="E45" s="25"/>
      <c r="F45" s="25" t="s">
        <v>2227</v>
      </c>
      <c r="G45" s="25" t="s">
        <v>66</v>
      </c>
      <c r="H45" s="31" t="s">
        <v>67</v>
      </c>
      <c r="I45" s="25" t="s">
        <v>33</v>
      </c>
      <c r="J45" s="127">
        <v>43966.0</v>
      </c>
      <c r="K45" s="133">
        <v>102.0</v>
      </c>
      <c r="L45" s="133" t="s">
        <v>1978</v>
      </c>
      <c r="M45" s="137"/>
      <c r="N45" s="131"/>
      <c r="O45" s="25" t="s">
        <v>1324</v>
      </c>
      <c r="P45" s="129" t="s">
        <v>2228</v>
      </c>
      <c r="Q45" s="130"/>
      <c r="R45" s="131"/>
      <c r="S45" s="132">
        <v>600.0</v>
      </c>
      <c r="T45" s="129" t="s">
        <v>2229</v>
      </c>
      <c r="U45" s="133">
        <v>93.2</v>
      </c>
      <c r="V45" s="133">
        <f t="shared" si="7"/>
        <v>95.064</v>
      </c>
      <c r="W45" s="133">
        <v>0.0</v>
      </c>
      <c r="X45" s="133">
        <f t="shared" si="8"/>
        <v>0</v>
      </c>
      <c r="Y45" s="133">
        <v>0.0</v>
      </c>
      <c r="Z45" s="133">
        <f t="shared" si="9"/>
        <v>0</v>
      </c>
      <c r="AA45" s="133">
        <v>2.6</v>
      </c>
      <c r="AB45" s="133">
        <f t="shared" si="10"/>
        <v>2.652</v>
      </c>
      <c r="AC45" s="133">
        <v>4.3</v>
      </c>
      <c r="AD45" s="133">
        <f t="shared" si="11"/>
        <v>4.386</v>
      </c>
      <c r="AE45" s="149" t="s">
        <v>2230</v>
      </c>
      <c r="AF45" s="25" t="s">
        <v>2231</v>
      </c>
      <c r="AG45" s="46">
        <v>31074.0</v>
      </c>
      <c r="AH45" s="25">
        <v>2020.0</v>
      </c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</row>
    <row r="46">
      <c r="A46" s="25">
        <f t="shared" si="13"/>
        <v>45</v>
      </c>
      <c r="B46" s="25" t="s">
        <v>2232</v>
      </c>
      <c r="C46" s="126" t="s">
        <v>1969</v>
      </c>
      <c r="D46" s="25"/>
      <c r="E46" s="25"/>
      <c r="F46" s="25" t="s">
        <v>2233</v>
      </c>
      <c r="G46" s="25" t="s">
        <v>66</v>
      </c>
      <c r="H46" s="31" t="s">
        <v>67</v>
      </c>
      <c r="I46" s="25" t="s">
        <v>33</v>
      </c>
      <c r="J46" s="127">
        <v>43966.0</v>
      </c>
      <c r="K46" s="133">
        <v>220.0</v>
      </c>
      <c r="L46" s="133" t="s">
        <v>1978</v>
      </c>
      <c r="M46" s="137">
        <v>2005.0</v>
      </c>
      <c r="N46" s="131"/>
      <c r="O46" s="25" t="s">
        <v>1324</v>
      </c>
      <c r="P46" s="129" t="s">
        <v>2228</v>
      </c>
      <c r="Q46" s="130"/>
      <c r="R46" s="131"/>
      <c r="S46" s="135"/>
      <c r="T46" s="131"/>
      <c r="U46" s="133">
        <v>71.5</v>
      </c>
      <c r="V46" s="133">
        <f t="shared" si="7"/>
        <v>157.3</v>
      </c>
      <c r="W46" s="133">
        <v>1.1</v>
      </c>
      <c r="X46" s="133">
        <f t="shared" si="8"/>
        <v>2.42</v>
      </c>
      <c r="Y46" s="133">
        <v>0.0</v>
      </c>
      <c r="Z46" s="133">
        <f t="shared" si="9"/>
        <v>0</v>
      </c>
      <c r="AA46" s="133">
        <v>25.3</v>
      </c>
      <c r="AB46" s="133">
        <f t="shared" si="10"/>
        <v>55.66</v>
      </c>
      <c r="AC46" s="133">
        <v>2.2</v>
      </c>
      <c r="AD46" s="133">
        <f t="shared" si="11"/>
        <v>4.84</v>
      </c>
      <c r="AE46" s="129" t="s">
        <v>2234</v>
      </c>
      <c r="AF46" s="25" t="s">
        <v>2235</v>
      </c>
      <c r="AG46" s="46">
        <v>51955.0</v>
      </c>
      <c r="AH46" s="25">
        <v>2020.0</v>
      </c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</row>
    <row r="47">
      <c r="A47" s="25">
        <f t="shared" si="13"/>
        <v>46</v>
      </c>
      <c r="B47" s="25" t="s">
        <v>2236</v>
      </c>
      <c r="C47" s="126" t="s">
        <v>1969</v>
      </c>
      <c r="D47" s="25"/>
      <c r="E47" s="25"/>
      <c r="F47" s="25" t="s">
        <v>2237</v>
      </c>
      <c r="G47" s="25" t="s">
        <v>66</v>
      </c>
      <c r="H47" s="31" t="s">
        <v>67</v>
      </c>
      <c r="I47" s="25" t="s">
        <v>33</v>
      </c>
      <c r="J47" s="127">
        <v>43966.0</v>
      </c>
      <c r="K47" s="133">
        <v>288.0</v>
      </c>
      <c r="L47" s="133" t="s">
        <v>1978</v>
      </c>
      <c r="M47" s="137">
        <v>1960.0</v>
      </c>
      <c r="N47" s="131"/>
      <c r="O47" s="25" t="s">
        <v>1324</v>
      </c>
      <c r="P47" s="129" t="s">
        <v>2228</v>
      </c>
      <c r="Q47" s="130"/>
      <c r="R47" s="131"/>
      <c r="S47" s="132">
        <v>5595.0</v>
      </c>
      <c r="T47" s="21" t="s">
        <v>2238</v>
      </c>
      <c r="U47" s="133">
        <v>1.2</v>
      </c>
      <c r="V47" s="133">
        <f t="shared" si="7"/>
        <v>3.456</v>
      </c>
      <c r="W47" s="133">
        <v>2.8</v>
      </c>
      <c r="X47" s="133">
        <f t="shared" si="8"/>
        <v>8.064</v>
      </c>
      <c r="Y47" s="133">
        <v>1.2</v>
      </c>
      <c r="Z47" s="133">
        <f t="shared" si="9"/>
        <v>3.456</v>
      </c>
      <c r="AA47" s="133">
        <v>94.1</v>
      </c>
      <c r="AB47" s="133">
        <f t="shared" si="10"/>
        <v>271.008</v>
      </c>
      <c r="AC47" s="133">
        <v>0.8</v>
      </c>
      <c r="AD47" s="133">
        <f t="shared" si="11"/>
        <v>2.304</v>
      </c>
      <c r="AE47" s="129" t="s">
        <v>2239</v>
      </c>
      <c r="AF47" s="25" t="s">
        <v>2240</v>
      </c>
      <c r="AG47" s="46">
        <v>112708.0</v>
      </c>
      <c r="AH47" s="25">
        <v>2020.0</v>
      </c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</row>
    <row r="48">
      <c r="A48" s="25">
        <f t="shared" si="13"/>
        <v>47</v>
      </c>
      <c r="B48" s="25" t="s">
        <v>2241</v>
      </c>
      <c r="C48" s="126" t="s">
        <v>1969</v>
      </c>
      <c r="D48" s="25"/>
      <c r="E48" s="25"/>
      <c r="F48" s="25" t="s">
        <v>300</v>
      </c>
      <c r="G48" s="25" t="s">
        <v>133</v>
      </c>
      <c r="H48" s="25" t="s">
        <v>32</v>
      </c>
      <c r="I48" s="25" t="s">
        <v>1939</v>
      </c>
      <c r="J48" s="127">
        <v>43967.0</v>
      </c>
      <c r="K48" s="25">
        <v>55.0</v>
      </c>
      <c r="L48" s="25" t="s">
        <v>1978</v>
      </c>
      <c r="M48" s="128">
        <v>1946.0</v>
      </c>
      <c r="N48" s="131"/>
      <c r="O48" s="25" t="s">
        <v>1324</v>
      </c>
      <c r="P48" s="129" t="s">
        <v>2242</v>
      </c>
      <c r="Q48" s="138">
        <v>30.0</v>
      </c>
      <c r="R48" s="129" t="s">
        <v>2243</v>
      </c>
      <c r="S48" s="132">
        <v>17410.0</v>
      </c>
      <c r="T48" s="129" t="s">
        <v>2244</v>
      </c>
      <c r="U48" s="133">
        <v>45.5</v>
      </c>
      <c r="V48" s="133">
        <f t="shared" si="7"/>
        <v>25.025</v>
      </c>
      <c r="W48" s="133">
        <v>0.0</v>
      </c>
      <c r="X48" s="133">
        <f t="shared" si="8"/>
        <v>0</v>
      </c>
      <c r="Y48" s="133">
        <v>0.0</v>
      </c>
      <c r="Z48" s="133">
        <f t="shared" si="9"/>
        <v>0</v>
      </c>
      <c r="AA48" s="133">
        <v>45.5</v>
      </c>
      <c r="AB48" s="133">
        <f t="shared" si="10"/>
        <v>25.025</v>
      </c>
      <c r="AC48" s="133">
        <v>9.1</v>
      </c>
      <c r="AD48" s="133">
        <f t="shared" si="11"/>
        <v>5.005</v>
      </c>
      <c r="AE48" s="129" t="s">
        <v>2245</v>
      </c>
      <c r="AF48" s="25" t="s">
        <v>2246</v>
      </c>
      <c r="AG48" s="46">
        <v>113942.0</v>
      </c>
      <c r="AH48" s="25">
        <v>2020.0</v>
      </c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</row>
    <row r="49">
      <c r="A49" s="25">
        <f t="shared" si="13"/>
        <v>48</v>
      </c>
      <c r="B49" s="25" t="s">
        <v>2247</v>
      </c>
      <c r="C49" s="126" t="s">
        <v>1969</v>
      </c>
      <c r="D49" s="25"/>
      <c r="E49" s="25"/>
      <c r="F49" s="25" t="s">
        <v>2248</v>
      </c>
      <c r="G49" s="25" t="s">
        <v>100</v>
      </c>
      <c r="H49" s="25" t="s">
        <v>43</v>
      </c>
      <c r="I49" s="25" t="s">
        <v>33</v>
      </c>
      <c r="J49" s="127">
        <v>43969.0</v>
      </c>
      <c r="K49" s="25">
        <v>164.0</v>
      </c>
      <c r="L49" s="25" t="s">
        <v>1971</v>
      </c>
      <c r="M49" s="128">
        <v>1952.0</v>
      </c>
      <c r="N49" s="131"/>
      <c r="O49" s="25" t="s">
        <v>1324</v>
      </c>
      <c r="P49" s="129" t="s">
        <v>2249</v>
      </c>
      <c r="Q49" s="130"/>
      <c r="R49" s="131"/>
      <c r="S49" s="132">
        <v>5080.0</v>
      </c>
      <c r="T49" s="129" t="s">
        <v>2250</v>
      </c>
      <c r="U49" s="133">
        <v>1.9</v>
      </c>
      <c r="V49" s="133">
        <f t="shared" si="7"/>
        <v>3.116</v>
      </c>
      <c r="W49" s="133">
        <v>6.3</v>
      </c>
      <c r="X49" s="133">
        <f t="shared" si="8"/>
        <v>10.332</v>
      </c>
      <c r="Y49" s="133">
        <v>9.2</v>
      </c>
      <c r="Z49" s="133">
        <f t="shared" si="9"/>
        <v>15.088</v>
      </c>
      <c r="AA49" s="133">
        <v>78.7</v>
      </c>
      <c r="AB49" s="133">
        <f t="shared" si="10"/>
        <v>129.068</v>
      </c>
      <c r="AC49" s="133">
        <v>3.4</v>
      </c>
      <c r="AD49" s="133">
        <f t="shared" si="11"/>
        <v>5.576</v>
      </c>
      <c r="AE49" s="129" t="s">
        <v>2251</v>
      </c>
      <c r="AF49" s="25" t="s">
        <v>2252</v>
      </c>
      <c r="AG49" s="46">
        <v>111044.0</v>
      </c>
      <c r="AH49" s="25">
        <v>2020.0</v>
      </c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</row>
    <row r="50">
      <c r="A50" s="25">
        <f t="shared" si="13"/>
        <v>49</v>
      </c>
      <c r="B50" s="25" t="s">
        <v>2253</v>
      </c>
      <c r="C50" s="126" t="s">
        <v>1969</v>
      </c>
      <c r="D50" s="25"/>
      <c r="E50" s="25"/>
      <c r="F50" s="25" t="s">
        <v>2254</v>
      </c>
      <c r="G50" s="25" t="s">
        <v>1162</v>
      </c>
      <c r="H50" s="25" t="s">
        <v>67</v>
      </c>
      <c r="I50" s="25" t="s">
        <v>33</v>
      </c>
      <c r="J50" s="127">
        <v>43971.0</v>
      </c>
      <c r="K50" s="25">
        <v>56.0</v>
      </c>
      <c r="L50" s="25" t="s">
        <v>1971</v>
      </c>
      <c r="M50" s="128">
        <v>1963.0</v>
      </c>
      <c r="N50" s="131"/>
      <c r="O50" s="25" t="s">
        <v>1324</v>
      </c>
      <c r="P50" s="129" t="s">
        <v>2255</v>
      </c>
      <c r="Q50" s="130"/>
      <c r="R50" s="131"/>
      <c r="S50" s="135"/>
      <c r="T50" s="131"/>
      <c r="U50" s="133">
        <v>2.3</v>
      </c>
      <c r="V50" s="133">
        <f t="shared" si="7"/>
        <v>1.288</v>
      </c>
      <c r="W50" s="133">
        <v>37.1</v>
      </c>
      <c r="X50" s="133">
        <f t="shared" si="8"/>
        <v>20.776</v>
      </c>
      <c r="Y50" s="133">
        <v>0.0</v>
      </c>
      <c r="Z50" s="133">
        <f t="shared" si="9"/>
        <v>0</v>
      </c>
      <c r="AA50" s="133">
        <v>57.3</v>
      </c>
      <c r="AB50" s="133">
        <f t="shared" si="10"/>
        <v>32.088</v>
      </c>
      <c r="AC50" s="133">
        <v>3.4</v>
      </c>
      <c r="AD50" s="133">
        <f t="shared" si="11"/>
        <v>1.904</v>
      </c>
      <c r="AE50" s="129" t="s">
        <v>2256</v>
      </c>
      <c r="AF50" s="25" t="s">
        <v>2257</v>
      </c>
      <c r="AG50" s="46">
        <v>91211.0</v>
      </c>
      <c r="AH50" s="25">
        <v>2020.0</v>
      </c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</row>
    <row r="51">
      <c r="A51" s="25">
        <f t="shared" si="13"/>
        <v>50</v>
      </c>
      <c r="B51" s="25" t="s">
        <v>2258</v>
      </c>
      <c r="C51" s="126" t="s">
        <v>1969</v>
      </c>
      <c r="D51" s="25"/>
      <c r="E51" s="25"/>
      <c r="F51" s="25" t="s">
        <v>2259</v>
      </c>
      <c r="G51" s="25" t="s">
        <v>623</v>
      </c>
      <c r="H51" s="25" t="s">
        <v>43</v>
      </c>
      <c r="I51" s="25" t="s">
        <v>23</v>
      </c>
      <c r="J51" s="127">
        <v>43971.0</v>
      </c>
      <c r="K51" s="25">
        <v>56.0</v>
      </c>
      <c r="L51" s="25" t="s">
        <v>1971</v>
      </c>
      <c r="M51" s="128">
        <v>1984.0</v>
      </c>
      <c r="N51" s="131"/>
      <c r="O51" s="25" t="s">
        <v>1324</v>
      </c>
      <c r="P51" s="129" t="s">
        <v>2260</v>
      </c>
      <c r="Q51" s="138">
        <v>50.0</v>
      </c>
      <c r="R51" s="129" t="s">
        <v>2261</v>
      </c>
      <c r="S51" s="132">
        <v>11160.0</v>
      </c>
      <c r="T51" s="129" t="s">
        <v>2260</v>
      </c>
      <c r="U51" s="133">
        <v>1.8</v>
      </c>
      <c r="V51" s="133">
        <f t="shared" si="7"/>
        <v>1.008</v>
      </c>
      <c r="W51" s="133">
        <v>0.0</v>
      </c>
      <c r="X51" s="133">
        <f t="shared" si="8"/>
        <v>0</v>
      </c>
      <c r="Y51" s="133">
        <v>0.0</v>
      </c>
      <c r="Z51" s="133">
        <f t="shared" si="9"/>
        <v>0</v>
      </c>
      <c r="AA51" s="133">
        <v>98.2</v>
      </c>
      <c r="AB51" s="133">
        <f t="shared" si="10"/>
        <v>54.992</v>
      </c>
      <c r="AC51" s="133">
        <v>0.0</v>
      </c>
      <c r="AD51" s="133">
        <f t="shared" si="11"/>
        <v>0</v>
      </c>
      <c r="AE51" s="129" t="s">
        <v>2262</v>
      </c>
      <c r="AF51" s="25" t="s">
        <v>2263</v>
      </c>
      <c r="AG51" s="46">
        <v>72300.0</v>
      </c>
      <c r="AH51" s="25">
        <v>2020.0</v>
      </c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</row>
    <row r="52">
      <c r="A52" s="25">
        <f t="shared" si="13"/>
        <v>51</v>
      </c>
      <c r="B52" s="25" t="s">
        <v>2264</v>
      </c>
      <c r="C52" s="126" t="s">
        <v>1969</v>
      </c>
      <c r="D52" s="25"/>
      <c r="E52" s="25"/>
      <c r="F52" s="25" t="s">
        <v>2265</v>
      </c>
      <c r="G52" s="25" t="s">
        <v>83</v>
      </c>
      <c r="H52" s="25" t="s">
        <v>43</v>
      </c>
      <c r="I52" s="25" t="s">
        <v>33</v>
      </c>
      <c r="J52" s="127">
        <v>43973.0</v>
      </c>
      <c r="K52" s="25">
        <v>200.0</v>
      </c>
      <c r="L52" s="25" t="s">
        <v>1971</v>
      </c>
      <c r="M52" s="128">
        <v>1907.0</v>
      </c>
      <c r="N52" s="131"/>
      <c r="O52" s="25" t="s">
        <v>1324</v>
      </c>
      <c r="P52" s="129" t="s">
        <v>2266</v>
      </c>
      <c r="Q52" s="130"/>
      <c r="R52" s="140"/>
      <c r="S52" s="132">
        <v>4600.0</v>
      </c>
      <c r="T52" s="129" t="s">
        <v>2267</v>
      </c>
      <c r="U52" s="133">
        <v>19.6</v>
      </c>
      <c r="V52" s="133">
        <f t="shared" si="7"/>
        <v>39.2</v>
      </c>
      <c r="W52" s="133">
        <v>7.4</v>
      </c>
      <c r="X52" s="133">
        <f t="shared" si="8"/>
        <v>14.8</v>
      </c>
      <c r="Y52" s="133">
        <v>4.9</v>
      </c>
      <c r="Z52" s="133">
        <f t="shared" si="9"/>
        <v>9.8</v>
      </c>
      <c r="AA52" s="133">
        <v>65.0</v>
      </c>
      <c r="AB52" s="133">
        <f t="shared" si="10"/>
        <v>130</v>
      </c>
      <c r="AC52" s="133">
        <v>3.1</v>
      </c>
      <c r="AD52" s="133">
        <f t="shared" si="11"/>
        <v>6.2</v>
      </c>
      <c r="AE52" s="129" t="s">
        <v>2268</v>
      </c>
      <c r="AF52" s="25" t="s">
        <v>2269</v>
      </c>
      <c r="AG52" s="46">
        <v>68072.0</v>
      </c>
      <c r="AH52" s="25">
        <v>2020.0</v>
      </c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</row>
    <row r="53">
      <c r="A53" s="25">
        <f t="shared" si="13"/>
        <v>52</v>
      </c>
      <c r="B53" s="25" t="s">
        <v>2220</v>
      </c>
      <c r="C53" s="126" t="s">
        <v>1969</v>
      </c>
      <c r="D53" s="25"/>
      <c r="E53" s="25"/>
      <c r="F53" s="25" t="s">
        <v>2270</v>
      </c>
      <c r="G53" s="25" t="s">
        <v>122</v>
      </c>
      <c r="H53" s="25" t="s">
        <v>32</v>
      </c>
      <c r="I53" s="25" t="s">
        <v>33</v>
      </c>
      <c r="J53" s="127">
        <v>43973.0</v>
      </c>
      <c r="K53" s="25">
        <v>113.0</v>
      </c>
      <c r="L53" s="25" t="s">
        <v>1978</v>
      </c>
      <c r="M53" s="128">
        <v>1956.0</v>
      </c>
      <c r="N53" s="131"/>
      <c r="O53" s="25" t="s">
        <v>1324</v>
      </c>
      <c r="P53" s="129" t="s">
        <v>2271</v>
      </c>
      <c r="Q53" s="130"/>
      <c r="R53" s="140"/>
      <c r="S53" s="132">
        <v>3550.0</v>
      </c>
      <c r="T53" s="129" t="s">
        <v>2272</v>
      </c>
      <c r="U53" s="133">
        <v>0.0</v>
      </c>
      <c r="V53" s="133">
        <f t="shared" si="7"/>
        <v>0</v>
      </c>
      <c r="W53" s="133">
        <v>100.0</v>
      </c>
      <c r="X53" s="133">
        <f t="shared" si="8"/>
        <v>113</v>
      </c>
      <c r="Y53" s="133">
        <v>0.0</v>
      </c>
      <c r="Z53" s="133">
        <f t="shared" si="9"/>
        <v>0</v>
      </c>
      <c r="AA53" s="133">
        <v>0.0</v>
      </c>
      <c r="AB53" s="133">
        <f t="shared" si="10"/>
        <v>0</v>
      </c>
      <c r="AC53" s="133">
        <v>0.0</v>
      </c>
      <c r="AD53" s="133">
        <f t="shared" si="11"/>
        <v>0</v>
      </c>
      <c r="AE53" s="129" t="s">
        <v>2273</v>
      </c>
      <c r="AF53" s="25" t="s">
        <v>2274</v>
      </c>
      <c r="AG53" s="46">
        <v>37356.0</v>
      </c>
      <c r="AH53" s="25">
        <v>2020.0</v>
      </c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</row>
    <row r="54">
      <c r="A54" s="25">
        <f t="shared" si="13"/>
        <v>53</v>
      </c>
      <c r="B54" s="25" t="s">
        <v>2275</v>
      </c>
      <c r="C54" s="126" t="s">
        <v>1969</v>
      </c>
      <c r="D54" s="25"/>
      <c r="E54" s="25"/>
      <c r="F54" s="25" t="s">
        <v>2276</v>
      </c>
      <c r="G54" s="25" t="s">
        <v>436</v>
      </c>
      <c r="H54" s="25" t="s">
        <v>32</v>
      </c>
      <c r="I54" s="25" t="s">
        <v>33</v>
      </c>
      <c r="J54" s="127">
        <v>43976.0</v>
      </c>
      <c r="K54" s="25">
        <v>185.0</v>
      </c>
      <c r="L54" s="25" t="s">
        <v>1971</v>
      </c>
      <c r="M54" s="128">
        <v>1938.0</v>
      </c>
      <c r="N54" s="131"/>
      <c r="O54" s="25" t="s">
        <v>1324</v>
      </c>
      <c r="P54" s="129" t="s">
        <v>2277</v>
      </c>
      <c r="Q54" s="130"/>
      <c r="R54" s="129" t="s">
        <v>2278</v>
      </c>
      <c r="S54" s="132">
        <v>7000.0</v>
      </c>
      <c r="T54" s="129" t="s">
        <v>2279</v>
      </c>
      <c r="U54" s="133">
        <v>9.3</v>
      </c>
      <c r="V54" s="133">
        <f t="shared" si="7"/>
        <v>17.205</v>
      </c>
      <c r="W54" s="133">
        <v>32.2</v>
      </c>
      <c r="X54" s="133">
        <f t="shared" si="8"/>
        <v>59.57</v>
      </c>
      <c r="Y54" s="133">
        <v>4.4</v>
      </c>
      <c r="Z54" s="133">
        <f t="shared" si="9"/>
        <v>8.14</v>
      </c>
      <c r="AA54" s="133">
        <v>48.3</v>
      </c>
      <c r="AB54" s="133">
        <f t="shared" si="10"/>
        <v>89.355</v>
      </c>
      <c r="AC54" s="133">
        <v>5.9</v>
      </c>
      <c r="AD54" s="133">
        <f t="shared" si="11"/>
        <v>10.915</v>
      </c>
      <c r="AE54" s="129" t="s">
        <v>2280</v>
      </c>
      <c r="AF54" s="25" t="s">
        <v>2281</v>
      </c>
      <c r="AG54" s="46">
        <v>122533.0</v>
      </c>
      <c r="AH54" s="25">
        <v>2020.0</v>
      </c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</row>
    <row r="55">
      <c r="A55" s="25">
        <f t="shared" si="13"/>
        <v>54</v>
      </c>
      <c r="B55" s="25" t="s">
        <v>2282</v>
      </c>
      <c r="C55" s="126" t="s">
        <v>1969</v>
      </c>
      <c r="D55" s="25"/>
      <c r="E55" s="25"/>
      <c r="F55" s="25" t="s">
        <v>570</v>
      </c>
      <c r="G55" s="25" t="s">
        <v>286</v>
      </c>
      <c r="H55" s="25" t="s">
        <v>32</v>
      </c>
      <c r="I55" s="25" t="s">
        <v>33</v>
      </c>
      <c r="J55" s="127">
        <v>43977.0</v>
      </c>
      <c r="K55" s="25">
        <v>207.0</v>
      </c>
      <c r="L55" s="25" t="s">
        <v>1978</v>
      </c>
      <c r="M55" s="128">
        <v>1921.0</v>
      </c>
      <c r="N55" s="25" t="s">
        <v>2283</v>
      </c>
      <c r="O55" s="25" t="s">
        <v>1324</v>
      </c>
      <c r="P55" s="129" t="s">
        <v>2284</v>
      </c>
      <c r="Q55" s="130"/>
      <c r="R55" s="140"/>
      <c r="S55" s="132">
        <v>11300.0</v>
      </c>
      <c r="T55" s="129" t="s">
        <v>2285</v>
      </c>
      <c r="U55" s="133">
        <v>33.8</v>
      </c>
      <c r="V55" s="133">
        <f t="shared" si="7"/>
        <v>69.966</v>
      </c>
      <c r="W55" s="133">
        <v>6.8</v>
      </c>
      <c r="X55" s="133">
        <f t="shared" si="8"/>
        <v>14.076</v>
      </c>
      <c r="Y55" s="133">
        <v>4.4</v>
      </c>
      <c r="Z55" s="133">
        <f t="shared" si="9"/>
        <v>9.108</v>
      </c>
      <c r="AA55" s="133">
        <v>48.3</v>
      </c>
      <c r="AB55" s="133">
        <f t="shared" si="10"/>
        <v>99.981</v>
      </c>
      <c r="AC55" s="133">
        <v>6.8</v>
      </c>
      <c r="AD55" s="133">
        <f t="shared" si="11"/>
        <v>14.076</v>
      </c>
      <c r="AE55" s="129" t="s">
        <v>2286</v>
      </c>
      <c r="AF55" s="25" t="s">
        <v>2287</v>
      </c>
      <c r="AG55" s="46">
        <v>120604.0</v>
      </c>
      <c r="AH55" s="25">
        <v>2020.0</v>
      </c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</row>
    <row r="56">
      <c r="A56" s="25">
        <f t="shared" si="13"/>
        <v>55</v>
      </c>
      <c r="B56" s="25" t="s">
        <v>2288</v>
      </c>
      <c r="C56" s="126" t="s">
        <v>1969</v>
      </c>
      <c r="D56" s="25"/>
      <c r="E56" s="25"/>
      <c r="F56" s="25" t="s">
        <v>2289</v>
      </c>
      <c r="G56" s="25" t="s">
        <v>321</v>
      </c>
      <c r="H56" s="25" t="s">
        <v>22</v>
      </c>
      <c r="I56" s="25" t="s">
        <v>23</v>
      </c>
      <c r="J56" s="127">
        <v>43978.0</v>
      </c>
      <c r="K56" s="25">
        <v>47.0</v>
      </c>
      <c r="L56" s="25" t="s">
        <v>1971</v>
      </c>
      <c r="M56" s="128">
        <v>2015.0</v>
      </c>
      <c r="N56" s="25" t="s">
        <v>2290</v>
      </c>
      <c r="O56" s="25"/>
      <c r="P56" s="129" t="s">
        <v>2291</v>
      </c>
      <c r="Q56" s="130"/>
      <c r="R56" s="131"/>
      <c r="S56" s="135"/>
      <c r="T56" s="131"/>
      <c r="U56" s="142"/>
      <c r="V56" s="133" t="str">
        <f t="shared" si="7"/>
        <v/>
      </c>
      <c r="W56" s="142"/>
      <c r="X56" s="133" t="str">
        <f t="shared" si="8"/>
        <v/>
      </c>
      <c r="Y56" s="142"/>
      <c r="Z56" s="133" t="str">
        <f t="shared" si="9"/>
        <v/>
      </c>
      <c r="AA56" s="142"/>
      <c r="AB56" s="133" t="str">
        <f t="shared" si="10"/>
        <v/>
      </c>
      <c r="AC56" s="142"/>
      <c r="AD56" s="133" t="str">
        <f t="shared" si="11"/>
        <v/>
      </c>
      <c r="AE56" s="149"/>
      <c r="AF56" s="25" t="s">
        <v>2292</v>
      </c>
      <c r="AG56" s="46">
        <v>174469.0</v>
      </c>
      <c r="AH56" s="25">
        <v>2020.0</v>
      </c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</row>
    <row r="57">
      <c r="A57" s="25">
        <f t="shared" si="13"/>
        <v>56</v>
      </c>
      <c r="B57" s="25" t="s">
        <v>2293</v>
      </c>
      <c r="C57" s="126" t="s">
        <v>1969</v>
      </c>
      <c r="D57" s="25"/>
      <c r="E57" s="25"/>
      <c r="F57" s="25" t="s">
        <v>2294</v>
      </c>
      <c r="G57" s="25" t="s">
        <v>91</v>
      </c>
      <c r="H57" s="25" t="s">
        <v>43</v>
      </c>
      <c r="I57" s="25" t="s">
        <v>33</v>
      </c>
      <c r="J57" s="127">
        <v>43980.0</v>
      </c>
      <c r="K57" s="25">
        <v>93.0</v>
      </c>
      <c r="L57" s="25" t="s">
        <v>1971</v>
      </c>
      <c r="M57" s="128">
        <v>1967.0</v>
      </c>
      <c r="N57" s="131"/>
      <c r="O57" s="25" t="s">
        <v>1324</v>
      </c>
      <c r="P57" s="129" t="s">
        <v>2295</v>
      </c>
      <c r="Q57" s="130"/>
      <c r="R57" s="131"/>
      <c r="S57" s="132">
        <v>9900.0</v>
      </c>
      <c r="T57" s="129" t="s">
        <v>2296</v>
      </c>
      <c r="U57" s="133">
        <v>2.3</v>
      </c>
      <c r="V57" s="133">
        <f t="shared" si="7"/>
        <v>2.139</v>
      </c>
      <c r="W57" s="133">
        <v>2.3</v>
      </c>
      <c r="X57" s="133">
        <f t="shared" si="8"/>
        <v>2.139</v>
      </c>
      <c r="Y57" s="133">
        <v>0.0</v>
      </c>
      <c r="Z57" s="133">
        <f t="shared" si="9"/>
        <v>0</v>
      </c>
      <c r="AA57" s="133">
        <v>90.9</v>
      </c>
      <c r="AB57" s="133">
        <f t="shared" si="10"/>
        <v>84.537</v>
      </c>
      <c r="AC57" s="133">
        <v>4.6</v>
      </c>
      <c r="AD57" s="133">
        <f t="shared" si="11"/>
        <v>4.278</v>
      </c>
      <c r="AE57" s="129" t="s">
        <v>2297</v>
      </c>
      <c r="AF57" s="25" t="s">
        <v>2298</v>
      </c>
      <c r="AG57" s="46">
        <v>74226.0</v>
      </c>
      <c r="AH57" s="25">
        <v>2020.0</v>
      </c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</row>
    <row r="58">
      <c r="A58" s="131">
        <f>row()-1</f>
        <v>57</v>
      </c>
      <c r="B58" s="131" t="s">
        <v>2299</v>
      </c>
      <c r="C58" s="25"/>
      <c r="D58" s="25" t="s">
        <v>1436</v>
      </c>
      <c r="E58" s="27"/>
      <c r="F58" s="131" t="s">
        <v>2300</v>
      </c>
      <c r="G58" s="25" t="s">
        <v>21</v>
      </c>
      <c r="H58" s="25" t="s">
        <v>22</v>
      </c>
      <c r="I58" s="25" t="s">
        <v>1338</v>
      </c>
      <c r="J58" s="127">
        <v>43981.0</v>
      </c>
      <c r="K58" s="144">
        <v>59.0</v>
      </c>
      <c r="L58" s="133" t="s">
        <v>2186</v>
      </c>
      <c r="M58" s="145">
        <v>1983.0</v>
      </c>
      <c r="N58" s="25" t="s">
        <v>2301</v>
      </c>
      <c r="O58" s="25" t="s">
        <v>1324</v>
      </c>
      <c r="P58" s="146" t="s">
        <v>2302</v>
      </c>
      <c r="Q58" s="130">
        <v>40.0</v>
      </c>
      <c r="R58" s="146" t="s">
        <v>2303</v>
      </c>
      <c r="S58" s="135">
        <v>18428.0</v>
      </c>
      <c r="T58" s="131" t="s">
        <v>2179</v>
      </c>
      <c r="U58" s="144">
        <v>0.0</v>
      </c>
      <c r="V58" s="133">
        <f t="shared" si="7"/>
        <v>0</v>
      </c>
      <c r="W58" s="144">
        <v>19.0</v>
      </c>
      <c r="X58" s="133">
        <f t="shared" si="8"/>
        <v>11.21</v>
      </c>
      <c r="Y58" s="144">
        <v>5.0</v>
      </c>
      <c r="Z58" s="133">
        <f t="shared" si="9"/>
        <v>2.95</v>
      </c>
      <c r="AA58" s="144">
        <v>76.0</v>
      </c>
      <c r="AB58" s="133">
        <f t="shared" si="10"/>
        <v>44.84</v>
      </c>
      <c r="AC58" s="144">
        <v>0.0</v>
      </c>
      <c r="AD58" s="133">
        <f t="shared" si="11"/>
        <v>0</v>
      </c>
      <c r="AE58" s="146" t="s">
        <v>2304</v>
      </c>
      <c r="AF58" s="31" t="s">
        <v>2305</v>
      </c>
      <c r="AG58" s="147">
        <v>119142.0</v>
      </c>
      <c r="AH58" s="25">
        <v>2020.0</v>
      </c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</row>
    <row r="59">
      <c r="A59" s="25">
        <f t="shared" ref="A59:A60" si="14">ROW()-1</f>
        <v>58</v>
      </c>
      <c r="B59" s="25" t="s">
        <v>2306</v>
      </c>
      <c r="C59" s="126" t="s">
        <v>1969</v>
      </c>
      <c r="D59" s="25"/>
      <c r="E59" s="25"/>
      <c r="F59" s="25" t="s">
        <v>868</v>
      </c>
      <c r="G59" s="25" t="s">
        <v>83</v>
      </c>
      <c r="H59" s="25" t="s">
        <v>43</v>
      </c>
      <c r="I59" s="25" t="s">
        <v>33</v>
      </c>
      <c r="J59" s="127">
        <v>43983.0</v>
      </c>
      <c r="K59" s="25">
        <v>110.0</v>
      </c>
      <c r="L59" s="25" t="s">
        <v>1971</v>
      </c>
      <c r="M59" s="128">
        <v>1957.0</v>
      </c>
      <c r="N59" s="131"/>
      <c r="O59" s="25" t="s">
        <v>1324</v>
      </c>
      <c r="P59" s="129" t="s">
        <v>2307</v>
      </c>
      <c r="Q59" s="130"/>
      <c r="R59" s="131"/>
      <c r="S59" s="132">
        <v>6000.0</v>
      </c>
      <c r="T59" s="129" t="s">
        <v>2308</v>
      </c>
      <c r="U59" s="133">
        <v>7.1</v>
      </c>
      <c r="V59" s="133">
        <f t="shared" si="7"/>
        <v>7.81</v>
      </c>
      <c r="W59" s="133">
        <v>5.9</v>
      </c>
      <c r="X59" s="133">
        <f t="shared" si="8"/>
        <v>6.49</v>
      </c>
      <c r="Y59" s="133">
        <v>5.9</v>
      </c>
      <c r="Z59" s="133">
        <f t="shared" si="9"/>
        <v>6.49</v>
      </c>
      <c r="AA59" s="133">
        <v>78.8</v>
      </c>
      <c r="AB59" s="133">
        <f t="shared" si="10"/>
        <v>86.68</v>
      </c>
      <c r="AC59" s="133">
        <v>2.9</v>
      </c>
      <c r="AD59" s="133">
        <f t="shared" si="11"/>
        <v>3.19</v>
      </c>
      <c r="AE59" s="129" t="s">
        <v>2309</v>
      </c>
      <c r="AF59" s="25" t="s">
        <v>2310</v>
      </c>
      <c r="AG59" s="46">
        <v>112358.0</v>
      </c>
      <c r="AH59" s="25">
        <v>2020.0</v>
      </c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</row>
    <row r="60">
      <c r="A60" s="25">
        <f t="shared" si="14"/>
        <v>59</v>
      </c>
      <c r="B60" s="25" t="s">
        <v>2311</v>
      </c>
      <c r="C60" s="126" t="s">
        <v>1969</v>
      </c>
      <c r="D60" s="25"/>
      <c r="E60" s="25"/>
      <c r="F60" s="25" t="s">
        <v>2312</v>
      </c>
      <c r="G60" s="25" t="s">
        <v>91</v>
      </c>
      <c r="H60" s="25" t="s">
        <v>43</v>
      </c>
      <c r="I60" s="25" t="s">
        <v>33</v>
      </c>
      <c r="J60" s="127">
        <v>43983.0</v>
      </c>
      <c r="K60" s="25">
        <v>82.0</v>
      </c>
      <c r="L60" s="25" t="s">
        <v>1971</v>
      </c>
      <c r="M60" s="128">
        <v>1951.0</v>
      </c>
      <c r="N60" s="25" t="s">
        <v>2313</v>
      </c>
      <c r="O60" s="25" t="s">
        <v>1324</v>
      </c>
      <c r="P60" s="129" t="s">
        <v>2314</v>
      </c>
      <c r="Q60" s="130"/>
      <c r="R60" s="131"/>
      <c r="S60" s="132">
        <v>4825.0</v>
      </c>
      <c r="T60" s="129" t="s">
        <v>2315</v>
      </c>
      <c r="U60" s="133">
        <v>13.6</v>
      </c>
      <c r="V60" s="133">
        <f t="shared" si="7"/>
        <v>11.152</v>
      </c>
      <c r="W60" s="133">
        <v>48.7</v>
      </c>
      <c r="X60" s="133">
        <f t="shared" si="8"/>
        <v>39.934</v>
      </c>
      <c r="Y60" s="133">
        <v>0.0</v>
      </c>
      <c r="Z60" s="133">
        <f t="shared" si="9"/>
        <v>0</v>
      </c>
      <c r="AA60" s="133">
        <v>36.0</v>
      </c>
      <c r="AB60" s="133">
        <f t="shared" si="10"/>
        <v>29.52</v>
      </c>
      <c r="AC60" s="133">
        <v>1.7</v>
      </c>
      <c r="AD60" s="133">
        <f t="shared" si="11"/>
        <v>1.394</v>
      </c>
      <c r="AE60" s="129" t="s">
        <v>2316</v>
      </c>
      <c r="AF60" s="25" t="s">
        <v>2317</v>
      </c>
      <c r="AG60" s="46">
        <v>120284.0</v>
      </c>
      <c r="AH60" s="25">
        <v>2020.0</v>
      </c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</row>
    <row r="61">
      <c r="A61" s="131">
        <f>row()-1</f>
        <v>60</v>
      </c>
      <c r="B61" s="25" t="s">
        <v>2318</v>
      </c>
      <c r="C61" s="25"/>
      <c r="D61" s="25" t="s">
        <v>1436</v>
      </c>
      <c r="E61" s="27"/>
      <c r="F61" s="25" t="s">
        <v>2319</v>
      </c>
      <c r="G61" s="25" t="s">
        <v>21</v>
      </c>
      <c r="H61" s="25" t="s">
        <v>22</v>
      </c>
      <c r="I61" s="25" t="s">
        <v>33</v>
      </c>
      <c r="J61" s="127">
        <v>43983.0</v>
      </c>
      <c r="K61" s="25">
        <v>275.0</v>
      </c>
      <c r="L61" s="25" t="s">
        <v>1978</v>
      </c>
      <c r="M61" s="128">
        <v>2019.0</v>
      </c>
      <c r="N61" s="151"/>
      <c r="O61" s="25"/>
      <c r="P61" s="129" t="s">
        <v>2320</v>
      </c>
      <c r="Q61" s="138"/>
      <c r="R61" s="25"/>
      <c r="S61" s="132">
        <v>9350.0</v>
      </c>
      <c r="T61" s="152" t="s">
        <v>2321</v>
      </c>
      <c r="U61" s="133"/>
      <c r="V61" s="133" t="str">
        <f t="shared" si="7"/>
        <v/>
      </c>
      <c r="W61" s="133"/>
      <c r="X61" s="133" t="str">
        <f t="shared" si="8"/>
        <v/>
      </c>
      <c r="Y61" s="133"/>
      <c r="Z61" s="133" t="str">
        <f t="shared" si="9"/>
        <v/>
      </c>
      <c r="AA61" s="133"/>
      <c r="AB61" s="133" t="str">
        <f t="shared" si="10"/>
        <v/>
      </c>
      <c r="AC61" s="133"/>
      <c r="AD61" s="133" t="str">
        <f t="shared" si="11"/>
        <v/>
      </c>
      <c r="AE61" s="129"/>
      <c r="AF61" s="31" t="s">
        <v>2322</v>
      </c>
      <c r="AG61" s="147">
        <v>80987.0</v>
      </c>
      <c r="AH61" s="25">
        <v>2020.0</v>
      </c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</row>
    <row r="62">
      <c r="A62" s="25">
        <f t="shared" ref="A62:A132" si="15">ROW()-1</f>
        <v>61</v>
      </c>
      <c r="B62" s="25" t="s">
        <v>2323</v>
      </c>
      <c r="C62" s="126" t="s">
        <v>1969</v>
      </c>
      <c r="D62" s="25"/>
      <c r="E62" s="25"/>
      <c r="F62" s="25" t="s">
        <v>2324</v>
      </c>
      <c r="G62" s="25" t="s">
        <v>100</v>
      </c>
      <c r="H62" s="25" t="s">
        <v>43</v>
      </c>
      <c r="I62" s="25" t="s">
        <v>23</v>
      </c>
      <c r="J62" s="127">
        <v>43985.0</v>
      </c>
      <c r="K62" s="25">
        <v>100.0</v>
      </c>
      <c r="L62" s="25" t="s">
        <v>1971</v>
      </c>
      <c r="M62" s="128">
        <v>1974.0</v>
      </c>
      <c r="N62" s="131"/>
      <c r="O62" s="25" t="s">
        <v>1324</v>
      </c>
      <c r="P62" s="129" t="s">
        <v>2325</v>
      </c>
      <c r="Q62" s="130"/>
      <c r="R62" s="131"/>
      <c r="S62" s="132">
        <v>13850.0</v>
      </c>
      <c r="T62" s="129" t="s">
        <v>2326</v>
      </c>
      <c r="U62" s="133">
        <v>10.1</v>
      </c>
      <c r="V62" s="133">
        <f t="shared" si="7"/>
        <v>10.1</v>
      </c>
      <c r="W62" s="133">
        <v>5.0</v>
      </c>
      <c r="X62" s="133">
        <f t="shared" si="8"/>
        <v>5</v>
      </c>
      <c r="Y62" s="133">
        <v>2.5</v>
      </c>
      <c r="Z62" s="133">
        <f t="shared" si="9"/>
        <v>2.5</v>
      </c>
      <c r="AA62" s="133">
        <v>82.4</v>
      </c>
      <c r="AB62" s="133">
        <f t="shared" si="10"/>
        <v>82.4</v>
      </c>
      <c r="AC62" s="133">
        <v>0.0</v>
      </c>
      <c r="AD62" s="133">
        <f t="shared" si="11"/>
        <v>0</v>
      </c>
      <c r="AE62" s="129" t="s">
        <v>2327</v>
      </c>
      <c r="AF62" s="25" t="s">
        <v>2328</v>
      </c>
      <c r="AG62" s="46">
        <v>49286.0</v>
      </c>
      <c r="AH62" s="25">
        <v>2020.0</v>
      </c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</row>
    <row r="63">
      <c r="A63" s="25">
        <f t="shared" si="15"/>
        <v>62</v>
      </c>
      <c r="B63" s="25" t="s">
        <v>2329</v>
      </c>
      <c r="C63" s="126" t="s">
        <v>1969</v>
      </c>
      <c r="D63" s="25"/>
      <c r="E63" s="25"/>
      <c r="F63" s="25" t="s">
        <v>2330</v>
      </c>
      <c r="G63" s="25" t="s">
        <v>83</v>
      </c>
      <c r="H63" s="25" t="s">
        <v>43</v>
      </c>
      <c r="I63" s="25" t="s">
        <v>33</v>
      </c>
      <c r="J63" s="127">
        <v>43985.0</v>
      </c>
      <c r="K63" s="25">
        <v>280.0</v>
      </c>
      <c r="L63" s="25" t="s">
        <v>1978</v>
      </c>
      <c r="M63" s="128">
        <v>1959.0</v>
      </c>
      <c r="N63" s="32"/>
      <c r="O63" s="25" t="s">
        <v>1324</v>
      </c>
      <c r="P63" s="149" t="s">
        <v>2331</v>
      </c>
      <c r="Q63" s="134"/>
      <c r="R63" s="32"/>
      <c r="S63" s="132">
        <v>6303.0</v>
      </c>
      <c r="T63" s="149" t="s">
        <v>2332</v>
      </c>
      <c r="U63" s="133">
        <v>14.6</v>
      </c>
      <c r="V63" s="133">
        <f t="shared" si="7"/>
        <v>40.88</v>
      </c>
      <c r="W63" s="133">
        <v>6.9</v>
      </c>
      <c r="X63" s="133">
        <f t="shared" si="8"/>
        <v>19.32</v>
      </c>
      <c r="Y63" s="133">
        <v>19.2</v>
      </c>
      <c r="Z63" s="133">
        <f t="shared" si="9"/>
        <v>53.76</v>
      </c>
      <c r="AA63" s="133">
        <v>45.7</v>
      </c>
      <c r="AB63" s="133">
        <f t="shared" si="10"/>
        <v>127.96</v>
      </c>
      <c r="AC63" s="133">
        <v>13.7</v>
      </c>
      <c r="AD63" s="133">
        <f t="shared" si="11"/>
        <v>38.36</v>
      </c>
      <c r="AE63" s="149" t="s">
        <v>2333</v>
      </c>
      <c r="AF63" s="25" t="s">
        <v>2334</v>
      </c>
      <c r="AG63" s="46">
        <v>129904.0</v>
      </c>
      <c r="AH63" s="25">
        <v>2020.0</v>
      </c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</row>
    <row r="64">
      <c r="A64" s="25">
        <f t="shared" si="15"/>
        <v>63</v>
      </c>
      <c r="B64" s="25" t="s">
        <v>2335</v>
      </c>
      <c r="C64" s="126" t="s">
        <v>1969</v>
      </c>
      <c r="D64" s="32"/>
      <c r="E64" s="25"/>
      <c r="F64" s="25" t="s">
        <v>2336</v>
      </c>
      <c r="G64" s="25" t="s">
        <v>83</v>
      </c>
      <c r="H64" s="25" t="s">
        <v>43</v>
      </c>
      <c r="I64" s="25" t="s">
        <v>33</v>
      </c>
      <c r="J64" s="127">
        <v>43987.0</v>
      </c>
      <c r="K64" s="25">
        <v>112.0</v>
      </c>
      <c r="L64" s="25" t="s">
        <v>1971</v>
      </c>
      <c r="M64" s="128">
        <v>1924.0</v>
      </c>
      <c r="N64" s="32"/>
      <c r="O64" s="25" t="s">
        <v>1324</v>
      </c>
      <c r="P64" s="129" t="s">
        <v>2337</v>
      </c>
      <c r="Q64" s="138">
        <v>20.0</v>
      </c>
      <c r="R64" s="153" t="s">
        <v>2337</v>
      </c>
      <c r="S64" s="132">
        <v>5400.0</v>
      </c>
      <c r="T64" s="69" t="s">
        <v>2337</v>
      </c>
      <c r="U64" s="133">
        <v>22.6</v>
      </c>
      <c r="V64" s="133">
        <f t="shared" si="7"/>
        <v>25.312</v>
      </c>
      <c r="W64" s="133">
        <v>12.3</v>
      </c>
      <c r="X64" s="133">
        <f t="shared" si="8"/>
        <v>13.776</v>
      </c>
      <c r="Y64" s="133">
        <v>6.9</v>
      </c>
      <c r="Z64" s="133">
        <f t="shared" si="9"/>
        <v>7.728</v>
      </c>
      <c r="AA64" s="133">
        <v>54.1</v>
      </c>
      <c r="AB64" s="133">
        <f t="shared" si="10"/>
        <v>60.592</v>
      </c>
      <c r="AC64" s="133">
        <v>4.1</v>
      </c>
      <c r="AD64" s="133">
        <f t="shared" si="11"/>
        <v>4.592</v>
      </c>
      <c r="AE64" s="136" t="s">
        <v>2338</v>
      </c>
      <c r="AF64" s="25" t="s">
        <v>2339</v>
      </c>
      <c r="AG64" s="46">
        <v>44924.0</v>
      </c>
      <c r="AH64" s="25">
        <v>2020.0</v>
      </c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</row>
    <row r="65">
      <c r="A65" s="25">
        <f t="shared" si="15"/>
        <v>64</v>
      </c>
      <c r="B65" s="25" t="s">
        <v>2340</v>
      </c>
      <c r="C65" s="126" t="s">
        <v>1969</v>
      </c>
      <c r="D65" s="32"/>
      <c r="E65" s="25"/>
      <c r="F65" s="25" t="s">
        <v>2341</v>
      </c>
      <c r="G65" s="25" t="s">
        <v>83</v>
      </c>
      <c r="H65" s="25" t="s">
        <v>43</v>
      </c>
      <c r="I65" s="25" t="s">
        <v>33</v>
      </c>
      <c r="J65" s="127">
        <v>43987.0</v>
      </c>
      <c r="K65" s="25">
        <v>130.0</v>
      </c>
      <c r="L65" s="25" t="s">
        <v>1971</v>
      </c>
      <c r="M65" s="128">
        <v>1871.0</v>
      </c>
      <c r="N65" s="32"/>
      <c r="O65" s="25" t="s">
        <v>1324</v>
      </c>
      <c r="P65" s="129" t="s">
        <v>2342</v>
      </c>
      <c r="Q65" s="134"/>
      <c r="R65" s="32"/>
      <c r="S65" s="132">
        <v>2650.0</v>
      </c>
      <c r="T65" s="136" t="s">
        <v>2343</v>
      </c>
      <c r="U65" s="133">
        <v>8.9</v>
      </c>
      <c r="V65" s="133">
        <f t="shared" si="7"/>
        <v>11.57</v>
      </c>
      <c r="W65" s="133">
        <v>65.4</v>
      </c>
      <c r="X65" s="133">
        <f t="shared" si="8"/>
        <v>85.02</v>
      </c>
      <c r="Y65" s="133">
        <v>16.8</v>
      </c>
      <c r="Z65" s="133">
        <f t="shared" si="9"/>
        <v>21.84</v>
      </c>
      <c r="AA65" s="133">
        <v>7.8</v>
      </c>
      <c r="AB65" s="133">
        <f t="shared" si="10"/>
        <v>10.14</v>
      </c>
      <c r="AC65" s="133">
        <v>1.1</v>
      </c>
      <c r="AD65" s="133">
        <f t="shared" si="11"/>
        <v>1.43</v>
      </c>
      <c r="AE65" s="21" t="s">
        <v>2344</v>
      </c>
      <c r="AF65" s="25" t="s">
        <v>2345</v>
      </c>
      <c r="AG65" s="46">
        <v>54098.0</v>
      </c>
      <c r="AH65" s="25">
        <v>2020.0</v>
      </c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</row>
    <row r="66">
      <c r="A66" s="25">
        <f t="shared" si="15"/>
        <v>65</v>
      </c>
      <c r="B66" s="154" t="s">
        <v>2346</v>
      </c>
      <c r="C66" s="126" t="s">
        <v>1969</v>
      </c>
      <c r="D66" s="32"/>
      <c r="E66" s="25"/>
      <c r="F66" s="25" t="s">
        <v>2347</v>
      </c>
      <c r="G66" s="25" t="s">
        <v>21</v>
      </c>
      <c r="H66" s="25" t="s">
        <v>22</v>
      </c>
      <c r="I66" s="25" t="s">
        <v>23</v>
      </c>
      <c r="J66" s="127">
        <v>43989.0</v>
      </c>
      <c r="K66" s="25">
        <v>385.0</v>
      </c>
      <c r="L66" s="25" t="s">
        <v>1971</v>
      </c>
      <c r="M66" s="128">
        <v>1939.0</v>
      </c>
      <c r="N66" s="32"/>
      <c r="O66" s="25" t="s">
        <v>1436</v>
      </c>
      <c r="P66" s="129" t="s">
        <v>2348</v>
      </c>
      <c r="Q66" s="134"/>
      <c r="R66" s="32"/>
      <c r="S66" s="132">
        <v>14134.0</v>
      </c>
      <c r="T66" s="21" t="s">
        <v>2349</v>
      </c>
      <c r="U66" s="133">
        <v>6.0</v>
      </c>
      <c r="V66" s="133">
        <f t="shared" si="7"/>
        <v>23.1</v>
      </c>
      <c r="W66" s="133">
        <v>5.2</v>
      </c>
      <c r="X66" s="133">
        <f t="shared" si="8"/>
        <v>20.02</v>
      </c>
      <c r="Y66" s="133">
        <v>16.8</v>
      </c>
      <c r="Z66" s="133">
        <f t="shared" si="9"/>
        <v>64.68</v>
      </c>
      <c r="AA66" s="133">
        <v>53.6</v>
      </c>
      <c r="AB66" s="133">
        <f t="shared" si="10"/>
        <v>206.36</v>
      </c>
      <c r="AC66" s="133">
        <v>18.4</v>
      </c>
      <c r="AD66" s="133">
        <f t="shared" si="11"/>
        <v>70.84</v>
      </c>
      <c r="AE66" s="136" t="s">
        <v>2350</v>
      </c>
      <c r="AF66" s="25" t="s">
        <v>2351</v>
      </c>
      <c r="AG66" s="46">
        <v>148332.0</v>
      </c>
      <c r="AH66" s="25">
        <v>2020.0</v>
      </c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</row>
    <row r="67">
      <c r="A67" s="25">
        <f t="shared" si="15"/>
        <v>66</v>
      </c>
      <c r="B67" s="25" t="s">
        <v>2352</v>
      </c>
      <c r="C67" s="126" t="s">
        <v>1969</v>
      </c>
      <c r="D67" s="32"/>
      <c r="E67" s="25"/>
      <c r="F67" s="25" t="s">
        <v>2353</v>
      </c>
      <c r="G67" s="25" t="s">
        <v>468</v>
      </c>
      <c r="H67" s="25" t="s">
        <v>32</v>
      </c>
      <c r="I67" s="25" t="s">
        <v>33</v>
      </c>
      <c r="J67" s="127">
        <v>43990.0</v>
      </c>
      <c r="K67" s="25">
        <v>43.0</v>
      </c>
      <c r="L67" s="25" t="s">
        <v>1978</v>
      </c>
      <c r="M67" s="128">
        <v>1954.0</v>
      </c>
      <c r="N67" s="32"/>
      <c r="O67" s="32"/>
      <c r="P67" s="32"/>
      <c r="Q67" s="134"/>
      <c r="R67" s="32"/>
      <c r="S67" s="132">
        <v>4000.0</v>
      </c>
      <c r="T67" s="149" t="s">
        <v>2354</v>
      </c>
      <c r="U67" s="133">
        <v>0.0</v>
      </c>
      <c r="V67" s="133">
        <f t="shared" si="7"/>
        <v>0</v>
      </c>
      <c r="W67" s="133">
        <v>15.8</v>
      </c>
      <c r="X67" s="133">
        <f t="shared" si="8"/>
        <v>6.794</v>
      </c>
      <c r="Y67" s="133">
        <v>5.3</v>
      </c>
      <c r="Z67" s="133">
        <f t="shared" si="9"/>
        <v>2.279</v>
      </c>
      <c r="AA67" s="133">
        <v>68.4</v>
      </c>
      <c r="AB67" s="133">
        <f t="shared" si="10"/>
        <v>29.412</v>
      </c>
      <c r="AC67" s="133">
        <v>10.5</v>
      </c>
      <c r="AD67" s="133">
        <f t="shared" si="11"/>
        <v>4.515</v>
      </c>
      <c r="AE67" s="149" t="s">
        <v>2355</v>
      </c>
      <c r="AF67" s="25" t="s">
        <v>2356</v>
      </c>
      <c r="AG67" s="46">
        <v>68577.0</v>
      </c>
      <c r="AH67" s="25">
        <v>2020.0</v>
      </c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</row>
    <row r="68">
      <c r="A68" s="25">
        <f t="shared" si="15"/>
        <v>67</v>
      </c>
      <c r="B68" s="25" t="s">
        <v>2357</v>
      </c>
      <c r="C68" s="126" t="s">
        <v>1969</v>
      </c>
      <c r="D68" s="32"/>
      <c r="E68" s="25"/>
      <c r="F68" s="25" t="s">
        <v>2358</v>
      </c>
      <c r="G68" s="25" t="s">
        <v>2359</v>
      </c>
      <c r="H68" s="25" t="s">
        <v>43</v>
      </c>
      <c r="I68" s="25" t="s">
        <v>33</v>
      </c>
      <c r="J68" s="127">
        <v>43990.0</v>
      </c>
      <c r="K68" s="25">
        <v>196.0</v>
      </c>
      <c r="L68" s="25" t="s">
        <v>1971</v>
      </c>
      <c r="M68" s="128">
        <v>1915.0</v>
      </c>
      <c r="N68" s="32"/>
      <c r="O68" s="25" t="s">
        <v>1324</v>
      </c>
      <c r="P68" s="21" t="s">
        <v>2360</v>
      </c>
      <c r="Q68" s="134"/>
      <c r="R68" s="32"/>
      <c r="S68" s="132">
        <v>5926.0</v>
      </c>
      <c r="T68" s="136" t="s">
        <v>2361</v>
      </c>
      <c r="U68" s="133">
        <v>10.0</v>
      </c>
      <c r="V68" s="133">
        <f t="shared" si="7"/>
        <v>19.6</v>
      </c>
      <c r="W68" s="133">
        <v>3.0</v>
      </c>
      <c r="X68" s="133">
        <f t="shared" si="8"/>
        <v>5.88</v>
      </c>
      <c r="Y68" s="133">
        <v>0.0</v>
      </c>
      <c r="Z68" s="133">
        <f t="shared" si="9"/>
        <v>0</v>
      </c>
      <c r="AA68" s="133">
        <v>85.0</v>
      </c>
      <c r="AB68" s="133">
        <f t="shared" si="10"/>
        <v>166.6</v>
      </c>
      <c r="AC68" s="133">
        <v>0.0</v>
      </c>
      <c r="AD68" s="133">
        <f t="shared" si="11"/>
        <v>0</v>
      </c>
      <c r="AE68" s="149" t="s">
        <v>2362</v>
      </c>
      <c r="AF68" s="25" t="s">
        <v>2363</v>
      </c>
      <c r="AG68" s="46">
        <v>41560.0</v>
      </c>
      <c r="AH68" s="25">
        <v>2020.0</v>
      </c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</row>
    <row r="69">
      <c r="A69" s="25">
        <f t="shared" si="15"/>
        <v>68</v>
      </c>
      <c r="B69" s="25" t="s">
        <v>2364</v>
      </c>
      <c r="C69" s="126" t="s">
        <v>1969</v>
      </c>
      <c r="D69" s="32"/>
      <c r="E69" s="25"/>
      <c r="F69" s="25" t="s">
        <v>2365</v>
      </c>
      <c r="G69" s="25" t="s">
        <v>436</v>
      </c>
      <c r="H69" s="25" t="s">
        <v>32</v>
      </c>
      <c r="I69" s="25" t="s">
        <v>237</v>
      </c>
      <c r="J69" s="127">
        <v>43992.0</v>
      </c>
      <c r="K69" s="25">
        <v>106.0</v>
      </c>
      <c r="L69" s="25" t="s">
        <v>1971</v>
      </c>
      <c r="M69" s="128">
        <v>2007.0</v>
      </c>
      <c r="N69" s="32"/>
      <c r="O69" s="25" t="s">
        <v>1436</v>
      </c>
      <c r="P69" s="149" t="s">
        <v>2366</v>
      </c>
      <c r="Q69" s="134"/>
      <c r="R69" s="149"/>
      <c r="S69" s="132">
        <v>20500.0</v>
      </c>
      <c r="T69" s="149" t="s">
        <v>2367</v>
      </c>
      <c r="U69" s="133">
        <v>7.8</v>
      </c>
      <c r="V69" s="133">
        <f t="shared" si="7"/>
        <v>8.268</v>
      </c>
      <c r="W69" s="133">
        <v>18.8</v>
      </c>
      <c r="X69" s="133">
        <f t="shared" si="8"/>
        <v>19.928</v>
      </c>
      <c r="Y69" s="133">
        <v>6.3</v>
      </c>
      <c r="Z69" s="133">
        <f t="shared" si="9"/>
        <v>6.678</v>
      </c>
      <c r="AA69" s="133">
        <v>54.7</v>
      </c>
      <c r="AB69" s="133">
        <f t="shared" si="10"/>
        <v>57.982</v>
      </c>
      <c r="AC69" s="133">
        <v>12.5</v>
      </c>
      <c r="AD69" s="133">
        <f t="shared" si="11"/>
        <v>13.25</v>
      </c>
      <c r="AE69" s="149" t="s">
        <v>2368</v>
      </c>
      <c r="AF69" s="25" t="s">
        <v>2369</v>
      </c>
      <c r="AG69" s="46">
        <v>77430.0</v>
      </c>
      <c r="AH69" s="25">
        <v>2020.0</v>
      </c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</row>
    <row r="70">
      <c r="A70" s="25">
        <f t="shared" si="15"/>
        <v>69</v>
      </c>
      <c r="B70" s="25" t="s">
        <v>2370</v>
      </c>
      <c r="C70" s="126" t="s">
        <v>1969</v>
      </c>
      <c r="D70" s="32"/>
      <c r="E70" s="25"/>
      <c r="F70" s="25" t="s">
        <v>2371</v>
      </c>
      <c r="G70" s="25" t="s">
        <v>91</v>
      </c>
      <c r="H70" s="25" t="s">
        <v>43</v>
      </c>
      <c r="I70" s="25" t="s">
        <v>33</v>
      </c>
      <c r="J70" s="127">
        <v>43992.0</v>
      </c>
      <c r="K70" s="25">
        <v>60.0</v>
      </c>
      <c r="L70" s="25" t="s">
        <v>1971</v>
      </c>
      <c r="M70" s="128">
        <v>1925.0</v>
      </c>
      <c r="N70" s="32"/>
      <c r="O70" s="25" t="s">
        <v>1324</v>
      </c>
      <c r="P70" s="129" t="s">
        <v>2372</v>
      </c>
      <c r="Q70" s="134"/>
      <c r="R70" s="32"/>
      <c r="S70" s="132">
        <v>3500.0</v>
      </c>
      <c r="T70" s="136" t="s">
        <v>2373</v>
      </c>
      <c r="U70" s="133">
        <v>0.0</v>
      </c>
      <c r="V70" s="133">
        <f t="shared" si="7"/>
        <v>0</v>
      </c>
      <c r="W70" s="133">
        <v>2.6</v>
      </c>
      <c r="X70" s="133">
        <f t="shared" si="8"/>
        <v>1.56</v>
      </c>
      <c r="Y70" s="133">
        <v>1.6</v>
      </c>
      <c r="Z70" s="133">
        <f t="shared" si="9"/>
        <v>0.96</v>
      </c>
      <c r="AA70" s="133">
        <v>93.8</v>
      </c>
      <c r="AB70" s="133">
        <f t="shared" si="10"/>
        <v>56.28</v>
      </c>
      <c r="AC70" s="133">
        <v>2.1</v>
      </c>
      <c r="AD70" s="133">
        <f t="shared" si="11"/>
        <v>1.26</v>
      </c>
      <c r="AE70" s="136" t="s">
        <v>2374</v>
      </c>
      <c r="AF70" s="25" t="s">
        <v>2375</v>
      </c>
      <c r="AG70" s="46">
        <v>58764.0</v>
      </c>
      <c r="AH70" s="25">
        <v>2020.0</v>
      </c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</row>
    <row r="71">
      <c r="A71" s="25">
        <f t="shared" si="15"/>
        <v>70</v>
      </c>
      <c r="B71" s="25" t="s">
        <v>2376</v>
      </c>
      <c r="C71" s="126" t="s">
        <v>1969</v>
      </c>
      <c r="D71" s="32"/>
      <c r="E71" s="25"/>
      <c r="F71" s="25" t="s">
        <v>2377</v>
      </c>
      <c r="G71" s="25" t="s">
        <v>91</v>
      </c>
      <c r="H71" s="25" t="s">
        <v>43</v>
      </c>
      <c r="I71" s="25" t="s">
        <v>33</v>
      </c>
      <c r="J71" s="127">
        <v>43992.0</v>
      </c>
      <c r="K71" s="25">
        <v>75.0</v>
      </c>
      <c r="L71" s="25" t="s">
        <v>1971</v>
      </c>
      <c r="M71" s="128">
        <v>1743.0</v>
      </c>
      <c r="N71" s="25" t="s">
        <v>2378</v>
      </c>
      <c r="O71" s="25" t="s">
        <v>1324</v>
      </c>
      <c r="P71" s="129" t="s">
        <v>2372</v>
      </c>
      <c r="Q71" s="134"/>
      <c r="R71" s="32"/>
      <c r="S71" s="132">
        <v>3595.0</v>
      </c>
      <c r="T71" s="21" t="s">
        <v>2379</v>
      </c>
      <c r="U71" s="133">
        <v>1.9</v>
      </c>
      <c r="V71" s="133">
        <f t="shared" si="7"/>
        <v>1.425</v>
      </c>
      <c r="W71" s="133">
        <v>0.0</v>
      </c>
      <c r="X71" s="133">
        <f t="shared" si="8"/>
        <v>0</v>
      </c>
      <c r="Y71" s="133">
        <v>0.0</v>
      </c>
      <c r="Z71" s="133">
        <f t="shared" si="9"/>
        <v>0</v>
      </c>
      <c r="AA71" s="133">
        <v>98.1</v>
      </c>
      <c r="AB71" s="133">
        <f t="shared" si="10"/>
        <v>73.575</v>
      </c>
      <c r="AC71" s="133">
        <v>0.0</v>
      </c>
      <c r="AD71" s="133">
        <f t="shared" si="11"/>
        <v>0</v>
      </c>
      <c r="AE71" s="136" t="s">
        <v>2380</v>
      </c>
      <c r="AF71" s="25" t="s">
        <v>2381</v>
      </c>
      <c r="AG71" s="46">
        <v>83764.0</v>
      </c>
      <c r="AH71" s="25">
        <v>2020.0</v>
      </c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</row>
    <row r="72">
      <c r="A72" s="25">
        <f t="shared" si="15"/>
        <v>71</v>
      </c>
      <c r="B72" s="25" t="s">
        <v>2382</v>
      </c>
      <c r="C72" s="126" t="s">
        <v>1969</v>
      </c>
      <c r="D72" s="25"/>
      <c r="E72" s="25"/>
      <c r="F72" s="25" t="s">
        <v>2383</v>
      </c>
      <c r="G72" s="25" t="s">
        <v>91</v>
      </c>
      <c r="H72" s="25" t="s">
        <v>43</v>
      </c>
      <c r="I72" s="25" t="s">
        <v>33</v>
      </c>
      <c r="J72" s="127">
        <v>43994.0</v>
      </c>
      <c r="K72" s="25">
        <v>106.0</v>
      </c>
      <c r="L72" s="25" t="s">
        <v>1971</v>
      </c>
      <c r="M72" s="128">
        <v>1954.0</v>
      </c>
      <c r="N72" s="32"/>
      <c r="O72" s="25" t="s">
        <v>1324</v>
      </c>
      <c r="P72" s="21" t="s">
        <v>2384</v>
      </c>
      <c r="Q72" s="134"/>
      <c r="R72" s="32"/>
      <c r="S72" s="132">
        <v>4000.0</v>
      </c>
      <c r="T72" s="136" t="s">
        <v>2385</v>
      </c>
      <c r="U72" s="133">
        <v>3.0</v>
      </c>
      <c r="V72" s="133">
        <f t="shared" si="7"/>
        <v>3.18</v>
      </c>
      <c r="W72" s="133">
        <v>3.6</v>
      </c>
      <c r="X72" s="133">
        <f t="shared" si="8"/>
        <v>3.816</v>
      </c>
      <c r="Y72" s="133">
        <v>0.0</v>
      </c>
      <c r="Z72" s="133">
        <f t="shared" si="9"/>
        <v>0</v>
      </c>
      <c r="AA72" s="133">
        <v>92.3</v>
      </c>
      <c r="AB72" s="133">
        <f t="shared" si="10"/>
        <v>97.838</v>
      </c>
      <c r="AC72" s="133">
        <v>1.2</v>
      </c>
      <c r="AD72" s="133">
        <f t="shared" si="11"/>
        <v>1.272</v>
      </c>
      <c r="AE72" s="136" t="s">
        <v>2386</v>
      </c>
      <c r="AF72" s="25" t="s">
        <v>2387</v>
      </c>
      <c r="AG72" s="46">
        <v>64935.0</v>
      </c>
      <c r="AH72" s="25">
        <v>2020.0</v>
      </c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</row>
    <row r="73">
      <c r="A73" s="25">
        <f t="shared" si="15"/>
        <v>72</v>
      </c>
      <c r="B73" s="31" t="s">
        <v>2388</v>
      </c>
      <c r="C73" s="126" t="s">
        <v>1969</v>
      </c>
      <c r="D73" s="32"/>
      <c r="E73" s="25"/>
      <c r="F73" s="25" t="s">
        <v>2389</v>
      </c>
      <c r="G73" s="25" t="s">
        <v>91</v>
      </c>
      <c r="H73" s="25" t="s">
        <v>43</v>
      </c>
      <c r="I73" s="25" t="s">
        <v>33</v>
      </c>
      <c r="J73" s="127">
        <v>43994.0</v>
      </c>
      <c r="K73" s="25">
        <v>85.0</v>
      </c>
      <c r="L73" s="25" t="s">
        <v>1971</v>
      </c>
      <c r="M73" s="128">
        <v>1954.0</v>
      </c>
      <c r="N73" s="32"/>
      <c r="O73" s="25" t="s">
        <v>1324</v>
      </c>
      <c r="P73" s="21" t="s">
        <v>2390</v>
      </c>
      <c r="Q73" s="134"/>
      <c r="R73" s="32"/>
      <c r="S73" s="132"/>
      <c r="T73" s="20"/>
      <c r="U73" s="133">
        <v>1.5</v>
      </c>
      <c r="V73" s="133">
        <f t="shared" si="7"/>
        <v>1.275</v>
      </c>
      <c r="W73" s="133">
        <v>0.5</v>
      </c>
      <c r="X73" s="133">
        <f t="shared" si="8"/>
        <v>0.425</v>
      </c>
      <c r="Y73" s="133">
        <v>1.0</v>
      </c>
      <c r="Z73" s="133">
        <f t="shared" si="9"/>
        <v>0.85</v>
      </c>
      <c r="AA73" s="133">
        <v>96.6</v>
      </c>
      <c r="AB73" s="133">
        <f t="shared" si="10"/>
        <v>82.11</v>
      </c>
      <c r="AC73" s="133">
        <v>0.5</v>
      </c>
      <c r="AD73" s="133">
        <f t="shared" si="11"/>
        <v>0.425</v>
      </c>
      <c r="AE73" s="136" t="s">
        <v>2391</v>
      </c>
      <c r="AF73" s="25" t="s">
        <v>2392</v>
      </c>
      <c r="AG73" s="46">
        <v>39109.0</v>
      </c>
      <c r="AH73" s="25">
        <v>2020.0</v>
      </c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</row>
    <row r="74">
      <c r="A74" s="25">
        <f t="shared" si="15"/>
        <v>73</v>
      </c>
      <c r="B74" s="25" t="s">
        <v>2082</v>
      </c>
      <c r="C74" s="126" t="s">
        <v>1969</v>
      </c>
      <c r="D74" s="32"/>
      <c r="E74" s="25"/>
      <c r="F74" s="25" t="s">
        <v>2393</v>
      </c>
      <c r="G74" s="25" t="s">
        <v>1072</v>
      </c>
      <c r="H74" s="25" t="s">
        <v>22</v>
      </c>
      <c r="I74" s="25" t="s">
        <v>33</v>
      </c>
      <c r="J74" s="127">
        <v>43994.0</v>
      </c>
      <c r="K74" s="25">
        <v>55.0</v>
      </c>
      <c r="L74" s="155" t="s">
        <v>1971</v>
      </c>
      <c r="M74" s="128">
        <v>1959.0</v>
      </c>
      <c r="N74" s="32"/>
      <c r="O74" s="25" t="s">
        <v>1324</v>
      </c>
      <c r="P74" s="129" t="s">
        <v>2394</v>
      </c>
      <c r="Q74" s="134"/>
      <c r="R74" s="32"/>
      <c r="S74" s="132">
        <v>6290.0</v>
      </c>
      <c r="T74" s="129" t="s">
        <v>2395</v>
      </c>
      <c r="U74" s="133">
        <v>0.6</v>
      </c>
      <c r="V74" s="133">
        <f t="shared" si="7"/>
        <v>0.33</v>
      </c>
      <c r="W74" s="133">
        <v>0.6</v>
      </c>
      <c r="X74" s="133">
        <f t="shared" si="8"/>
        <v>0.33</v>
      </c>
      <c r="Y74" s="133">
        <v>89.9</v>
      </c>
      <c r="Z74" s="133">
        <f t="shared" si="9"/>
        <v>49.445</v>
      </c>
      <c r="AA74" s="133">
        <v>2.5</v>
      </c>
      <c r="AB74" s="133">
        <f t="shared" si="10"/>
        <v>1.375</v>
      </c>
      <c r="AC74" s="133">
        <v>6.3</v>
      </c>
      <c r="AD74" s="133">
        <f t="shared" si="11"/>
        <v>3.465</v>
      </c>
      <c r="AE74" s="136" t="s">
        <v>2396</v>
      </c>
      <c r="AF74" s="25" t="s">
        <v>2397</v>
      </c>
      <c r="AG74" s="46">
        <v>70521.0</v>
      </c>
      <c r="AH74" s="25">
        <v>2020.0</v>
      </c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</row>
    <row r="75">
      <c r="A75" s="25">
        <f t="shared" si="15"/>
        <v>74</v>
      </c>
      <c r="B75" s="25" t="s">
        <v>2398</v>
      </c>
      <c r="C75" s="126" t="s">
        <v>1969</v>
      </c>
      <c r="D75" s="25" t="s">
        <v>2399</v>
      </c>
      <c r="E75" s="25"/>
      <c r="F75" s="25" t="s">
        <v>2400</v>
      </c>
      <c r="G75" s="25" t="s">
        <v>91</v>
      </c>
      <c r="H75" s="25" t="s">
        <v>43</v>
      </c>
      <c r="I75" s="25" t="s">
        <v>33</v>
      </c>
      <c r="J75" s="127">
        <v>43994.0</v>
      </c>
      <c r="K75" s="25">
        <v>135.0</v>
      </c>
      <c r="L75" s="149" t="s">
        <v>2401</v>
      </c>
      <c r="M75" s="128">
        <v>1898.0</v>
      </c>
      <c r="N75" s="31" t="s">
        <v>2402</v>
      </c>
      <c r="O75" s="25" t="s">
        <v>1324</v>
      </c>
      <c r="P75" s="21" t="s">
        <v>2403</v>
      </c>
      <c r="Q75" s="134"/>
      <c r="R75" s="32"/>
      <c r="S75" s="132">
        <v>4385.0</v>
      </c>
      <c r="T75" s="136" t="s">
        <v>2404</v>
      </c>
      <c r="U75" s="133">
        <v>1.3</v>
      </c>
      <c r="V75" s="133">
        <f t="shared" si="7"/>
        <v>1.755</v>
      </c>
      <c r="W75" s="133">
        <v>1.3</v>
      </c>
      <c r="X75" s="133">
        <f t="shared" si="8"/>
        <v>1.755</v>
      </c>
      <c r="Y75" s="133">
        <v>2.6</v>
      </c>
      <c r="Z75" s="133">
        <f t="shared" si="9"/>
        <v>3.51</v>
      </c>
      <c r="AA75" s="133">
        <v>91.0</v>
      </c>
      <c r="AB75" s="133">
        <f t="shared" si="10"/>
        <v>122.85</v>
      </c>
      <c r="AC75" s="133">
        <v>3.9</v>
      </c>
      <c r="AD75" s="133">
        <f t="shared" si="11"/>
        <v>5.265</v>
      </c>
      <c r="AE75" s="136" t="s">
        <v>2405</v>
      </c>
      <c r="AF75" s="25" t="s">
        <v>2406</v>
      </c>
      <c r="AG75" s="46">
        <v>61100.0</v>
      </c>
      <c r="AH75" s="25">
        <v>2020.0</v>
      </c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</row>
    <row r="76">
      <c r="A76" s="25">
        <f t="shared" si="15"/>
        <v>75</v>
      </c>
      <c r="B76" s="25" t="s">
        <v>2407</v>
      </c>
      <c r="C76" s="126" t="s">
        <v>1969</v>
      </c>
      <c r="D76" s="25"/>
      <c r="E76" s="25"/>
      <c r="F76" s="25" t="s">
        <v>2408</v>
      </c>
      <c r="G76" s="25" t="s">
        <v>1084</v>
      </c>
      <c r="H76" s="25" t="s">
        <v>32</v>
      </c>
      <c r="I76" s="25" t="s">
        <v>33</v>
      </c>
      <c r="J76" s="127">
        <v>43995.0</v>
      </c>
      <c r="K76" s="25">
        <v>89.0</v>
      </c>
      <c r="L76" s="25" t="s">
        <v>1971</v>
      </c>
      <c r="M76" s="128"/>
      <c r="N76" s="32"/>
      <c r="O76" s="25" t="s">
        <v>1324</v>
      </c>
      <c r="P76" s="149" t="s">
        <v>2409</v>
      </c>
      <c r="Q76" s="134"/>
      <c r="R76" s="32"/>
      <c r="S76" s="132">
        <v>5046.0</v>
      </c>
      <c r="T76" s="149" t="s">
        <v>2410</v>
      </c>
      <c r="U76" s="133">
        <v>8.0</v>
      </c>
      <c r="V76" s="133">
        <f t="shared" si="7"/>
        <v>7.12</v>
      </c>
      <c r="W76" s="133">
        <v>1.6</v>
      </c>
      <c r="X76" s="133">
        <f t="shared" si="8"/>
        <v>1.424</v>
      </c>
      <c r="Y76" s="133">
        <v>0.8</v>
      </c>
      <c r="Z76" s="133">
        <f t="shared" si="9"/>
        <v>0.712</v>
      </c>
      <c r="AA76" s="133">
        <v>85.6</v>
      </c>
      <c r="AB76" s="133">
        <f t="shared" si="10"/>
        <v>76.184</v>
      </c>
      <c r="AC76" s="133">
        <v>4.0</v>
      </c>
      <c r="AD76" s="133">
        <f t="shared" si="11"/>
        <v>3.56</v>
      </c>
      <c r="AE76" s="149" t="s">
        <v>2411</v>
      </c>
      <c r="AF76" s="25" t="s">
        <v>2412</v>
      </c>
      <c r="AG76" s="46">
        <v>84337.0</v>
      </c>
      <c r="AH76" s="25">
        <v>2020.0</v>
      </c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</row>
    <row r="77">
      <c r="A77" s="25">
        <f t="shared" si="15"/>
        <v>76</v>
      </c>
      <c r="B77" s="25" t="s">
        <v>2413</v>
      </c>
      <c r="C77" s="126" t="s">
        <v>1969</v>
      </c>
      <c r="D77" s="32"/>
      <c r="E77" s="25"/>
      <c r="F77" s="25" t="s">
        <v>2414</v>
      </c>
      <c r="G77" s="25" t="s">
        <v>115</v>
      </c>
      <c r="H77" s="25" t="s">
        <v>32</v>
      </c>
      <c r="I77" s="25" t="s">
        <v>23</v>
      </c>
      <c r="J77" s="127">
        <v>43999.0</v>
      </c>
      <c r="K77" s="25">
        <v>130.0</v>
      </c>
      <c r="L77" s="25" t="s">
        <v>1978</v>
      </c>
      <c r="M77" s="128">
        <v>1965.0</v>
      </c>
      <c r="N77" s="32"/>
      <c r="O77" s="25" t="s">
        <v>1324</v>
      </c>
      <c r="P77" s="21" t="s">
        <v>2415</v>
      </c>
      <c r="Q77" s="134"/>
      <c r="R77" s="32"/>
      <c r="S77" s="132">
        <v>25985.0</v>
      </c>
      <c r="T77" s="129" t="s">
        <v>2416</v>
      </c>
      <c r="U77" s="133">
        <v>15.4</v>
      </c>
      <c r="V77" s="133">
        <f t="shared" si="7"/>
        <v>20.02</v>
      </c>
      <c r="W77" s="133">
        <v>3.8</v>
      </c>
      <c r="X77" s="133">
        <f t="shared" si="8"/>
        <v>4.94</v>
      </c>
      <c r="Y77" s="133">
        <v>15.4</v>
      </c>
      <c r="Z77" s="133">
        <f t="shared" si="9"/>
        <v>20.02</v>
      </c>
      <c r="AA77" s="133">
        <v>61.5</v>
      </c>
      <c r="AB77" s="133">
        <f t="shared" si="10"/>
        <v>79.95</v>
      </c>
      <c r="AC77" s="133">
        <v>3.8</v>
      </c>
      <c r="AD77" s="133">
        <f t="shared" si="11"/>
        <v>4.94</v>
      </c>
      <c r="AE77" s="149" t="s">
        <v>2417</v>
      </c>
      <c r="AF77" s="25" t="s">
        <v>487</v>
      </c>
      <c r="AG77" s="46">
        <v>166109.0</v>
      </c>
      <c r="AH77" s="25">
        <v>2020.0</v>
      </c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</row>
    <row r="78">
      <c r="A78" s="25">
        <f t="shared" si="15"/>
        <v>77</v>
      </c>
      <c r="B78" s="25" t="s">
        <v>2418</v>
      </c>
      <c r="C78" s="126" t="s">
        <v>1969</v>
      </c>
      <c r="D78" s="32"/>
      <c r="E78" s="25"/>
      <c r="F78" s="25" t="s">
        <v>2419</v>
      </c>
      <c r="G78" s="25" t="s">
        <v>713</v>
      </c>
      <c r="H78" s="25" t="s">
        <v>67</v>
      </c>
      <c r="I78" s="25" t="s">
        <v>33</v>
      </c>
      <c r="J78" s="127">
        <v>44000.0</v>
      </c>
      <c r="K78" s="25">
        <v>60.0</v>
      </c>
      <c r="L78" s="25" t="s">
        <v>1971</v>
      </c>
      <c r="M78" s="128">
        <v>1955.0</v>
      </c>
      <c r="N78" s="32"/>
      <c r="O78" s="25" t="s">
        <v>1324</v>
      </c>
      <c r="P78" s="136" t="s">
        <v>2420</v>
      </c>
      <c r="Q78" s="134"/>
      <c r="R78" s="32"/>
      <c r="S78" s="132">
        <v>0.0</v>
      </c>
      <c r="T78" s="21" t="s">
        <v>2420</v>
      </c>
      <c r="U78" s="133">
        <v>0.0</v>
      </c>
      <c r="V78" s="133">
        <f t="shared" si="7"/>
        <v>0</v>
      </c>
      <c r="W78" s="133">
        <v>2.9</v>
      </c>
      <c r="X78" s="133">
        <f t="shared" si="8"/>
        <v>1.74</v>
      </c>
      <c r="Y78" s="133">
        <v>1.0</v>
      </c>
      <c r="Z78" s="133">
        <f t="shared" si="9"/>
        <v>0.6</v>
      </c>
      <c r="AA78" s="133">
        <v>95.1</v>
      </c>
      <c r="AB78" s="133">
        <f t="shared" si="10"/>
        <v>57.06</v>
      </c>
      <c r="AC78" s="133">
        <v>1.0</v>
      </c>
      <c r="AD78" s="133">
        <f t="shared" si="11"/>
        <v>0.6</v>
      </c>
      <c r="AE78" s="136" t="s">
        <v>2421</v>
      </c>
      <c r="AF78" s="25" t="s">
        <v>2422</v>
      </c>
      <c r="AG78" s="46">
        <v>91982.0</v>
      </c>
      <c r="AH78" s="25">
        <v>2020.0</v>
      </c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</row>
    <row r="79">
      <c r="A79" s="25">
        <f t="shared" si="15"/>
        <v>78</v>
      </c>
      <c r="B79" s="25" t="s">
        <v>2423</v>
      </c>
      <c r="C79" s="126" t="s">
        <v>1969</v>
      </c>
      <c r="D79" s="32"/>
      <c r="E79" s="25"/>
      <c r="F79" s="25" t="s">
        <v>2424</v>
      </c>
      <c r="G79" s="25" t="s">
        <v>76</v>
      </c>
      <c r="H79" s="25" t="s">
        <v>43</v>
      </c>
      <c r="I79" s="25" t="s">
        <v>33</v>
      </c>
      <c r="J79" s="127">
        <v>44001.0</v>
      </c>
      <c r="K79" s="25">
        <v>139.0</v>
      </c>
      <c r="L79" s="25" t="s">
        <v>1971</v>
      </c>
      <c r="M79" s="128"/>
      <c r="N79" s="32"/>
      <c r="O79" s="25" t="s">
        <v>1324</v>
      </c>
      <c r="P79" s="136" t="s">
        <v>2425</v>
      </c>
      <c r="Q79" s="134"/>
      <c r="R79" s="32"/>
      <c r="S79" s="132">
        <v>6108.0</v>
      </c>
      <c r="T79" s="136" t="s">
        <v>2426</v>
      </c>
      <c r="U79" s="133">
        <v>7.0</v>
      </c>
      <c r="V79" s="133">
        <f t="shared" si="7"/>
        <v>9.73</v>
      </c>
      <c r="W79" s="133">
        <v>9.4</v>
      </c>
      <c r="X79" s="133">
        <f t="shared" si="8"/>
        <v>13.066</v>
      </c>
      <c r="Y79" s="133">
        <v>1.9</v>
      </c>
      <c r="Z79" s="133">
        <f t="shared" si="9"/>
        <v>2.641</v>
      </c>
      <c r="AA79" s="133">
        <v>80.3</v>
      </c>
      <c r="AB79" s="133">
        <f t="shared" si="10"/>
        <v>111.617</v>
      </c>
      <c r="AC79" s="133">
        <v>1.4</v>
      </c>
      <c r="AD79" s="133">
        <f t="shared" si="11"/>
        <v>1.946</v>
      </c>
      <c r="AE79" s="136" t="s">
        <v>2427</v>
      </c>
      <c r="AF79" s="25" t="s">
        <v>2428</v>
      </c>
      <c r="AG79" s="46">
        <v>175075.0</v>
      </c>
      <c r="AH79" s="25">
        <v>2020.0</v>
      </c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</row>
    <row r="80">
      <c r="A80" s="25">
        <f t="shared" si="15"/>
        <v>79</v>
      </c>
      <c r="B80" s="42" t="s">
        <v>2429</v>
      </c>
      <c r="C80" s="126" t="s">
        <v>1969</v>
      </c>
      <c r="D80" s="32"/>
      <c r="E80" s="25"/>
      <c r="F80" s="25" t="s">
        <v>2430</v>
      </c>
      <c r="G80" s="25" t="s">
        <v>76</v>
      </c>
      <c r="H80" s="25" t="s">
        <v>43</v>
      </c>
      <c r="I80" s="25" t="s">
        <v>33</v>
      </c>
      <c r="J80" s="127">
        <v>44001.0</v>
      </c>
      <c r="K80" s="25">
        <v>66.0</v>
      </c>
      <c r="L80" s="25" t="s">
        <v>1971</v>
      </c>
      <c r="M80" s="128">
        <v>1938.0</v>
      </c>
      <c r="N80" s="32"/>
      <c r="O80" s="25" t="s">
        <v>1324</v>
      </c>
      <c r="P80" s="136" t="s">
        <v>2425</v>
      </c>
      <c r="Q80" s="134"/>
      <c r="R80" s="32"/>
      <c r="S80" s="132">
        <v>5846.0</v>
      </c>
      <c r="T80" s="136" t="s">
        <v>2431</v>
      </c>
      <c r="U80" s="133">
        <v>3.7</v>
      </c>
      <c r="V80" s="133">
        <f t="shared" si="7"/>
        <v>2.442</v>
      </c>
      <c r="W80" s="133">
        <v>9.3</v>
      </c>
      <c r="X80" s="133">
        <f t="shared" si="8"/>
        <v>6.138</v>
      </c>
      <c r="Y80" s="133">
        <v>3.7</v>
      </c>
      <c r="Z80" s="133">
        <f t="shared" si="9"/>
        <v>2.442</v>
      </c>
      <c r="AA80" s="133">
        <v>79.6</v>
      </c>
      <c r="AB80" s="133">
        <f t="shared" si="10"/>
        <v>52.536</v>
      </c>
      <c r="AC80" s="133">
        <v>3.8</v>
      </c>
      <c r="AD80" s="133">
        <f t="shared" si="11"/>
        <v>2.508</v>
      </c>
      <c r="AE80" s="136" t="s">
        <v>2432</v>
      </c>
      <c r="AF80" s="25" t="s">
        <v>2433</v>
      </c>
      <c r="AG80" s="46">
        <v>158415.0</v>
      </c>
      <c r="AH80" s="25">
        <v>2020.0</v>
      </c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</row>
    <row r="81">
      <c r="A81" s="25">
        <f t="shared" si="15"/>
        <v>80</v>
      </c>
      <c r="B81" s="42" t="s">
        <v>2434</v>
      </c>
      <c r="C81" s="126" t="s">
        <v>1969</v>
      </c>
      <c r="D81" s="32"/>
      <c r="E81" s="25"/>
      <c r="F81" s="25" t="s">
        <v>2435</v>
      </c>
      <c r="G81" s="25" t="s">
        <v>76</v>
      </c>
      <c r="H81" s="25" t="s">
        <v>43</v>
      </c>
      <c r="I81" s="25" t="s">
        <v>33</v>
      </c>
      <c r="J81" s="127">
        <v>44001.0</v>
      </c>
      <c r="K81" s="25">
        <v>99.0</v>
      </c>
      <c r="L81" s="25" t="s">
        <v>1971</v>
      </c>
      <c r="M81" s="128">
        <v>1925.0</v>
      </c>
      <c r="N81" s="32"/>
      <c r="O81" s="25" t="s">
        <v>1324</v>
      </c>
      <c r="P81" s="136" t="s">
        <v>2425</v>
      </c>
      <c r="Q81" s="134"/>
      <c r="R81" s="32"/>
      <c r="S81" s="135"/>
      <c r="T81" s="131"/>
      <c r="U81" s="133">
        <v>1.1</v>
      </c>
      <c r="V81" s="133">
        <f t="shared" si="7"/>
        <v>1.089</v>
      </c>
      <c r="W81" s="133">
        <v>0.0</v>
      </c>
      <c r="X81" s="133">
        <f t="shared" si="8"/>
        <v>0</v>
      </c>
      <c r="Y81" s="133">
        <v>6.8</v>
      </c>
      <c r="Z81" s="133">
        <f t="shared" si="9"/>
        <v>6.732</v>
      </c>
      <c r="AA81" s="133">
        <v>90.0</v>
      </c>
      <c r="AB81" s="133">
        <f t="shared" si="10"/>
        <v>89.1</v>
      </c>
      <c r="AC81" s="133">
        <v>2.1</v>
      </c>
      <c r="AD81" s="133">
        <f t="shared" si="11"/>
        <v>2.079</v>
      </c>
      <c r="AE81" s="136" t="s">
        <v>2436</v>
      </c>
      <c r="AF81" s="25" t="s">
        <v>2437</v>
      </c>
      <c r="AG81" s="46">
        <v>214359.0</v>
      </c>
      <c r="AH81" s="25">
        <v>2020.0</v>
      </c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</row>
    <row r="82">
      <c r="A82" s="25">
        <f t="shared" si="15"/>
        <v>81</v>
      </c>
      <c r="B82" s="25" t="s">
        <v>2438</v>
      </c>
      <c r="C82" s="126" t="s">
        <v>1969</v>
      </c>
      <c r="D82" s="32"/>
      <c r="E82" s="25"/>
      <c r="F82" s="25" t="s">
        <v>2439</v>
      </c>
      <c r="G82" s="25" t="s">
        <v>1072</v>
      </c>
      <c r="H82" s="25" t="s">
        <v>22</v>
      </c>
      <c r="I82" s="25" t="s">
        <v>33</v>
      </c>
      <c r="J82" s="127">
        <v>44006.0</v>
      </c>
      <c r="K82" s="25">
        <v>150.0</v>
      </c>
      <c r="L82" s="25" t="s">
        <v>1971</v>
      </c>
      <c r="M82" s="128">
        <v>1967.0</v>
      </c>
      <c r="N82" s="32"/>
      <c r="O82" s="25" t="s">
        <v>1324</v>
      </c>
      <c r="P82" s="136" t="s">
        <v>2440</v>
      </c>
      <c r="Q82" s="134"/>
      <c r="R82" s="32"/>
      <c r="S82" s="132">
        <v>6600.0</v>
      </c>
      <c r="T82" s="136" t="s">
        <v>2440</v>
      </c>
      <c r="U82" s="133">
        <v>0.0</v>
      </c>
      <c r="V82" s="133">
        <f t="shared" si="7"/>
        <v>0</v>
      </c>
      <c r="W82" s="133">
        <v>4.6</v>
      </c>
      <c r="X82" s="133">
        <f t="shared" si="8"/>
        <v>6.9</v>
      </c>
      <c r="Y82" s="133">
        <v>48.6</v>
      </c>
      <c r="Z82" s="133">
        <f t="shared" si="9"/>
        <v>72.9</v>
      </c>
      <c r="AA82" s="133">
        <v>11.0</v>
      </c>
      <c r="AB82" s="133">
        <f t="shared" si="10"/>
        <v>16.5</v>
      </c>
      <c r="AC82" s="133">
        <v>35.9</v>
      </c>
      <c r="AD82" s="133">
        <f t="shared" si="11"/>
        <v>53.85</v>
      </c>
      <c r="AE82" s="136" t="s">
        <v>2441</v>
      </c>
      <c r="AF82" s="25" t="s">
        <v>2442</v>
      </c>
      <c r="AG82" s="46">
        <v>89388.0</v>
      </c>
      <c r="AH82" s="25">
        <v>2020.0</v>
      </c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</row>
    <row r="83">
      <c r="A83" s="25">
        <f t="shared" si="15"/>
        <v>82</v>
      </c>
      <c r="B83" s="25" t="s">
        <v>2443</v>
      </c>
      <c r="C83" s="126" t="s">
        <v>1969</v>
      </c>
      <c r="D83" s="32"/>
      <c r="E83" s="25"/>
      <c r="F83" s="25" t="s">
        <v>2444</v>
      </c>
      <c r="G83" s="25" t="s">
        <v>133</v>
      </c>
      <c r="H83" s="25" t="s">
        <v>32</v>
      </c>
      <c r="I83" s="25" t="s">
        <v>237</v>
      </c>
      <c r="J83" s="127">
        <v>44006.0</v>
      </c>
      <c r="K83" s="25">
        <v>82.0</v>
      </c>
      <c r="L83" s="25" t="s">
        <v>1978</v>
      </c>
      <c r="M83" s="156"/>
      <c r="N83" s="31" t="s">
        <v>2445</v>
      </c>
      <c r="O83" s="25" t="s">
        <v>1324</v>
      </c>
      <c r="P83" s="21" t="s">
        <v>2446</v>
      </c>
      <c r="Q83" s="134"/>
      <c r="R83" s="32"/>
      <c r="S83" s="135"/>
      <c r="T83" s="131"/>
      <c r="U83" s="133">
        <v>36.0</v>
      </c>
      <c r="V83" s="133">
        <f t="shared" si="7"/>
        <v>29.52</v>
      </c>
      <c r="W83" s="133">
        <v>8.0</v>
      </c>
      <c r="X83" s="133">
        <f t="shared" si="8"/>
        <v>6.56</v>
      </c>
      <c r="Y83" s="133">
        <v>1.0</v>
      </c>
      <c r="Z83" s="133">
        <f t="shared" si="9"/>
        <v>0.82</v>
      </c>
      <c r="AA83" s="133">
        <v>50.0</v>
      </c>
      <c r="AB83" s="133">
        <f t="shared" si="10"/>
        <v>41</v>
      </c>
      <c r="AC83" s="133">
        <v>5.0</v>
      </c>
      <c r="AD83" s="133">
        <f t="shared" si="11"/>
        <v>4.1</v>
      </c>
      <c r="AE83" s="129" t="s">
        <v>2447</v>
      </c>
      <c r="AF83" s="25" t="s">
        <v>2448</v>
      </c>
      <c r="AG83" s="46">
        <v>123492.0</v>
      </c>
      <c r="AH83" s="25">
        <v>2020.0</v>
      </c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</row>
    <row r="84">
      <c r="A84" s="25">
        <f t="shared" si="15"/>
        <v>83</v>
      </c>
      <c r="B84" s="25" t="s">
        <v>2370</v>
      </c>
      <c r="C84" s="126" t="s">
        <v>1969</v>
      </c>
      <c r="D84" s="32"/>
      <c r="E84" s="25"/>
      <c r="F84" s="25" t="s">
        <v>2449</v>
      </c>
      <c r="G84" s="25" t="s">
        <v>91</v>
      </c>
      <c r="H84" s="25" t="s">
        <v>43</v>
      </c>
      <c r="I84" s="25" t="s">
        <v>33</v>
      </c>
      <c r="J84" s="127">
        <v>44011.0</v>
      </c>
      <c r="K84" s="25">
        <v>52.0</v>
      </c>
      <c r="L84" s="25" t="s">
        <v>1971</v>
      </c>
      <c r="M84" s="128">
        <v>2002.0</v>
      </c>
      <c r="N84" s="32"/>
      <c r="O84" s="25" t="s">
        <v>1324</v>
      </c>
      <c r="P84" s="129" t="s">
        <v>2450</v>
      </c>
      <c r="Q84" s="134"/>
      <c r="R84" s="32"/>
      <c r="S84" s="132">
        <v>4950.0</v>
      </c>
      <c r="T84" s="136" t="s">
        <v>2451</v>
      </c>
      <c r="U84" s="133">
        <v>1.3</v>
      </c>
      <c r="V84" s="133">
        <f t="shared" si="7"/>
        <v>0.676</v>
      </c>
      <c r="W84" s="133">
        <v>8.8</v>
      </c>
      <c r="X84" s="133">
        <f t="shared" si="8"/>
        <v>4.576</v>
      </c>
      <c r="Y84" s="133">
        <v>0.0</v>
      </c>
      <c r="Z84" s="133">
        <f t="shared" si="9"/>
        <v>0</v>
      </c>
      <c r="AA84" s="133">
        <v>90.0</v>
      </c>
      <c r="AB84" s="133">
        <f t="shared" si="10"/>
        <v>46.8</v>
      </c>
      <c r="AC84" s="133">
        <v>0.0</v>
      </c>
      <c r="AD84" s="133">
        <f t="shared" si="11"/>
        <v>0</v>
      </c>
      <c r="AE84" s="136" t="s">
        <v>2452</v>
      </c>
      <c r="AF84" s="25" t="s">
        <v>2453</v>
      </c>
      <c r="AG84" s="46">
        <v>85987.0</v>
      </c>
      <c r="AH84" s="25">
        <v>2020.0</v>
      </c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</row>
    <row r="85">
      <c r="A85" s="25">
        <f t="shared" si="15"/>
        <v>84</v>
      </c>
      <c r="B85" s="25" t="s">
        <v>2454</v>
      </c>
      <c r="C85" s="126" t="s">
        <v>1969</v>
      </c>
      <c r="D85" s="32"/>
      <c r="E85" s="25"/>
      <c r="F85" s="25" t="s">
        <v>2455</v>
      </c>
      <c r="G85" s="25" t="s">
        <v>623</v>
      </c>
      <c r="H85" s="25" t="s">
        <v>43</v>
      </c>
      <c r="I85" s="25" t="s">
        <v>33</v>
      </c>
      <c r="J85" s="127">
        <v>44013.0</v>
      </c>
      <c r="K85" s="25">
        <v>71.0</v>
      </c>
      <c r="L85" s="25" t="s">
        <v>1971</v>
      </c>
      <c r="M85" s="128">
        <v>1954.0</v>
      </c>
      <c r="N85" s="32"/>
      <c r="O85" s="25" t="s">
        <v>1324</v>
      </c>
      <c r="P85" s="21" t="s">
        <v>2456</v>
      </c>
      <c r="Q85" s="134"/>
      <c r="R85" s="32"/>
      <c r="S85" s="132">
        <v>5370.0</v>
      </c>
      <c r="T85" s="136" t="s">
        <v>2457</v>
      </c>
      <c r="U85" s="133">
        <v>0.6</v>
      </c>
      <c r="V85" s="133">
        <f t="shared" si="7"/>
        <v>0.426</v>
      </c>
      <c r="W85" s="133">
        <v>0.6</v>
      </c>
      <c r="X85" s="133">
        <f t="shared" si="8"/>
        <v>0.426</v>
      </c>
      <c r="Y85" s="133">
        <v>0.0</v>
      </c>
      <c r="Z85" s="133">
        <f t="shared" si="9"/>
        <v>0</v>
      </c>
      <c r="AA85" s="133">
        <v>94.7</v>
      </c>
      <c r="AB85" s="133">
        <f t="shared" si="10"/>
        <v>67.237</v>
      </c>
      <c r="AC85" s="133">
        <v>4.1</v>
      </c>
      <c r="AD85" s="133">
        <f t="shared" si="11"/>
        <v>2.911</v>
      </c>
      <c r="AE85" s="136" t="s">
        <v>2458</v>
      </c>
      <c r="AF85" s="25" t="s">
        <v>2459</v>
      </c>
      <c r="AG85" s="46">
        <v>64109.0</v>
      </c>
      <c r="AH85" s="25">
        <v>2020.0</v>
      </c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</row>
    <row r="86">
      <c r="A86" s="25">
        <f t="shared" si="15"/>
        <v>85</v>
      </c>
      <c r="B86" s="31" t="s">
        <v>2460</v>
      </c>
      <c r="C86" s="126" t="s">
        <v>1969</v>
      </c>
      <c r="D86" s="31" t="s">
        <v>2399</v>
      </c>
      <c r="E86" s="31"/>
      <c r="F86" s="31" t="s">
        <v>2461</v>
      </c>
      <c r="G86" s="31" t="s">
        <v>21</v>
      </c>
      <c r="H86" s="25" t="s">
        <v>22</v>
      </c>
      <c r="I86" s="31" t="s">
        <v>33</v>
      </c>
      <c r="J86" s="92">
        <v>44018.0</v>
      </c>
      <c r="K86" s="31">
        <v>140.0</v>
      </c>
      <c r="L86" s="31" t="s">
        <v>1971</v>
      </c>
      <c r="M86" s="157">
        <v>1948.0</v>
      </c>
      <c r="N86" s="32"/>
      <c r="O86" s="31" t="s">
        <v>1324</v>
      </c>
      <c r="P86" s="33" t="s">
        <v>2462</v>
      </c>
      <c r="Q86" s="134"/>
      <c r="R86" s="32"/>
      <c r="S86" s="132">
        <v>5885.0</v>
      </c>
      <c r="T86" s="152" t="s">
        <v>2463</v>
      </c>
      <c r="U86" s="133">
        <v>6.0</v>
      </c>
      <c r="V86" s="133">
        <f t="shared" si="7"/>
        <v>8.4</v>
      </c>
      <c r="W86" s="133">
        <v>91.0</v>
      </c>
      <c r="X86" s="133">
        <f t="shared" si="8"/>
        <v>127.4</v>
      </c>
      <c r="Y86" s="133">
        <v>1.0</v>
      </c>
      <c r="Z86" s="133">
        <f t="shared" si="9"/>
        <v>1.4</v>
      </c>
      <c r="AA86" s="133">
        <v>0.0</v>
      </c>
      <c r="AB86" s="133">
        <f t="shared" si="10"/>
        <v>0</v>
      </c>
      <c r="AC86" s="133">
        <v>2.0</v>
      </c>
      <c r="AD86" s="133">
        <f t="shared" si="11"/>
        <v>2.8</v>
      </c>
      <c r="AE86" s="129" t="s">
        <v>2464</v>
      </c>
      <c r="AF86" s="25" t="s">
        <v>2465</v>
      </c>
      <c r="AG86" s="46">
        <v>58754.0</v>
      </c>
      <c r="AH86" s="25">
        <v>2020.0</v>
      </c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</row>
    <row r="87">
      <c r="A87" s="25">
        <f t="shared" si="15"/>
        <v>86</v>
      </c>
      <c r="B87" s="36" t="s">
        <v>2466</v>
      </c>
      <c r="C87" s="126" t="s">
        <v>1969</v>
      </c>
      <c r="D87" s="20" t="s">
        <v>2399</v>
      </c>
      <c r="E87" s="20"/>
      <c r="F87" s="20" t="s">
        <v>1092</v>
      </c>
      <c r="G87" s="20" t="s">
        <v>21</v>
      </c>
      <c r="H87" s="20" t="s">
        <v>22</v>
      </c>
      <c r="I87" s="20" t="s">
        <v>33</v>
      </c>
      <c r="J87" s="158">
        <v>44018.0</v>
      </c>
      <c r="K87" s="20">
        <v>116.0</v>
      </c>
      <c r="L87" s="20" t="s">
        <v>1978</v>
      </c>
      <c r="M87" s="159">
        <v>1948.0</v>
      </c>
      <c r="N87" s="27"/>
      <c r="O87" s="20" t="s">
        <v>1324</v>
      </c>
      <c r="P87" s="33" t="s">
        <v>2467</v>
      </c>
      <c r="Q87" s="27"/>
      <c r="R87" s="27"/>
      <c r="S87" s="160"/>
      <c r="T87" s="27"/>
      <c r="U87" s="161">
        <v>0.0</v>
      </c>
      <c r="V87" s="133">
        <f t="shared" si="7"/>
        <v>0</v>
      </c>
      <c r="W87" s="161">
        <v>100.0</v>
      </c>
      <c r="X87" s="133">
        <f t="shared" si="8"/>
        <v>116</v>
      </c>
      <c r="Y87" s="161">
        <v>0.0</v>
      </c>
      <c r="Z87" s="133">
        <f t="shared" si="9"/>
        <v>0</v>
      </c>
      <c r="AA87" s="161">
        <v>0.0</v>
      </c>
      <c r="AB87" s="133">
        <f t="shared" si="10"/>
        <v>0</v>
      </c>
      <c r="AC87" s="161">
        <v>0.0</v>
      </c>
      <c r="AD87" s="133">
        <f t="shared" si="11"/>
        <v>0</v>
      </c>
      <c r="AE87" s="33" t="s">
        <v>2468</v>
      </c>
      <c r="AF87" s="20" t="s">
        <v>2469</v>
      </c>
      <c r="AG87" s="26">
        <v>46194.0</v>
      </c>
      <c r="AH87" s="20">
        <v>2020.0</v>
      </c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</row>
    <row r="88">
      <c r="A88" s="25">
        <f t="shared" si="15"/>
        <v>87</v>
      </c>
      <c r="B88" s="162" t="s">
        <v>2470</v>
      </c>
      <c r="C88" s="126" t="s">
        <v>1969</v>
      </c>
      <c r="D88" s="32"/>
      <c r="E88" s="162"/>
      <c r="F88" s="162" t="s">
        <v>1337</v>
      </c>
      <c r="G88" s="25" t="s">
        <v>76</v>
      </c>
      <c r="H88" s="25" t="s">
        <v>43</v>
      </c>
      <c r="I88" s="25" t="s">
        <v>33</v>
      </c>
      <c r="J88" s="127">
        <v>44021.0</v>
      </c>
      <c r="K88" s="25">
        <v>175.0</v>
      </c>
      <c r="L88" s="25" t="s">
        <v>2471</v>
      </c>
      <c r="M88" s="156"/>
      <c r="N88" s="32"/>
      <c r="O88" s="25" t="s">
        <v>1324</v>
      </c>
      <c r="P88" s="136" t="s">
        <v>2472</v>
      </c>
      <c r="Q88" s="134"/>
      <c r="R88" s="32"/>
      <c r="S88" s="132">
        <v>7000.0</v>
      </c>
      <c r="T88" s="21" t="s">
        <v>2473</v>
      </c>
      <c r="U88" s="133">
        <v>15.8</v>
      </c>
      <c r="V88" s="133">
        <f t="shared" si="7"/>
        <v>27.65</v>
      </c>
      <c r="W88" s="133">
        <v>48.9</v>
      </c>
      <c r="X88" s="133">
        <f t="shared" si="8"/>
        <v>85.575</v>
      </c>
      <c r="Y88" s="133">
        <v>3.6</v>
      </c>
      <c r="Z88" s="133">
        <f t="shared" si="9"/>
        <v>6.3</v>
      </c>
      <c r="AA88" s="133">
        <v>19.4</v>
      </c>
      <c r="AB88" s="133">
        <f t="shared" si="10"/>
        <v>33.95</v>
      </c>
      <c r="AC88" s="133">
        <v>12.2</v>
      </c>
      <c r="AD88" s="133">
        <f t="shared" si="11"/>
        <v>21.35</v>
      </c>
      <c r="AE88" s="136" t="s">
        <v>2474</v>
      </c>
      <c r="AF88" s="25" t="s">
        <v>2475</v>
      </c>
      <c r="AG88" s="46">
        <v>64966.0</v>
      </c>
      <c r="AH88" s="25">
        <v>2020.0</v>
      </c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</row>
    <row r="89">
      <c r="A89" s="25">
        <f t="shared" si="15"/>
        <v>88</v>
      </c>
      <c r="B89" s="162" t="s">
        <v>2476</v>
      </c>
      <c r="C89" s="126" t="s">
        <v>1969</v>
      </c>
      <c r="D89" s="32"/>
      <c r="E89" s="25"/>
      <c r="F89" s="25" t="s">
        <v>2477</v>
      </c>
      <c r="G89" s="25" t="s">
        <v>76</v>
      </c>
      <c r="H89" s="25" t="s">
        <v>43</v>
      </c>
      <c r="I89" s="25" t="s">
        <v>33</v>
      </c>
      <c r="J89" s="127">
        <v>44021.0</v>
      </c>
      <c r="K89" s="25">
        <v>135.0</v>
      </c>
      <c r="L89" s="25" t="s">
        <v>2471</v>
      </c>
      <c r="M89" s="128">
        <v>1954.0</v>
      </c>
      <c r="N89" s="32"/>
      <c r="O89" s="25" t="s">
        <v>1324</v>
      </c>
      <c r="P89" s="136" t="s">
        <v>2472</v>
      </c>
      <c r="Q89" s="134"/>
      <c r="R89" s="32"/>
      <c r="S89" s="132">
        <v>5200.0</v>
      </c>
      <c r="T89" s="136" t="s">
        <v>2478</v>
      </c>
      <c r="U89" s="133">
        <v>4.4</v>
      </c>
      <c r="V89" s="133">
        <f t="shared" si="7"/>
        <v>5.94</v>
      </c>
      <c r="W89" s="133">
        <v>59.0</v>
      </c>
      <c r="X89" s="133">
        <f t="shared" si="8"/>
        <v>79.65</v>
      </c>
      <c r="Y89" s="133">
        <v>6.3</v>
      </c>
      <c r="Z89" s="133">
        <f t="shared" si="9"/>
        <v>8.505</v>
      </c>
      <c r="AA89" s="133">
        <v>30.2</v>
      </c>
      <c r="AB89" s="133">
        <f t="shared" si="10"/>
        <v>40.77</v>
      </c>
      <c r="AC89" s="133">
        <v>0.0</v>
      </c>
      <c r="AD89" s="133">
        <f t="shared" si="11"/>
        <v>0</v>
      </c>
      <c r="AE89" s="136" t="s">
        <v>2479</v>
      </c>
      <c r="AF89" s="25" t="s">
        <v>2480</v>
      </c>
      <c r="AG89" s="46">
        <v>130942.0</v>
      </c>
      <c r="AH89" s="25">
        <v>2020.0</v>
      </c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</row>
    <row r="90">
      <c r="A90" s="25">
        <f t="shared" si="15"/>
        <v>89</v>
      </c>
      <c r="B90" s="162" t="s">
        <v>2481</v>
      </c>
      <c r="C90" s="126" t="s">
        <v>1969</v>
      </c>
      <c r="D90" s="32"/>
      <c r="E90" s="25"/>
      <c r="F90" s="25" t="s">
        <v>2482</v>
      </c>
      <c r="G90" s="25" t="s">
        <v>76</v>
      </c>
      <c r="H90" s="25" t="s">
        <v>43</v>
      </c>
      <c r="I90" s="25" t="s">
        <v>33</v>
      </c>
      <c r="J90" s="127">
        <v>44021.0</v>
      </c>
      <c r="K90" s="25">
        <v>136.0</v>
      </c>
      <c r="L90" s="25" t="s">
        <v>2471</v>
      </c>
      <c r="M90" s="128">
        <v>1921.0</v>
      </c>
      <c r="N90" s="32"/>
      <c r="O90" s="25" t="s">
        <v>1324</v>
      </c>
      <c r="P90" s="136" t="s">
        <v>2472</v>
      </c>
      <c r="Q90" s="134"/>
      <c r="R90" s="32"/>
      <c r="S90" s="132">
        <v>6275.0</v>
      </c>
      <c r="T90" s="21" t="s">
        <v>2483</v>
      </c>
      <c r="U90" s="163"/>
      <c r="V90" s="133" t="str">
        <f t="shared" si="7"/>
        <v/>
      </c>
      <c r="W90" s="163"/>
      <c r="X90" s="133" t="str">
        <f t="shared" si="8"/>
        <v/>
      </c>
      <c r="Y90" s="163"/>
      <c r="Z90" s="133" t="str">
        <f t="shared" si="9"/>
        <v/>
      </c>
      <c r="AA90" s="163"/>
      <c r="AB90" s="133" t="str">
        <f t="shared" si="10"/>
        <v/>
      </c>
      <c r="AC90" s="163"/>
      <c r="AD90" s="133" t="str">
        <f t="shared" si="11"/>
        <v/>
      </c>
      <c r="AE90" s="33" t="s">
        <v>2484</v>
      </c>
      <c r="AF90" s="25" t="s">
        <v>2485</v>
      </c>
      <c r="AG90" s="46">
        <v>157211.0</v>
      </c>
      <c r="AH90" s="25">
        <v>2020.0</v>
      </c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</row>
    <row r="91">
      <c r="A91" s="25">
        <f t="shared" si="15"/>
        <v>90</v>
      </c>
      <c r="B91" s="162" t="s">
        <v>2486</v>
      </c>
      <c r="C91" s="126" t="s">
        <v>1969</v>
      </c>
      <c r="D91" s="32"/>
      <c r="E91" s="25"/>
      <c r="F91" s="25" t="s">
        <v>2487</v>
      </c>
      <c r="G91" s="25" t="s">
        <v>76</v>
      </c>
      <c r="H91" s="25" t="s">
        <v>43</v>
      </c>
      <c r="I91" s="25" t="s">
        <v>33</v>
      </c>
      <c r="J91" s="127">
        <v>44021.0</v>
      </c>
      <c r="K91" s="25">
        <v>200.0</v>
      </c>
      <c r="L91" s="25" t="s">
        <v>2471</v>
      </c>
      <c r="M91" s="128">
        <v>1954.0</v>
      </c>
      <c r="N91" s="32"/>
      <c r="O91" s="25" t="s">
        <v>1324</v>
      </c>
      <c r="P91" s="136" t="s">
        <v>2472</v>
      </c>
      <c r="Q91" s="134"/>
      <c r="R91" s="32"/>
      <c r="S91" s="132">
        <v>6130.0</v>
      </c>
      <c r="T91" s="21" t="s">
        <v>2488</v>
      </c>
      <c r="U91" s="133">
        <v>81.1</v>
      </c>
      <c r="V91" s="133">
        <f t="shared" si="7"/>
        <v>162.2</v>
      </c>
      <c r="W91" s="133">
        <v>14.6</v>
      </c>
      <c r="X91" s="133">
        <f t="shared" si="8"/>
        <v>29.2</v>
      </c>
      <c r="Y91" s="133">
        <v>0.0</v>
      </c>
      <c r="Z91" s="133">
        <f t="shared" si="9"/>
        <v>0</v>
      </c>
      <c r="AA91" s="133">
        <v>0.6</v>
      </c>
      <c r="AB91" s="133">
        <f t="shared" si="10"/>
        <v>1.2</v>
      </c>
      <c r="AC91" s="133">
        <v>3.7</v>
      </c>
      <c r="AD91" s="133">
        <f t="shared" si="11"/>
        <v>7.4</v>
      </c>
      <c r="AE91" s="136" t="s">
        <v>2489</v>
      </c>
      <c r="AF91" s="25" t="s">
        <v>2490</v>
      </c>
      <c r="AG91" s="46">
        <v>95043.0</v>
      </c>
      <c r="AH91" s="25">
        <v>2020.0</v>
      </c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</row>
    <row r="92">
      <c r="A92" s="25">
        <f t="shared" si="15"/>
        <v>91</v>
      </c>
      <c r="B92" s="162" t="s">
        <v>2491</v>
      </c>
      <c r="C92" s="126" t="s">
        <v>1969</v>
      </c>
      <c r="D92" s="32"/>
      <c r="E92" s="25"/>
      <c r="F92" s="25" t="s">
        <v>2492</v>
      </c>
      <c r="G92" s="25" t="s">
        <v>76</v>
      </c>
      <c r="H92" s="25" t="s">
        <v>43</v>
      </c>
      <c r="I92" s="25" t="s">
        <v>33</v>
      </c>
      <c r="J92" s="127">
        <v>44021.0</v>
      </c>
      <c r="K92" s="25">
        <v>174.0</v>
      </c>
      <c r="L92" s="25" t="s">
        <v>1978</v>
      </c>
      <c r="M92" s="128">
        <v>1959.0</v>
      </c>
      <c r="N92" s="32"/>
      <c r="O92" s="25" t="s">
        <v>1324</v>
      </c>
      <c r="P92" s="136" t="s">
        <v>2472</v>
      </c>
      <c r="Q92" s="134"/>
      <c r="R92" s="32"/>
      <c r="S92" s="132">
        <v>5650.0</v>
      </c>
      <c r="T92" s="136" t="s">
        <v>2493</v>
      </c>
      <c r="U92" s="133">
        <v>27.9</v>
      </c>
      <c r="V92" s="133">
        <f t="shared" si="7"/>
        <v>48.546</v>
      </c>
      <c r="W92" s="133">
        <v>70.1</v>
      </c>
      <c r="X92" s="133">
        <f t="shared" si="8"/>
        <v>121.974</v>
      </c>
      <c r="Y92" s="133">
        <v>1.3</v>
      </c>
      <c r="Z92" s="133">
        <f t="shared" si="9"/>
        <v>2.262</v>
      </c>
      <c r="AA92" s="133">
        <v>0.7</v>
      </c>
      <c r="AB92" s="133">
        <f t="shared" si="10"/>
        <v>1.218</v>
      </c>
      <c r="AC92" s="133">
        <v>0.0</v>
      </c>
      <c r="AD92" s="133">
        <f t="shared" si="11"/>
        <v>0</v>
      </c>
      <c r="AE92" s="136" t="s">
        <v>2494</v>
      </c>
      <c r="AF92" s="25" t="s">
        <v>2495</v>
      </c>
      <c r="AG92" s="46">
        <v>69154.0</v>
      </c>
      <c r="AH92" s="25">
        <v>2020.0</v>
      </c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</row>
    <row r="93">
      <c r="A93" s="25">
        <f t="shared" si="15"/>
        <v>92</v>
      </c>
      <c r="B93" s="162" t="s">
        <v>2496</v>
      </c>
      <c r="C93" s="126" t="s">
        <v>1969</v>
      </c>
      <c r="D93" s="32"/>
      <c r="E93" s="25"/>
      <c r="F93" s="25" t="s">
        <v>2497</v>
      </c>
      <c r="G93" s="25" t="s">
        <v>76</v>
      </c>
      <c r="H93" s="25" t="s">
        <v>43</v>
      </c>
      <c r="I93" s="25" t="s">
        <v>33</v>
      </c>
      <c r="J93" s="127">
        <v>44021.0</v>
      </c>
      <c r="K93" s="25">
        <v>189.0</v>
      </c>
      <c r="L93" s="25" t="s">
        <v>1978</v>
      </c>
      <c r="M93" s="128">
        <v>1958.0</v>
      </c>
      <c r="N93" s="32"/>
      <c r="O93" s="25" t="s">
        <v>1324</v>
      </c>
      <c r="P93" s="136" t="s">
        <v>2472</v>
      </c>
      <c r="Q93" s="134"/>
      <c r="R93" s="32"/>
      <c r="S93" s="132">
        <v>6200.0</v>
      </c>
      <c r="T93" s="21" t="s">
        <v>2498</v>
      </c>
      <c r="U93" s="133">
        <v>40.1</v>
      </c>
      <c r="V93" s="133">
        <f t="shared" si="7"/>
        <v>75.789</v>
      </c>
      <c r="W93" s="133">
        <v>17.2</v>
      </c>
      <c r="X93" s="133">
        <f t="shared" si="8"/>
        <v>32.508</v>
      </c>
      <c r="Y93" s="133">
        <v>5.1</v>
      </c>
      <c r="Z93" s="133">
        <f t="shared" si="9"/>
        <v>9.639</v>
      </c>
      <c r="AA93" s="133">
        <v>26.8</v>
      </c>
      <c r="AB93" s="133">
        <f t="shared" si="10"/>
        <v>50.652</v>
      </c>
      <c r="AC93" s="133">
        <v>10.8</v>
      </c>
      <c r="AD93" s="133">
        <f t="shared" si="11"/>
        <v>20.412</v>
      </c>
      <c r="AE93" s="136" t="s">
        <v>2499</v>
      </c>
      <c r="AF93" s="25" t="s">
        <v>2500</v>
      </c>
      <c r="AG93" s="46">
        <v>246619.0</v>
      </c>
      <c r="AH93" s="25">
        <v>2020.0</v>
      </c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</row>
    <row r="94">
      <c r="A94" s="25">
        <f t="shared" si="15"/>
        <v>93</v>
      </c>
      <c r="B94" s="162" t="s">
        <v>2501</v>
      </c>
      <c r="C94" s="126" t="s">
        <v>1969</v>
      </c>
      <c r="D94" s="32"/>
      <c r="E94" s="25"/>
      <c r="F94" s="25" t="s">
        <v>1337</v>
      </c>
      <c r="G94" s="25" t="s">
        <v>76</v>
      </c>
      <c r="H94" s="25" t="s">
        <v>43</v>
      </c>
      <c r="I94" s="25" t="s">
        <v>33</v>
      </c>
      <c r="J94" s="127">
        <v>44021.0</v>
      </c>
      <c r="K94" s="25">
        <v>130.0</v>
      </c>
      <c r="L94" s="25" t="s">
        <v>2471</v>
      </c>
      <c r="M94" s="128">
        <v>1930.0</v>
      </c>
      <c r="N94" s="32"/>
      <c r="O94" s="25" t="s">
        <v>1324</v>
      </c>
      <c r="P94" s="136" t="s">
        <v>2472</v>
      </c>
      <c r="Q94" s="134"/>
      <c r="R94" s="32"/>
      <c r="S94" s="132">
        <v>8100.0</v>
      </c>
      <c r="T94" s="136" t="s">
        <v>2502</v>
      </c>
      <c r="U94" s="133">
        <v>8.0</v>
      </c>
      <c r="V94" s="133">
        <f t="shared" si="7"/>
        <v>10.4</v>
      </c>
      <c r="W94" s="133">
        <v>14.2</v>
      </c>
      <c r="X94" s="133">
        <f t="shared" si="8"/>
        <v>18.46</v>
      </c>
      <c r="Y94" s="133">
        <v>7.4</v>
      </c>
      <c r="Z94" s="133">
        <f t="shared" si="9"/>
        <v>9.62</v>
      </c>
      <c r="AA94" s="133">
        <v>64.8</v>
      </c>
      <c r="AB94" s="133">
        <f t="shared" si="10"/>
        <v>84.24</v>
      </c>
      <c r="AC94" s="133">
        <v>5.6</v>
      </c>
      <c r="AD94" s="133">
        <f t="shared" si="11"/>
        <v>7.28</v>
      </c>
      <c r="AE94" s="136" t="s">
        <v>2503</v>
      </c>
      <c r="AF94" s="25" t="s">
        <v>2504</v>
      </c>
      <c r="AG94" s="46">
        <v>231469.0</v>
      </c>
      <c r="AH94" s="25">
        <v>2020.0</v>
      </c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</row>
    <row r="95">
      <c r="A95" s="25">
        <f t="shared" si="15"/>
        <v>94</v>
      </c>
      <c r="B95" s="162" t="s">
        <v>2505</v>
      </c>
      <c r="C95" s="126" t="s">
        <v>1969</v>
      </c>
      <c r="D95" s="32"/>
      <c r="E95" s="25"/>
      <c r="F95" s="25" t="s">
        <v>2487</v>
      </c>
      <c r="G95" s="25" t="s">
        <v>76</v>
      </c>
      <c r="H95" s="25" t="s">
        <v>43</v>
      </c>
      <c r="I95" s="25" t="s">
        <v>33</v>
      </c>
      <c r="J95" s="127">
        <v>44021.0</v>
      </c>
      <c r="K95" s="25">
        <v>240.0</v>
      </c>
      <c r="L95" s="25" t="s">
        <v>2471</v>
      </c>
      <c r="M95" s="156"/>
      <c r="N95" s="32"/>
      <c r="O95" s="25" t="s">
        <v>1324</v>
      </c>
      <c r="P95" s="136" t="s">
        <v>2472</v>
      </c>
      <c r="Q95" s="134"/>
      <c r="R95" s="32"/>
      <c r="S95" s="132">
        <v>6285.0</v>
      </c>
      <c r="T95" s="136" t="s">
        <v>2506</v>
      </c>
      <c r="U95" s="133">
        <v>3.7</v>
      </c>
      <c r="V95" s="133">
        <f t="shared" si="7"/>
        <v>8.88</v>
      </c>
      <c r="W95" s="133">
        <v>41.6</v>
      </c>
      <c r="X95" s="133">
        <f t="shared" si="8"/>
        <v>99.84</v>
      </c>
      <c r="Y95" s="133">
        <v>2.8</v>
      </c>
      <c r="Z95" s="133">
        <f t="shared" si="9"/>
        <v>6.72</v>
      </c>
      <c r="AA95" s="133">
        <v>33.6</v>
      </c>
      <c r="AB95" s="133">
        <f t="shared" si="10"/>
        <v>80.64</v>
      </c>
      <c r="AC95" s="133">
        <v>18.3</v>
      </c>
      <c r="AD95" s="133">
        <f t="shared" si="11"/>
        <v>43.92</v>
      </c>
      <c r="AE95" s="164" t="s">
        <v>2507</v>
      </c>
      <c r="AF95" s="25" t="s">
        <v>2508</v>
      </c>
      <c r="AG95" s="46">
        <v>51100.0</v>
      </c>
      <c r="AH95" s="25">
        <v>2020.0</v>
      </c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</row>
    <row r="96">
      <c r="A96" s="25">
        <f t="shared" si="15"/>
        <v>95</v>
      </c>
      <c r="B96" s="162" t="s">
        <v>2509</v>
      </c>
      <c r="C96" s="126" t="s">
        <v>1969</v>
      </c>
      <c r="D96" s="32"/>
      <c r="E96" s="25"/>
      <c r="F96" s="25" t="s">
        <v>2510</v>
      </c>
      <c r="G96" s="25" t="s">
        <v>76</v>
      </c>
      <c r="H96" s="25" t="s">
        <v>43</v>
      </c>
      <c r="I96" s="25" t="s">
        <v>33</v>
      </c>
      <c r="J96" s="127">
        <v>44021.0</v>
      </c>
      <c r="K96" s="25">
        <v>269.0</v>
      </c>
      <c r="L96" s="25" t="s">
        <v>2471</v>
      </c>
      <c r="M96" s="128">
        <v>1911.0</v>
      </c>
      <c r="N96" s="32"/>
      <c r="O96" s="25" t="s">
        <v>1324</v>
      </c>
      <c r="P96" s="136" t="s">
        <v>2472</v>
      </c>
      <c r="Q96" s="134"/>
      <c r="R96" s="32"/>
      <c r="S96" s="132">
        <v>6350.0</v>
      </c>
      <c r="T96" s="136" t="s">
        <v>2511</v>
      </c>
      <c r="U96" s="133">
        <v>39.1</v>
      </c>
      <c r="V96" s="133">
        <f t="shared" si="7"/>
        <v>105.179</v>
      </c>
      <c r="W96" s="133">
        <v>16.7</v>
      </c>
      <c r="X96" s="133">
        <f t="shared" si="8"/>
        <v>44.923</v>
      </c>
      <c r="Y96" s="133">
        <v>9.3</v>
      </c>
      <c r="Z96" s="133">
        <f t="shared" si="9"/>
        <v>25.017</v>
      </c>
      <c r="AA96" s="133">
        <v>32.6</v>
      </c>
      <c r="AB96" s="133">
        <f t="shared" si="10"/>
        <v>87.694</v>
      </c>
      <c r="AC96" s="133">
        <v>2.3</v>
      </c>
      <c r="AD96" s="133">
        <f t="shared" si="11"/>
        <v>6.187</v>
      </c>
      <c r="AE96" s="136" t="s">
        <v>2512</v>
      </c>
      <c r="AF96" s="25" t="s">
        <v>2513</v>
      </c>
      <c r="AG96" s="46">
        <v>123215.0</v>
      </c>
      <c r="AH96" s="25">
        <v>2020.0</v>
      </c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</row>
    <row r="97">
      <c r="A97" s="25">
        <f t="shared" si="15"/>
        <v>96</v>
      </c>
      <c r="B97" s="162" t="s">
        <v>2514</v>
      </c>
      <c r="C97" s="126" t="s">
        <v>1969</v>
      </c>
      <c r="D97" s="32"/>
      <c r="E97" s="25"/>
      <c r="F97" s="25" t="s">
        <v>2515</v>
      </c>
      <c r="G97" s="25" t="s">
        <v>76</v>
      </c>
      <c r="H97" s="25" t="s">
        <v>43</v>
      </c>
      <c r="I97" s="25" t="s">
        <v>33</v>
      </c>
      <c r="J97" s="127">
        <v>44021.0</v>
      </c>
      <c r="K97" s="25">
        <v>191.0</v>
      </c>
      <c r="L97" s="25" t="s">
        <v>1978</v>
      </c>
      <c r="M97" s="156"/>
      <c r="N97" s="32"/>
      <c r="O97" s="25" t="s">
        <v>1324</v>
      </c>
      <c r="P97" s="136" t="s">
        <v>2472</v>
      </c>
      <c r="Q97" s="134"/>
      <c r="R97" s="32"/>
      <c r="S97" s="132">
        <v>6500.0</v>
      </c>
      <c r="T97" s="136" t="s">
        <v>2516</v>
      </c>
      <c r="U97" s="133">
        <v>2.5</v>
      </c>
      <c r="V97" s="133">
        <f t="shared" si="7"/>
        <v>4.775</v>
      </c>
      <c r="W97" s="133">
        <v>11.7</v>
      </c>
      <c r="X97" s="133">
        <f t="shared" si="8"/>
        <v>22.347</v>
      </c>
      <c r="Y97" s="133">
        <v>3.1</v>
      </c>
      <c r="Z97" s="133">
        <f t="shared" si="9"/>
        <v>5.921</v>
      </c>
      <c r="AA97" s="133">
        <v>74.9</v>
      </c>
      <c r="AB97" s="133">
        <f t="shared" si="10"/>
        <v>143.059</v>
      </c>
      <c r="AC97" s="133">
        <v>8.0</v>
      </c>
      <c r="AD97" s="133">
        <f t="shared" si="11"/>
        <v>15.28</v>
      </c>
      <c r="AE97" s="165" t="s">
        <v>2517</v>
      </c>
      <c r="AF97" s="25" t="s">
        <v>2518</v>
      </c>
      <c r="AG97" s="46">
        <v>88884.0</v>
      </c>
      <c r="AH97" s="25">
        <v>2020.0</v>
      </c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</row>
    <row r="98">
      <c r="A98" s="25">
        <f t="shared" si="15"/>
        <v>97</v>
      </c>
      <c r="B98" s="162" t="s">
        <v>2519</v>
      </c>
      <c r="C98" s="126" t="s">
        <v>1969</v>
      </c>
      <c r="D98" s="32"/>
      <c r="E98" s="25"/>
      <c r="F98" s="25" t="s">
        <v>2520</v>
      </c>
      <c r="G98" s="25" t="s">
        <v>76</v>
      </c>
      <c r="H98" s="25" t="s">
        <v>43</v>
      </c>
      <c r="I98" s="25" t="s">
        <v>33</v>
      </c>
      <c r="J98" s="127">
        <v>44021.0</v>
      </c>
      <c r="K98" s="25">
        <v>150.0</v>
      </c>
      <c r="L98" s="25" t="s">
        <v>2471</v>
      </c>
      <c r="M98" s="128">
        <v>1966.0</v>
      </c>
      <c r="N98" s="32"/>
      <c r="O98" s="25" t="s">
        <v>1324</v>
      </c>
      <c r="P98" s="136" t="s">
        <v>2472</v>
      </c>
      <c r="Q98" s="134"/>
      <c r="R98" s="32"/>
      <c r="S98" s="132">
        <v>6900.0</v>
      </c>
      <c r="T98" s="136" t="s">
        <v>2521</v>
      </c>
      <c r="U98" s="133">
        <v>3.6</v>
      </c>
      <c r="V98" s="133">
        <f t="shared" si="7"/>
        <v>5.4</v>
      </c>
      <c r="W98" s="133">
        <v>6.8</v>
      </c>
      <c r="X98" s="133">
        <f t="shared" si="8"/>
        <v>10.2</v>
      </c>
      <c r="Y98" s="133">
        <v>3.2</v>
      </c>
      <c r="Z98" s="133">
        <f t="shared" si="9"/>
        <v>4.8</v>
      </c>
      <c r="AA98" s="133">
        <v>80.5</v>
      </c>
      <c r="AB98" s="133">
        <f t="shared" si="10"/>
        <v>120.75</v>
      </c>
      <c r="AC98" s="133">
        <v>6.0</v>
      </c>
      <c r="AD98" s="133">
        <f t="shared" si="11"/>
        <v>9</v>
      </c>
      <c r="AE98" s="136" t="s">
        <v>2522</v>
      </c>
      <c r="AF98" s="25" t="s">
        <v>2523</v>
      </c>
      <c r="AG98" s="46">
        <v>147052.0</v>
      </c>
      <c r="AH98" s="25">
        <v>2020.0</v>
      </c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</row>
    <row r="99">
      <c r="A99" s="25">
        <f t="shared" si="15"/>
        <v>98</v>
      </c>
      <c r="B99" s="162" t="s">
        <v>2524</v>
      </c>
      <c r="C99" s="126" t="s">
        <v>1969</v>
      </c>
      <c r="D99" s="32"/>
      <c r="E99" s="25"/>
      <c r="F99" s="25" t="s">
        <v>2487</v>
      </c>
      <c r="G99" s="25" t="s">
        <v>76</v>
      </c>
      <c r="H99" s="25" t="s">
        <v>43</v>
      </c>
      <c r="I99" s="25" t="s">
        <v>33</v>
      </c>
      <c r="J99" s="127">
        <v>44021.0</v>
      </c>
      <c r="K99" s="25">
        <v>262.0</v>
      </c>
      <c r="L99" s="25" t="s">
        <v>2471</v>
      </c>
      <c r="M99" s="128">
        <v>1910.0</v>
      </c>
      <c r="N99" s="32"/>
      <c r="O99" s="25" t="s">
        <v>1324</v>
      </c>
      <c r="P99" s="136" t="s">
        <v>2472</v>
      </c>
      <c r="Q99" s="134"/>
      <c r="R99" s="32"/>
      <c r="S99" s="132">
        <v>6110.0</v>
      </c>
      <c r="T99" s="136" t="s">
        <v>2525</v>
      </c>
      <c r="U99" s="133">
        <v>9.2</v>
      </c>
      <c r="V99" s="133">
        <f t="shared" si="7"/>
        <v>24.104</v>
      </c>
      <c r="W99" s="133">
        <v>67.2</v>
      </c>
      <c r="X99" s="133">
        <f t="shared" si="8"/>
        <v>176.064</v>
      </c>
      <c r="Y99" s="133">
        <v>6.3</v>
      </c>
      <c r="Z99" s="133">
        <f t="shared" si="9"/>
        <v>16.506</v>
      </c>
      <c r="AA99" s="133">
        <v>11.5</v>
      </c>
      <c r="AB99" s="133">
        <f t="shared" si="10"/>
        <v>30.13</v>
      </c>
      <c r="AC99" s="133">
        <v>5.8</v>
      </c>
      <c r="AD99" s="133">
        <f t="shared" si="11"/>
        <v>15.196</v>
      </c>
      <c r="AE99" s="136" t="s">
        <v>2526</v>
      </c>
      <c r="AF99" s="25" t="s">
        <v>2527</v>
      </c>
      <c r="AG99" s="46">
        <v>66512.0</v>
      </c>
      <c r="AH99" s="25">
        <v>2020.0</v>
      </c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</row>
    <row r="100">
      <c r="A100" s="25">
        <f t="shared" si="15"/>
        <v>99</v>
      </c>
      <c r="B100" s="162" t="s">
        <v>2528</v>
      </c>
      <c r="C100" s="126" t="s">
        <v>1969</v>
      </c>
      <c r="D100" s="32"/>
      <c r="E100" s="25"/>
      <c r="F100" s="25" t="s">
        <v>2492</v>
      </c>
      <c r="G100" s="25" t="s">
        <v>76</v>
      </c>
      <c r="H100" s="25" t="s">
        <v>43</v>
      </c>
      <c r="I100" s="25" t="s">
        <v>33</v>
      </c>
      <c r="J100" s="127">
        <v>44021.0</v>
      </c>
      <c r="K100" s="25">
        <v>169.0</v>
      </c>
      <c r="L100" s="25" t="s">
        <v>2471</v>
      </c>
      <c r="M100" s="128">
        <v>1966.0</v>
      </c>
      <c r="N100" s="32"/>
      <c r="O100" s="25" t="s">
        <v>1324</v>
      </c>
      <c r="P100" s="136" t="s">
        <v>2472</v>
      </c>
      <c r="Q100" s="134"/>
      <c r="R100" s="32"/>
      <c r="S100" s="132">
        <v>5975.0</v>
      </c>
      <c r="T100" s="136" t="s">
        <v>2529</v>
      </c>
      <c r="U100" s="133">
        <v>0.0</v>
      </c>
      <c r="V100" s="133">
        <f t="shared" si="7"/>
        <v>0</v>
      </c>
      <c r="W100" s="133">
        <v>4.7</v>
      </c>
      <c r="X100" s="133">
        <f t="shared" si="8"/>
        <v>7.943</v>
      </c>
      <c r="Y100" s="133">
        <v>0.9</v>
      </c>
      <c r="Z100" s="133">
        <f t="shared" si="9"/>
        <v>1.521</v>
      </c>
      <c r="AA100" s="133">
        <v>93.9</v>
      </c>
      <c r="AB100" s="133">
        <f t="shared" si="10"/>
        <v>158.691</v>
      </c>
      <c r="AC100" s="133">
        <v>0.5</v>
      </c>
      <c r="AD100" s="133">
        <f t="shared" si="11"/>
        <v>0.845</v>
      </c>
      <c r="AE100" s="136" t="s">
        <v>2530</v>
      </c>
      <c r="AF100" s="25" t="s">
        <v>2531</v>
      </c>
      <c r="AG100" s="46">
        <v>127322.0</v>
      </c>
      <c r="AH100" s="25">
        <v>2020.0</v>
      </c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</row>
    <row r="101">
      <c r="A101" s="25">
        <f t="shared" si="15"/>
        <v>100</v>
      </c>
      <c r="B101" s="162" t="s">
        <v>2532</v>
      </c>
      <c r="C101" s="126" t="s">
        <v>1969</v>
      </c>
      <c r="D101" s="32"/>
      <c r="E101" s="25"/>
      <c r="F101" s="25" t="s">
        <v>2487</v>
      </c>
      <c r="G101" s="25" t="s">
        <v>76</v>
      </c>
      <c r="H101" s="25" t="s">
        <v>43</v>
      </c>
      <c r="I101" s="25" t="s">
        <v>33</v>
      </c>
      <c r="J101" s="127">
        <v>44021.0</v>
      </c>
      <c r="K101" s="25">
        <v>239.0</v>
      </c>
      <c r="L101" s="25" t="s">
        <v>2471</v>
      </c>
      <c r="M101" s="128">
        <v>1910.0</v>
      </c>
      <c r="N101" s="32"/>
      <c r="O101" s="25" t="s">
        <v>1324</v>
      </c>
      <c r="P101" s="136" t="s">
        <v>2472</v>
      </c>
      <c r="Q101" s="134"/>
      <c r="R101" s="32"/>
      <c r="S101" s="132">
        <v>4900.0</v>
      </c>
      <c r="T101" s="136" t="s">
        <v>2533</v>
      </c>
      <c r="U101" s="133">
        <v>7.1</v>
      </c>
      <c r="V101" s="133">
        <f t="shared" si="7"/>
        <v>16.969</v>
      </c>
      <c r="W101" s="133">
        <v>84.5</v>
      </c>
      <c r="X101" s="133">
        <f t="shared" si="8"/>
        <v>201.955</v>
      </c>
      <c r="Y101" s="133">
        <v>1.3</v>
      </c>
      <c r="Z101" s="133">
        <f t="shared" si="9"/>
        <v>3.107</v>
      </c>
      <c r="AA101" s="133">
        <v>1.3</v>
      </c>
      <c r="AB101" s="133">
        <f t="shared" si="10"/>
        <v>3.107</v>
      </c>
      <c r="AC101" s="133">
        <v>5.9</v>
      </c>
      <c r="AD101" s="133">
        <f t="shared" si="11"/>
        <v>14.101</v>
      </c>
      <c r="AE101" s="136" t="s">
        <v>2534</v>
      </c>
      <c r="AF101" s="25" t="s">
        <v>2535</v>
      </c>
      <c r="AG101" s="46">
        <v>27976.0</v>
      </c>
      <c r="AH101" s="25">
        <v>2020.0</v>
      </c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</row>
    <row r="102">
      <c r="A102" s="25">
        <f t="shared" si="15"/>
        <v>101</v>
      </c>
      <c r="B102" s="162" t="s">
        <v>2536</v>
      </c>
      <c r="C102" s="126" t="s">
        <v>1969</v>
      </c>
      <c r="D102" s="32"/>
      <c r="E102" s="25"/>
      <c r="F102" s="25" t="s">
        <v>2537</v>
      </c>
      <c r="G102" s="25" t="s">
        <v>76</v>
      </c>
      <c r="H102" s="25" t="s">
        <v>43</v>
      </c>
      <c r="I102" s="25" t="s">
        <v>33</v>
      </c>
      <c r="J102" s="127">
        <v>44021.0</v>
      </c>
      <c r="K102" s="25">
        <v>158.0</v>
      </c>
      <c r="L102" s="25" t="s">
        <v>1978</v>
      </c>
      <c r="M102" s="128">
        <v>1956.0</v>
      </c>
      <c r="N102" s="32"/>
      <c r="O102" s="25" t="s">
        <v>1324</v>
      </c>
      <c r="P102" s="136" t="s">
        <v>2472</v>
      </c>
      <c r="Q102" s="134"/>
      <c r="R102" s="32"/>
      <c r="S102" s="132">
        <v>7500.0</v>
      </c>
      <c r="T102" s="136" t="s">
        <v>2538</v>
      </c>
      <c r="U102" s="133">
        <v>2.3</v>
      </c>
      <c r="V102" s="133">
        <f t="shared" si="7"/>
        <v>3.634</v>
      </c>
      <c r="W102" s="133">
        <v>12.5</v>
      </c>
      <c r="X102" s="133">
        <f t="shared" si="8"/>
        <v>19.75</v>
      </c>
      <c r="Y102" s="133">
        <v>2.3</v>
      </c>
      <c r="Z102" s="133">
        <f t="shared" si="9"/>
        <v>3.634</v>
      </c>
      <c r="AA102" s="133">
        <v>79.7</v>
      </c>
      <c r="AB102" s="133">
        <f t="shared" si="10"/>
        <v>125.926</v>
      </c>
      <c r="AC102" s="133">
        <v>3.1</v>
      </c>
      <c r="AD102" s="133">
        <f t="shared" si="11"/>
        <v>4.898</v>
      </c>
      <c r="AE102" s="136" t="s">
        <v>2539</v>
      </c>
      <c r="AF102" s="25" t="s">
        <v>2540</v>
      </c>
      <c r="AG102" s="46">
        <v>270341.0</v>
      </c>
      <c r="AH102" s="25">
        <v>2020.0</v>
      </c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</row>
    <row r="103">
      <c r="A103" s="25">
        <f t="shared" si="15"/>
        <v>102</v>
      </c>
      <c r="B103" s="162" t="s">
        <v>2541</v>
      </c>
      <c r="C103" s="126" t="s">
        <v>1969</v>
      </c>
      <c r="D103" s="32"/>
      <c r="E103" s="25"/>
      <c r="F103" s="25" t="s">
        <v>2515</v>
      </c>
      <c r="G103" s="25" t="s">
        <v>76</v>
      </c>
      <c r="H103" s="25" t="s">
        <v>43</v>
      </c>
      <c r="I103" s="25" t="s">
        <v>33</v>
      </c>
      <c r="J103" s="127">
        <v>44021.0</v>
      </c>
      <c r="K103" s="25">
        <v>250.0</v>
      </c>
      <c r="L103" s="25" t="s">
        <v>2471</v>
      </c>
      <c r="M103" s="128">
        <v>1952.0</v>
      </c>
      <c r="N103" s="32"/>
      <c r="O103" s="25" t="s">
        <v>1324</v>
      </c>
      <c r="P103" s="136" t="s">
        <v>2472</v>
      </c>
      <c r="Q103" s="134"/>
      <c r="R103" s="32"/>
      <c r="S103" s="132">
        <v>7150.0</v>
      </c>
      <c r="T103" s="136" t="s">
        <v>2542</v>
      </c>
      <c r="U103" s="133">
        <v>2.9</v>
      </c>
      <c r="V103" s="133">
        <f t="shared" si="7"/>
        <v>7.25</v>
      </c>
      <c r="W103" s="133">
        <v>24.2</v>
      </c>
      <c r="X103" s="133">
        <f t="shared" si="8"/>
        <v>60.5</v>
      </c>
      <c r="Y103" s="133">
        <v>4.4</v>
      </c>
      <c r="Z103" s="133">
        <f t="shared" si="9"/>
        <v>11</v>
      </c>
      <c r="AA103" s="133">
        <v>63.8</v>
      </c>
      <c r="AB103" s="133">
        <f t="shared" si="10"/>
        <v>159.5</v>
      </c>
      <c r="AC103" s="133">
        <v>4.9</v>
      </c>
      <c r="AD103" s="133">
        <f t="shared" si="11"/>
        <v>12.25</v>
      </c>
      <c r="AE103" s="165" t="s">
        <v>2543</v>
      </c>
      <c r="AF103" s="25" t="s">
        <v>2544</v>
      </c>
      <c r="AG103" s="46">
        <v>71526.0</v>
      </c>
      <c r="AH103" s="25">
        <v>2020.0</v>
      </c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</row>
    <row r="104">
      <c r="A104" s="25">
        <f t="shared" si="15"/>
        <v>103</v>
      </c>
      <c r="B104" s="162" t="s">
        <v>2545</v>
      </c>
      <c r="C104" s="126" t="s">
        <v>1969</v>
      </c>
      <c r="D104" s="32"/>
      <c r="E104" s="25"/>
      <c r="F104" s="25" t="s">
        <v>2037</v>
      </c>
      <c r="G104" s="25" t="s">
        <v>76</v>
      </c>
      <c r="H104" s="25" t="s">
        <v>43</v>
      </c>
      <c r="I104" s="25" t="s">
        <v>33</v>
      </c>
      <c r="J104" s="127">
        <v>44021.0</v>
      </c>
      <c r="K104" s="25">
        <v>271.0</v>
      </c>
      <c r="L104" s="25" t="s">
        <v>2471</v>
      </c>
      <c r="M104" s="128">
        <v>1844.0</v>
      </c>
      <c r="N104" s="32"/>
      <c r="O104" s="25" t="s">
        <v>1324</v>
      </c>
      <c r="P104" s="136" t="s">
        <v>2472</v>
      </c>
      <c r="Q104" s="134"/>
      <c r="R104" s="32"/>
      <c r="S104" s="132">
        <v>5900.0</v>
      </c>
      <c r="T104" s="136" t="s">
        <v>2546</v>
      </c>
      <c r="U104" s="133">
        <v>14.8</v>
      </c>
      <c r="V104" s="133">
        <f t="shared" si="7"/>
        <v>40.108</v>
      </c>
      <c r="W104" s="133">
        <v>24.1</v>
      </c>
      <c r="X104" s="133">
        <f t="shared" si="8"/>
        <v>65.311</v>
      </c>
      <c r="Y104" s="133">
        <v>3.5</v>
      </c>
      <c r="Z104" s="133">
        <f t="shared" si="9"/>
        <v>9.485</v>
      </c>
      <c r="AA104" s="133">
        <v>56.7</v>
      </c>
      <c r="AB104" s="133">
        <f t="shared" si="10"/>
        <v>153.657</v>
      </c>
      <c r="AC104" s="133">
        <v>1.0</v>
      </c>
      <c r="AD104" s="133">
        <f t="shared" si="11"/>
        <v>2.71</v>
      </c>
      <c r="AE104" s="136" t="s">
        <v>2547</v>
      </c>
      <c r="AF104" s="25" t="s">
        <v>2548</v>
      </c>
      <c r="AG104" s="46">
        <v>104105.0</v>
      </c>
      <c r="AH104" s="25">
        <v>2020.0</v>
      </c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</row>
    <row r="105">
      <c r="A105" s="25">
        <f t="shared" si="15"/>
        <v>104</v>
      </c>
      <c r="B105" s="162" t="s">
        <v>2549</v>
      </c>
      <c r="C105" s="126" t="s">
        <v>1969</v>
      </c>
      <c r="D105" s="32"/>
      <c r="E105" s="25"/>
      <c r="F105" s="25" t="s">
        <v>2492</v>
      </c>
      <c r="G105" s="25" t="s">
        <v>76</v>
      </c>
      <c r="H105" s="25" t="s">
        <v>43</v>
      </c>
      <c r="I105" s="25" t="s">
        <v>33</v>
      </c>
      <c r="J105" s="127">
        <v>44021.0</v>
      </c>
      <c r="K105" s="25">
        <v>253.0</v>
      </c>
      <c r="L105" s="25" t="s">
        <v>2471</v>
      </c>
      <c r="M105" s="128">
        <v>2011.0</v>
      </c>
      <c r="N105" s="32"/>
      <c r="O105" s="25" t="s">
        <v>1324</v>
      </c>
      <c r="P105" s="136" t="s">
        <v>2472</v>
      </c>
      <c r="Q105" s="134"/>
      <c r="R105" s="32"/>
      <c r="S105" s="132">
        <v>5700.0</v>
      </c>
      <c r="T105" s="136" t="s">
        <v>2550</v>
      </c>
      <c r="U105" s="133">
        <v>54.4</v>
      </c>
      <c r="V105" s="133">
        <f t="shared" si="7"/>
        <v>137.632</v>
      </c>
      <c r="W105" s="133">
        <v>28.9</v>
      </c>
      <c r="X105" s="133">
        <f t="shared" si="8"/>
        <v>73.117</v>
      </c>
      <c r="Y105" s="133">
        <v>3.9</v>
      </c>
      <c r="Z105" s="133">
        <f t="shared" si="9"/>
        <v>9.867</v>
      </c>
      <c r="AA105" s="133">
        <v>9.4</v>
      </c>
      <c r="AB105" s="133">
        <f t="shared" si="10"/>
        <v>23.782</v>
      </c>
      <c r="AC105" s="133">
        <v>3.4</v>
      </c>
      <c r="AD105" s="133">
        <f t="shared" si="11"/>
        <v>8.602</v>
      </c>
      <c r="AE105" s="136" t="s">
        <v>2551</v>
      </c>
      <c r="AF105" s="25" t="s">
        <v>2552</v>
      </c>
      <c r="AG105" s="46">
        <v>159543.0</v>
      </c>
      <c r="AH105" s="25">
        <v>2020.0</v>
      </c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</row>
    <row r="106">
      <c r="A106" s="25">
        <f t="shared" si="15"/>
        <v>105</v>
      </c>
      <c r="B106" s="162" t="s">
        <v>2553</v>
      </c>
      <c r="C106" s="126" t="s">
        <v>1969</v>
      </c>
      <c r="D106" s="32"/>
      <c r="E106" s="25"/>
      <c r="F106" s="25" t="s">
        <v>2487</v>
      </c>
      <c r="G106" s="25" t="s">
        <v>76</v>
      </c>
      <c r="H106" s="25" t="s">
        <v>43</v>
      </c>
      <c r="I106" s="25" t="s">
        <v>33</v>
      </c>
      <c r="J106" s="127">
        <v>44021.0</v>
      </c>
      <c r="K106" s="25">
        <v>225.0</v>
      </c>
      <c r="L106" s="25" t="s">
        <v>2471</v>
      </c>
      <c r="M106" s="128">
        <v>1948.0</v>
      </c>
      <c r="N106" s="32"/>
      <c r="O106" s="25" t="s">
        <v>1324</v>
      </c>
      <c r="P106" s="136" t="s">
        <v>2472</v>
      </c>
      <c r="Q106" s="134"/>
      <c r="R106" s="32"/>
      <c r="S106" s="132">
        <v>6180.0</v>
      </c>
      <c r="T106" s="136" t="s">
        <v>2554</v>
      </c>
      <c r="U106" s="133">
        <v>3.1</v>
      </c>
      <c r="V106" s="133">
        <f t="shared" si="7"/>
        <v>6.975</v>
      </c>
      <c r="W106" s="133">
        <v>3.1</v>
      </c>
      <c r="X106" s="133">
        <f t="shared" si="8"/>
        <v>6.975</v>
      </c>
      <c r="Y106" s="133">
        <v>1.3</v>
      </c>
      <c r="Z106" s="133">
        <f t="shared" si="9"/>
        <v>2.925</v>
      </c>
      <c r="AA106" s="133">
        <v>92.6</v>
      </c>
      <c r="AB106" s="133">
        <f t="shared" si="10"/>
        <v>208.35</v>
      </c>
      <c r="AC106" s="133">
        <v>0.0</v>
      </c>
      <c r="AD106" s="133">
        <f t="shared" si="11"/>
        <v>0</v>
      </c>
      <c r="AE106" s="136" t="s">
        <v>2555</v>
      </c>
      <c r="AF106" s="25" t="s">
        <v>2556</v>
      </c>
      <c r="AG106" s="46">
        <v>70520.0</v>
      </c>
      <c r="AH106" s="25">
        <v>2020.0</v>
      </c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</row>
    <row r="107">
      <c r="A107" s="25">
        <f t="shared" si="15"/>
        <v>106</v>
      </c>
      <c r="B107" s="162" t="s">
        <v>2557</v>
      </c>
      <c r="C107" s="126" t="s">
        <v>1969</v>
      </c>
      <c r="D107" s="32"/>
      <c r="E107" s="25"/>
      <c r="F107" s="25" t="s">
        <v>2487</v>
      </c>
      <c r="G107" s="25" t="s">
        <v>76</v>
      </c>
      <c r="H107" s="25" t="s">
        <v>43</v>
      </c>
      <c r="I107" s="25" t="s">
        <v>33</v>
      </c>
      <c r="J107" s="127">
        <v>44021.0</v>
      </c>
      <c r="K107" s="25">
        <v>190.0</v>
      </c>
      <c r="L107" s="25" t="s">
        <v>2471</v>
      </c>
      <c r="M107" s="128">
        <v>1910.0</v>
      </c>
      <c r="N107" s="32"/>
      <c r="O107" s="25" t="s">
        <v>1324</v>
      </c>
      <c r="P107" s="136" t="s">
        <v>2472</v>
      </c>
      <c r="Q107" s="134"/>
      <c r="R107" s="32"/>
      <c r="S107" s="132">
        <v>5060.0</v>
      </c>
      <c r="T107" s="136" t="s">
        <v>2558</v>
      </c>
      <c r="U107" s="133">
        <v>13.9</v>
      </c>
      <c r="V107" s="133">
        <f t="shared" si="7"/>
        <v>26.41</v>
      </c>
      <c r="W107" s="133">
        <v>80.4</v>
      </c>
      <c r="X107" s="133">
        <f t="shared" si="8"/>
        <v>152.76</v>
      </c>
      <c r="Y107" s="133">
        <v>0.0</v>
      </c>
      <c r="Z107" s="133">
        <f t="shared" si="9"/>
        <v>0</v>
      </c>
      <c r="AA107" s="133">
        <v>0.4</v>
      </c>
      <c r="AB107" s="133">
        <f t="shared" si="10"/>
        <v>0.76</v>
      </c>
      <c r="AC107" s="133">
        <v>5.3</v>
      </c>
      <c r="AD107" s="133">
        <f t="shared" si="11"/>
        <v>10.07</v>
      </c>
      <c r="AE107" s="129" t="s">
        <v>2559</v>
      </c>
      <c r="AF107" s="25" t="s">
        <v>2560</v>
      </c>
      <c r="AG107" s="46">
        <v>28753.0</v>
      </c>
      <c r="AH107" s="25">
        <v>2020.0</v>
      </c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</row>
    <row r="108">
      <c r="A108" s="25">
        <f t="shared" si="15"/>
        <v>107</v>
      </c>
      <c r="B108" s="25" t="s">
        <v>2370</v>
      </c>
      <c r="C108" s="126" t="s">
        <v>1969</v>
      </c>
      <c r="D108" s="25" t="s">
        <v>2399</v>
      </c>
      <c r="E108" s="25"/>
      <c r="F108" s="25" t="s">
        <v>2561</v>
      </c>
      <c r="G108" s="25" t="s">
        <v>76</v>
      </c>
      <c r="H108" s="25" t="s">
        <v>43</v>
      </c>
      <c r="I108" s="25" t="s">
        <v>33</v>
      </c>
      <c r="J108" s="127">
        <v>44021.0</v>
      </c>
      <c r="K108" s="25">
        <v>223.0</v>
      </c>
      <c r="L108" s="25" t="s">
        <v>2471</v>
      </c>
      <c r="M108" s="156"/>
      <c r="N108" s="25" t="s">
        <v>2562</v>
      </c>
      <c r="O108" s="25" t="s">
        <v>1324</v>
      </c>
      <c r="P108" s="136" t="s">
        <v>2472</v>
      </c>
      <c r="Q108" s="134"/>
      <c r="R108" s="32"/>
      <c r="S108" s="132">
        <v>5550.0</v>
      </c>
      <c r="T108" s="136" t="s">
        <v>2563</v>
      </c>
      <c r="U108" s="133">
        <v>11.3</v>
      </c>
      <c r="V108" s="133">
        <f t="shared" si="7"/>
        <v>25.199</v>
      </c>
      <c r="W108" s="133">
        <v>18.4</v>
      </c>
      <c r="X108" s="133">
        <f t="shared" si="8"/>
        <v>41.032</v>
      </c>
      <c r="Y108" s="133">
        <v>3.3</v>
      </c>
      <c r="Z108" s="133">
        <f t="shared" si="9"/>
        <v>7.359</v>
      </c>
      <c r="AA108" s="133">
        <v>57.6</v>
      </c>
      <c r="AB108" s="133">
        <f t="shared" si="10"/>
        <v>128.448</v>
      </c>
      <c r="AC108" s="133">
        <v>9.5</v>
      </c>
      <c r="AD108" s="133">
        <f t="shared" si="11"/>
        <v>21.185</v>
      </c>
      <c r="AE108" s="136" t="s">
        <v>2564</v>
      </c>
      <c r="AF108" s="25" t="s">
        <v>2565</v>
      </c>
      <c r="AG108" s="46">
        <v>120480.0</v>
      </c>
      <c r="AH108" s="25">
        <v>2020.0</v>
      </c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</row>
    <row r="109">
      <c r="A109" s="25">
        <f t="shared" si="15"/>
        <v>108</v>
      </c>
      <c r="B109" s="25" t="s">
        <v>2566</v>
      </c>
      <c r="C109" s="126" t="s">
        <v>1969</v>
      </c>
      <c r="D109" s="25" t="s">
        <v>2399</v>
      </c>
      <c r="E109" s="25"/>
      <c r="F109" s="25" t="s">
        <v>739</v>
      </c>
      <c r="G109" s="25" t="s">
        <v>76</v>
      </c>
      <c r="H109" s="25" t="s">
        <v>43</v>
      </c>
      <c r="I109" s="25" t="s">
        <v>33</v>
      </c>
      <c r="J109" s="127">
        <v>44021.0</v>
      </c>
      <c r="K109" s="25">
        <v>185.0</v>
      </c>
      <c r="L109" s="25" t="s">
        <v>2471</v>
      </c>
      <c r="M109" s="128">
        <v>1965.0</v>
      </c>
      <c r="N109" s="25" t="s">
        <v>2562</v>
      </c>
      <c r="O109" s="25" t="s">
        <v>1324</v>
      </c>
      <c r="P109" s="136" t="s">
        <v>2472</v>
      </c>
      <c r="Q109" s="134"/>
      <c r="R109" s="32"/>
      <c r="S109" s="132">
        <v>5975.0</v>
      </c>
      <c r="T109" s="136" t="s">
        <v>2567</v>
      </c>
      <c r="U109" s="133">
        <v>0.8</v>
      </c>
      <c r="V109" s="133">
        <f t="shared" si="7"/>
        <v>1.48</v>
      </c>
      <c r="W109" s="133">
        <v>1.6</v>
      </c>
      <c r="X109" s="133">
        <f t="shared" si="8"/>
        <v>2.96</v>
      </c>
      <c r="Y109" s="133">
        <v>2.4</v>
      </c>
      <c r="Z109" s="133">
        <f t="shared" si="9"/>
        <v>4.44</v>
      </c>
      <c r="AA109" s="133">
        <v>94.5</v>
      </c>
      <c r="AB109" s="133">
        <f t="shared" si="10"/>
        <v>174.825</v>
      </c>
      <c r="AC109" s="133">
        <v>0.8</v>
      </c>
      <c r="AD109" s="133">
        <f t="shared" si="11"/>
        <v>1.48</v>
      </c>
      <c r="AE109" s="136" t="s">
        <v>2568</v>
      </c>
      <c r="AF109" s="25" t="s">
        <v>2569</v>
      </c>
      <c r="AG109" s="46">
        <v>151092.0</v>
      </c>
      <c r="AH109" s="25">
        <v>2020.0</v>
      </c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</row>
    <row r="110">
      <c r="A110" s="25">
        <f t="shared" si="15"/>
        <v>109</v>
      </c>
      <c r="B110" s="25" t="s">
        <v>2570</v>
      </c>
      <c r="C110" s="126" t="s">
        <v>1969</v>
      </c>
      <c r="D110" s="32"/>
      <c r="E110" s="25"/>
      <c r="F110" s="25" t="s">
        <v>2571</v>
      </c>
      <c r="G110" s="25" t="s">
        <v>76</v>
      </c>
      <c r="H110" s="25" t="s">
        <v>43</v>
      </c>
      <c r="I110" s="25" t="s">
        <v>33</v>
      </c>
      <c r="J110" s="127">
        <v>44021.0</v>
      </c>
      <c r="K110" s="25">
        <v>238.0</v>
      </c>
      <c r="L110" s="25" t="s">
        <v>1978</v>
      </c>
      <c r="M110" s="156"/>
      <c r="N110" s="32"/>
      <c r="O110" s="25" t="s">
        <v>1324</v>
      </c>
      <c r="P110" s="165" t="s">
        <v>2572</v>
      </c>
      <c r="Q110" s="134"/>
      <c r="R110" s="32"/>
      <c r="S110" s="135"/>
      <c r="T110" s="131"/>
      <c r="U110" s="133">
        <v>1.4</v>
      </c>
      <c r="V110" s="133">
        <f t="shared" si="7"/>
        <v>3.332</v>
      </c>
      <c r="W110" s="133">
        <v>4.8</v>
      </c>
      <c r="X110" s="133">
        <f t="shared" si="8"/>
        <v>11.424</v>
      </c>
      <c r="Y110" s="133">
        <v>2.9</v>
      </c>
      <c r="Z110" s="133">
        <f t="shared" si="9"/>
        <v>6.902</v>
      </c>
      <c r="AA110" s="133">
        <v>74.6</v>
      </c>
      <c r="AB110" s="133">
        <f t="shared" si="10"/>
        <v>177.548</v>
      </c>
      <c r="AC110" s="133">
        <v>16.3</v>
      </c>
      <c r="AD110" s="133">
        <f t="shared" si="11"/>
        <v>38.794</v>
      </c>
      <c r="AE110" s="129" t="s">
        <v>2573</v>
      </c>
      <c r="AF110" s="25" t="s">
        <v>2574</v>
      </c>
      <c r="AG110" s="46">
        <v>97735.0</v>
      </c>
      <c r="AH110" s="25">
        <v>2020.0</v>
      </c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</row>
    <row r="111">
      <c r="A111" s="25">
        <f t="shared" si="15"/>
        <v>110</v>
      </c>
      <c r="B111" s="31" t="s">
        <v>2575</v>
      </c>
      <c r="C111" s="126" t="s">
        <v>1969</v>
      </c>
      <c r="D111" s="32"/>
      <c r="E111" s="25"/>
      <c r="F111" s="25" t="s">
        <v>2571</v>
      </c>
      <c r="G111" s="25" t="s">
        <v>76</v>
      </c>
      <c r="H111" s="25" t="s">
        <v>43</v>
      </c>
      <c r="I111" s="25" t="s">
        <v>33</v>
      </c>
      <c r="J111" s="127">
        <v>44021.0</v>
      </c>
      <c r="K111" s="25">
        <v>369.0</v>
      </c>
      <c r="L111" s="25" t="s">
        <v>1978</v>
      </c>
      <c r="M111" s="156"/>
      <c r="N111" s="32"/>
      <c r="O111" s="25" t="s">
        <v>1324</v>
      </c>
      <c r="P111" s="165" t="s">
        <v>2572</v>
      </c>
      <c r="Q111" s="134"/>
      <c r="R111" s="32"/>
      <c r="S111" s="132">
        <v>5000.0</v>
      </c>
      <c r="T111" s="136" t="s">
        <v>2576</v>
      </c>
      <c r="U111" s="133">
        <v>0.0</v>
      </c>
      <c r="V111" s="133">
        <f t="shared" si="7"/>
        <v>0</v>
      </c>
      <c r="W111" s="133">
        <v>9.2</v>
      </c>
      <c r="X111" s="133">
        <f t="shared" si="8"/>
        <v>33.948</v>
      </c>
      <c r="Y111" s="133">
        <v>3.4</v>
      </c>
      <c r="Z111" s="133">
        <f t="shared" si="9"/>
        <v>12.546</v>
      </c>
      <c r="AA111" s="133">
        <v>87.5</v>
      </c>
      <c r="AB111" s="133">
        <f t="shared" si="10"/>
        <v>322.875</v>
      </c>
      <c r="AC111" s="133">
        <v>0.0</v>
      </c>
      <c r="AD111" s="133">
        <f t="shared" si="11"/>
        <v>0</v>
      </c>
      <c r="AE111" s="136" t="s">
        <v>2577</v>
      </c>
      <c r="AF111" s="25" t="s">
        <v>2578</v>
      </c>
      <c r="AG111" s="46">
        <v>112189.0</v>
      </c>
      <c r="AH111" s="25">
        <v>2020.0</v>
      </c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</row>
    <row r="112">
      <c r="A112" s="25">
        <f t="shared" si="15"/>
        <v>111</v>
      </c>
      <c r="B112" s="31" t="s">
        <v>2579</v>
      </c>
      <c r="C112" s="126" t="s">
        <v>1969</v>
      </c>
      <c r="D112" s="32"/>
      <c r="E112" s="25"/>
      <c r="F112" s="25" t="s">
        <v>2580</v>
      </c>
      <c r="G112" s="25" t="s">
        <v>76</v>
      </c>
      <c r="H112" s="25" t="s">
        <v>43</v>
      </c>
      <c r="I112" s="25" t="s">
        <v>33</v>
      </c>
      <c r="J112" s="127">
        <v>44021.0</v>
      </c>
      <c r="K112" s="25">
        <v>253.0</v>
      </c>
      <c r="L112" s="25" t="s">
        <v>1978</v>
      </c>
      <c r="M112" s="128">
        <v>1951.0</v>
      </c>
      <c r="N112" s="32"/>
      <c r="O112" s="25" t="s">
        <v>1324</v>
      </c>
      <c r="P112" s="165" t="s">
        <v>2572</v>
      </c>
      <c r="Q112" s="134"/>
      <c r="R112" s="32"/>
      <c r="S112" s="132">
        <v>5650.0</v>
      </c>
      <c r="T112" s="136" t="s">
        <v>2581</v>
      </c>
      <c r="U112" s="133">
        <v>6.8</v>
      </c>
      <c r="V112" s="133">
        <f t="shared" si="7"/>
        <v>17.204</v>
      </c>
      <c r="W112" s="133">
        <v>13.2</v>
      </c>
      <c r="X112" s="133">
        <f t="shared" si="8"/>
        <v>33.396</v>
      </c>
      <c r="Y112" s="133">
        <v>1.6</v>
      </c>
      <c r="Z112" s="133">
        <f t="shared" si="9"/>
        <v>4.048</v>
      </c>
      <c r="AA112" s="133">
        <v>76.8</v>
      </c>
      <c r="AB112" s="133">
        <f t="shared" si="10"/>
        <v>194.304</v>
      </c>
      <c r="AC112" s="133">
        <v>1.6</v>
      </c>
      <c r="AD112" s="133">
        <f t="shared" si="11"/>
        <v>4.048</v>
      </c>
      <c r="AE112" s="136" t="s">
        <v>2582</v>
      </c>
      <c r="AF112" s="25" t="s">
        <v>2583</v>
      </c>
      <c r="AG112" s="46">
        <v>96508.0</v>
      </c>
      <c r="AH112" s="25">
        <v>2020.0</v>
      </c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</row>
    <row r="113">
      <c r="A113" s="25">
        <f t="shared" si="15"/>
        <v>112</v>
      </c>
      <c r="B113" s="162" t="s">
        <v>2584</v>
      </c>
      <c r="C113" s="126" t="s">
        <v>1969</v>
      </c>
      <c r="D113" s="32"/>
      <c r="E113" s="25"/>
      <c r="F113" s="25" t="s">
        <v>2585</v>
      </c>
      <c r="G113" s="25" t="s">
        <v>76</v>
      </c>
      <c r="H113" s="25" t="s">
        <v>43</v>
      </c>
      <c r="I113" s="25" t="s">
        <v>33</v>
      </c>
      <c r="J113" s="127">
        <v>44021.0</v>
      </c>
      <c r="K113" s="25">
        <v>284.0</v>
      </c>
      <c r="L113" s="25" t="s">
        <v>1978</v>
      </c>
      <c r="M113" s="128">
        <v>2009.0</v>
      </c>
      <c r="N113" s="32"/>
      <c r="O113" s="25" t="s">
        <v>1324</v>
      </c>
      <c r="P113" s="165" t="s">
        <v>2572</v>
      </c>
      <c r="Q113" s="134"/>
      <c r="R113" s="32"/>
      <c r="S113" s="132">
        <v>4200.0</v>
      </c>
      <c r="T113" s="166" t="s">
        <v>2586</v>
      </c>
      <c r="U113" s="133">
        <v>48.6</v>
      </c>
      <c r="V113" s="133">
        <f t="shared" si="7"/>
        <v>138.024</v>
      </c>
      <c r="W113" s="133">
        <v>19.7</v>
      </c>
      <c r="X113" s="133">
        <f t="shared" si="8"/>
        <v>55.948</v>
      </c>
      <c r="Y113" s="133">
        <v>14.6</v>
      </c>
      <c r="Z113" s="133">
        <f t="shared" si="9"/>
        <v>41.464</v>
      </c>
      <c r="AA113" s="133">
        <v>0.7</v>
      </c>
      <c r="AB113" s="133">
        <f t="shared" si="10"/>
        <v>1.988</v>
      </c>
      <c r="AC113" s="133">
        <v>16.4</v>
      </c>
      <c r="AD113" s="133">
        <f t="shared" si="11"/>
        <v>46.576</v>
      </c>
      <c r="AE113" s="136" t="s">
        <v>2587</v>
      </c>
      <c r="AF113" s="25" t="s">
        <v>2588</v>
      </c>
      <c r="AG113" s="46">
        <v>67060.0</v>
      </c>
      <c r="AH113" s="25">
        <v>2020.0</v>
      </c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</row>
    <row r="114">
      <c r="A114" s="25">
        <f t="shared" si="15"/>
        <v>113</v>
      </c>
      <c r="B114" s="31" t="s">
        <v>2589</v>
      </c>
      <c r="C114" s="126" t="s">
        <v>1969</v>
      </c>
      <c r="D114" s="32"/>
      <c r="E114" s="25"/>
      <c r="F114" s="25" t="s">
        <v>2590</v>
      </c>
      <c r="G114" s="25" t="s">
        <v>76</v>
      </c>
      <c r="H114" s="25" t="s">
        <v>43</v>
      </c>
      <c r="I114" s="25" t="s">
        <v>33</v>
      </c>
      <c r="J114" s="127">
        <v>44021.0</v>
      </c>
      <c r="K114" s="25">
        <v>184.0</v>
      </c>
      <c r="L114" s="25" t="s">
        <v>1978</v>
      </c>
      <c r="M114" s="128">
        <v>2010.0</v>
      </c>
      <c r="N114" s="32"/>
      <c r="O114" s="25" t="s">
        <v>1324</v>
      </c>
      <c r="P114" s="165" t="s">
        <v>2572</v>
      </c>
      <c r="Q114" s="134"/>
      <c r="R114" s="32"/>
      <c r="S114" s="132">
        <v>6250.0</v>
      </c>
      <c r="T114" s="136" t="s">
        <v>2591</v>
      </c>
      <c r="U114" s="133">
        <v>5.0</v>
      </c>
      <c r="V114" s="133">
        <f t="shared" si="7"/>
        <v>9.2</v>
      </c>
      <c r="W114" s="133">
        <v>72.0</v>
      </c>
      <c r="X114" s="133">
        <f t="shared" si="8"/>
        <v>132.48</v>
      </c>
      <c r="Y114" s="133">
        <v>1.0</v>
      </c>
      <c r="Z114" s="133">
        <f t="shared" si="9"/>
        <v>1.84</v>
      </c>
      <c r="AA114" s="133">
        <v>15.0</v>
      </c>
      <c r="AB114" s="133">
        <f t="shared" si="10"/>
        <v>27.6</v>
      </c>
      <c r="AC114" s="133">
        <v>6.0</v>
      </c>
      <c r="AD114" s="133">
        <f t="shared" si="11"/>
        <v>11.04</v>
      </c>
      <c r="AE114" s="136" t="s">
        <v>2592</v>
      </c>
      <c r="AF114" s="25" t="s">
        <v>2593</v>
      </c>
      <c r="AG114" s="46">
        <v>109342.0</v>
      </c>
      <c r="AH114" s="25">
        <v>2020.0</v>
      </c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</row>
    <row r="115">
      <c r="A115" s="25">
        <f t="shared" si="15"/>
        <v>114</v>
      </c>
      <c r="B115" s="31" t="s">
        <v>2594</v>
      </c>
      <c r="C115" s="126" t="s">
        <v>1969</v>
      </c>
      <c r="D115" s="32"/>
      <c r="E115" s="25"/>
      <c r="F115" s="25" t="s">
        <v>2595</v>
      </c>
      <c r="G115" s="25" t="s">
        <v>76</v>
      </c>
      <c r="H115" s="25" t="s">
        <v>43</v>
      </c>
      <c r="I115" s="25" t="s">
        <v>33</v>
      </c>
      <c r="J115" s="127">
        <v>44021.0</v>
      </c>
      <c r="K115" s="25">
        <v>264.0</v>
      </c>
      <c r="L115" s="25" t="s">
        <v>1978</v>
      </c>
      <c r="M115" s="128">
        <v>1912.0</v>
      </c>
      <c r="N115" s="32"/>
      <c r="O115" s="25" t="s">
        <v>1324</v>
      </c>
      <c r="P115" s="165" t="s">
        <v>2572</v>
      </c>
      <c r="Q115" s="134"/>
      <c r="R115" s="32"/>
      <c r="S115" s="132">
        <v>4275.0</v>
      </c>
      <c r="T115" s="136" t="s">
        <v>2596</v>
      </c>
      <c r="U115" s="133">
        <v>80.2</v>
      </c>
      <c r="V115" s="133">
        <f t="shared" si="7"/>
        <v>211.728</v>
      </c>
      <c r="W115" s="133">
        <v>8.7</v>
      </c>
      <c r="X115" s="133">
        <f t="shared" si="8"/>
        <v>22.968</v>
      </c>
      <c r="Y115" s="133">
        <v>0.0</v>
      </c>
      <c r="Z115" s="133">
        <f t="shared" si="9"/>
        <v>0</v>
      </c>
      <c r="AA115" s="133">
        <v>0.0</v>
      </c>
      <c r="AB115" s="133">
        <f t="shared" si="10"/>
        <v>0</v>
      </c>
      <c r="AC115" s="133">
        <v>11.1</v>
      </c>
      <c r="AD115" s="133">
        <f t="shared" si="11"/>
        <v>29.304</v>
      </c>
      <c r="AE115" s="136" t="s">
        <v>2597</v>
      </c>
      <c r="AF115" s="25" t="s">
        <v>2598</v>
      </c>
      <c r="AG115" s="46">
        <v>60802.0</v>
      </c>
      <c r="AH115" s="25">
        <v>2020.0</v>
      </c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</row>
    <row r="116">
      <c r="A116" s="25">
        <f t="shared" si="15"/>
        <v>115</v>
      </c>
      <c r="B116" s="25" t="s">
        <v>2599</v>
      </c>
      <c r="C116" s="126" t="s">
        <v>1969</v>
      </c>
      <c r="D116" s="32"/>
      <c r="E116" s="25"/>
      <c r="F116" s="25" t="s">
        <v>2600</v>
      </c>
      <c r="G116" s="25" t="s">
        <v>122</v>
      </c>
      <c r="H116" s="25" t="s">
        <v>32</v>
      </c>
      <c r="I116" s="36" t="s">
        <v>23</v>
      </c>
      <c r="J116" s="127">
        <v>44024.0</v>
      </c>
      <c r="K116" s="32"/>
      <c r="L116" s="32"/>
      <c r="M116" s="157">
        <v>1979.0</v>
      </c>
      <c r="N116" s="32"/>
      <c r="O116" s="25"/>
      <c r="P116" s="21" t="s">
        <v>2601</v>
      </c>
      <c r="Q116" s="134"/>
      <c r="R116" s="32"/>
      <c r="S116" s="135"/>
      <c r="T116" s="131"/>
      <c r="U116" s="163"/>
      <c r="V116" s="133" t="str">
        <f t="shared" si="7"/>
        <v/>
      </c>
      <c r="W116" s="163"/>
      <c r="X116" s="133" t="str">
        <f t="shared" si="8"/>
        <v/>
      </c>
      <c r="Y116" s="163"/>
      <c r="Z116" s="133" t="str">
        <f t="shared" si="9"/>
        <v/>
      </c>
      <c r="AA116" s="163"/>
      <c r="AB116" s="133" t="str">
        <f t="shared" si="10"/>
        <v/>
      </c>
      <c r="AC116" s="163"/>
      <c r="AD116" s="133" t="str">
        <f t="shared" si="11"/>
        <v/>
      </c>
      <c r="AE116" s="32"/>
      <c r="AF116" s="25" t="s">
        <v>2602</v>
      </c>
      <c r="AG116" s="46">
        <v>129828.0</v>
      </c>
      <c r="AH116" s="25">
        <v>2020.0</v>
      </c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</row>
    <row r="117">
      <c r="A117" s="25">
        <f t="shared" si="15"/>
        <v>116</v>
      </c>
      <c r="B117" s="25" t="s">
        <v>2603</v>
      </c>
      <c r="C117" s="126" t="s">
        <v>1969</v>
      </c>
      <c r="D117" s="32"/>
      <c r="E117" s="25"/>
      <c r="F117" s="25" t="s">
        <v>2604</v>
      </c>
      <c r="G117" s="25" t="s">
        <v>76</v>
      </c>
      <c r="H117" s="25" t="s">
        <v>43</v>
      </c>
      <c r="I117" s="25" t="s">
        <v>68</v>
      </c>
      <c r="J117" s="127">
        <v>44026.0</v>
      </c>
      <c r="K117" s="25">
        <v>573.0</v>
      </c>
      <c r="L117" s="167" t="s">
        <v>1978</v>
      </c>
      <c r="M117" s="128">
        <v>1985.0</v>
      </c>
      <c r="N117" s="32"/>
      <c r="O117" s="32"/>
      <c r="P117" s="32"/>
      <c r="Q117" s="134"/>
      <c r="R117" s="32"/>
      <c r="S117" s="132">
        <v>6953.0</v>
      </c>
      <c r="T117" s="21" t="s">
        <v>2605</v>
      </c>
      <c r="U117" s="133">
        <v>15.0</v>
      </c>
      <c r="V117" s="133">
        <f t="shared" si="7"/>
        <v>85.95</v>
      </c>
      <c r="W117" s="133">
        <v>40.0</v>
      </c>
      <c r="X117" s="133">
        <f t="shared" si="8"/>
        <v>229.2</v>
      </c>
      <c r="Y117" s="133">
        <v>34.0</v>
      </c>
      <c r="Z117" s="133">
        <f t="shared" si="9"/>
        <v>194.82</v>
      </c>
      <c r="AA117" s="133">
        <v>7.0</v>
      </c>
      <c r="AB117" s="133">
        <f t="shared" si="10"/>
        <v>40.11</v>
      </c>
      <c r="AC117" s="133">
        <v>4.0</v>
      </c>
      <c r="AD117" s="133">
        <f t="shared" si="11"/>
        <v>22.92</v>
      </c>
      <c r="AE117" s="129" t="s">
        <v>2606</v>
      </c>
      <c r="AF117" s="25" t="s">
        <v>2607</v>
      </c>
      <c r="AG117" s="46">
        <v>50798.0</v>
      </c>
      <c r="AH117" s="25">
        <v>2020.0</v>
      </c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</row>
    <row r="118">
      <c r="A118" s="25">
        <f t="shared" si="15"/>
        <v>117</v>
      </c>
      <c r="B118" s="25" t="s">
        <v>2608</v>
      </c>
      <c r="C118" s="126" t="s">
        <v>1969</v>
      </c>
      <c r="D118" s="32"/>
      <c r="E118" s="25"/>
      <c r="F118" s="25" t="s">
        <v>2270</v>
      </c>
      <c r="G118" s="25" t="s">
        <v>122</v>
      </c>
      <c r="H118" s="25" t="s">
        <v>32</v>
      </c>
      <c r="I118" s="25" t="s">
        <v>33</v>
      </c>
      <c r="J118" s="127">
        <v>44028.0</v>
      </c>
      <c r="K118" s="25"/>
      <c r="L118" s="25"/>
      <c r="M118" s="157">
        <v>1944.0</v>
      </c>
      <c r="N118" s="32"/>
      <c r="O118" s="25" t="s">
        <v>1324</v>
      </c>
      <c r="P118" s="21" t="s">
        <v>2609</v>
      </c>
      <c r="Q118" s="134"/>
      <c r="R118" s="32"/>
      <c r="S118" s="132"/>
      <c r="T118" s="36"/>
      <c r="U118" s="133"/>
      <c r="V118" s="133" t="str">
        <f t="shared" si="7"/>
        <v/>
      </c>
      <c r="W118" s="133"/>
      <c r="X118" s="133" t="str">
        <f t="shared" si="8"/>
        <v/>
      </c>
      <c r="Y118" s="133"/>
      <c r="Z118" s="133" t="str">
        <f t="shared" si="9"/>
        <v/>
      </c>
      <c r="AA118" s="133"/>
      <c r="AB118" s="133" t="str">
        <f t="shared" si="10"/>
        <v/>
      </c>
      <c r="AC118" s="133"/>
      <c r="AD118" s="133" t="str">
        <f t="shared" si="11"/>
        <v/>
      </c>
      <c r="AE118" s="36"/>
      <c r="AF118" s="25" t="s">
        <v>2610</v>
      </c>
      <c r="AG118" s="46">
        <v>32095.0</v>
      </c>
      <c r="AH118" s="25">
        <v>2020.0</v>
      </c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</row>
    <row r="119">
      <c r="A119" s="25">
        <f t="shared" si="15"/>
        <v>118</v>
      </c>
      <c r="B119" s="31" t="s">
        <v>2611</v>
      </c>
      <c r="C119" s="126" t="s">
        <v>1969</v>
      </c>
      <c r="D119" s="31" t="s">
        <v>2399</v>
      </c>
      <c r="E119" s="31"/>
      <c r="F119" s="31" t="s">
        <v>2061</v>
      </c>
      <c r="G119" s="31" t="s">
        <v>133</v>
      </c>
      <c r="H119" s="31" t="s">
        <v>43</v>
      </c>
      <c r="I119" s="31" t="s">
        <v>33</v>
      </c>
      <c r="J119" s="92">
        <v>44034.0</v>
      </c>
      <c r="K119" s="31">
        <v>172.0</v>
      </c>
      <c r="L119" s="31" t="s">
        <v>1971</v>
      </c>
      <c r="M119" s="157">
        <v>1945.0</v>
      </c>
      <c r="N119" s="32"/>
      <c r="O119" s="31" t="s">
        <v>2399</v>
      </c>
      <c r="P119" s="33" t="s">
        <v>2612</v>
      </c>
      <c r="Q119" s="134"/>
      <c r="R119" s="32"/>
      <c r="S119" s="135"/>
      <c r="T119" s="131"/>
      <c r="U119" s="168">
        <v>0.0</v>
      </c>
      <c r="V119" s="133">
        <f t="shared" si="7"/>
        <v>0</v>
      </c>
      <c r="W119" s="168">
        <v>0.7</v>
      </c>
      <c r="X119" s="133">
        <f t="shared" si="8"/>
        <v>1.204</v>
      </c>
      <c r="Y119" s="168">
        <v>2.8</v>
      </c>
      <c r="Z119" s="133">
        <f t="shared" si="9"/>
        <v>4.816</v>
      </c>
      <c r="AA119" s="168">
        <v>91.6</v>
      </c>
      <c r="AB119" s="133">
        <f t="shared" si="10"/>
        <v>157.552</v>
      </c>
      <c r="AC119" s="168">
        <v>4.9</v>
      </c>
      <c r="AD119" s="133">
        <f t="shared" si="11"/>
        <v>8.428</v>
      </c>
      <c r="AE119" s="33" t="s">
        <v>2613</v>
      </c>
      <c r="AF119" s="39" t="s">
        <v>2614</v>
      </c>
      <c r="AG119" s="26">
        <v>104021.0</v>
      </c>
      <c r="AH119" s="20">
        <v>2020.0</v>
      </c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</row>
    <row r="120">
      <c r="A120" s="25">
        <f t="shared" si="15"/>
        <v>119</v>
      </c>
      <c r="B120" s="25" t="s">
        <v>2615</v>
      </c>
      <c r="C120" s="126" t="s">
        <v>1969</v>
      </c>
      <c r="D120" s="32"/>
      <c r="E120" s="25"/>
      <c r="F120" s="25" t="s">
        <v>2616</v>
      </c>
      <c r="G120" s="25" t="s">
        <v>100</v>
      </c>
      <c r="H120" s="25" t="s">
        <v>43</v>
      </c>
      <c r="I120" s="25" t="s">
        <v>33</v>
      </c>
      <c r="J120" s="127">
        <v>44047.0</v>
      </c>
      <c r="K120" s="25">
        <v>231.0</v>
      </c>
      <c r="L120" s="25" t="s">
        <v>1978</v>
      </c>
      <c r="M120" s="156"/>
      <c r="N120" s="32"/>
      <c r="O120" s="25" t="s">
        <v>1436</v>
      </c>
      <c r="P120" s="21" t="s">
        <v>2617</v>
      </c>
      <c r="Q120" s="134"/>
      <c r="R120" s="32"/>
      <c r="S120" s="132">
        <v>5675.0</v>
      </c>
      <c r="T120" s="136" t="s">
        <v>2618</v>
      </c>
      <c r="U120" s="133">
        <v>8.5</v>
      </c>
      <c r="V120" s="133">
        <f t="shared" si="7"/>
        <v>19.635</v>
      </c>
      <c r="W120" s="133">
        <v>15.4</v>
      </c>
      <c r="X120" s="133">
        <f t="shared" si="8"/>
        <v>35.574</v>
      </c>
      <c r="Y120" s="133">
        <v>35.8</v>
      </c>
      <c r="Z120" s="133">
        <f t="shared" si="9"/>
        <v>82.698</v>
      </c>
      <c r="AA120" s="133">
        <v>30.4</v>
      </c>
      <c r="AB120" s="133">
        <f t="shared" si="10"/>
        <v>70.224</v>
      </c>
      <c r="AC120" s="133">
        <v>10.0</v>
      </c>
      <c r="AD120" s="133">
        <f t="shared" si="11"/>
        <v>23.1</v>
      </c>
      <c r="AE120" s="136" t="s">
        <v>2619</v>
      </c>
      <c r="AF120" s="25" t="s">
        <v>2620</v>
      </c>
      <c r="AG120" s="46">
        <v>90945.0</v>
      </c>
      <c r="AH120" s="25">
        <v>2020.0</v>
      </c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</row>
    <row r="121">
      <c r="A121" s="25">
        <f t="shared" si="15"/>
        <v>120</v>
      </c>
      <c r="B121" s="25" t="s">
        <v>97</v>
      </c>
      <c r="C121" s="126" t="s">
        <v>1969</v>
      </c>
      <c r="D121" s="32"/>
      <c r="E121" s="25"/>
      <c r="F121" s="25" t="s">
        <v>2621</v>
      </c>
      <c r="G121" s="25" t="s">
        <v>100</v>
      </c>
      <c r="H121" s="25" t="s">
        <v>43</v>
      </c>
      <c r="I121" s="25" t="s">
        <v>33</v>
      </c>
      <c r="J121" s="127">
        <v>44047.0</v>
      </c>
      <c r="K121" s="25">
        <v>283.0</v>
      </c>
      <c r="L121" s="25" t="s">
        <v>1978</v>
      </c>
      <c r="M121" s="156"/>
      <c r="N121" s="32"/>
      <c r="O121" s="25" t="s">
        <v>1436</v>
      </c>
      <c r="P121" s="21" t="s">
        <v>2617</v>
      </c>
      <c r="Q121" s="134"/>
      <c r="R121" s="32"/>
      <c r="S121" s="132">
        <v>6019.0</v>
      </c>
      <c r="T121" s="136" t="s">
        <v>2622</v>
      </c>
      <c r="U121" s="133">
        <v>1.2</v>
      </c>
      <c r="V121" s="133">
        <f t="shared" si="7"/>
        <v>3.396</v>
      </c>
      <c r="W121" s="133">
        <v>47.2</v>
      </c>
      <c r="X121" s="133">
        <f t="shared" si="8"/>
        <v>133.576</v>
      </c>
      <c r="Y121" s="133">
        <v>9.4</v>
      </c>
      <c r="Z121" s="133">
        <f t="shared" si="9"/>
        <v>26.602</v>
      </c>
      <c r="AA121" s="133">
        <v>38.6</v>
      </c>
      <c r="AB121" s="133">
        <f t="shared" si="10"/>
        <v>109.238</v>
      </c>
      <c r="AC121" s="133">
        <v>3.7</v>
      </c>
      <c r="AD121" s="133">
        <f t="shared" si="11"/>
        <v>10.471</v>
      </c>
      <c r="AE121" s="136" t="s">
        <v>2623</v>
      </c>
      <c r="AF121" s="25" t="s">
        <v>2624</v>
      </c>
      <c r="AG121" s="46">
        <v>97571.0</v>
      </c>
      <c r="AH121" s="25">
        <v>2020.0</v>
      </c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</row>
    <row r="122">
      <c r="A122" s="25">
        <f t="shared" si="15"/>
        <v>121</v>
      </c>
      <c r="B122" s="31" t="s">
        <v>2625</v>
      </c>
      <c r="C122" s="126" t="s">
        <v>1969</v>
      </c>
      <c r="D122" s="32"/>
      <c r="E122" s="25"/>
      <c r="F122" s="25" t="s">
        <v>2626</v>
      </c>
      <c r="G122" s="25" t="s">
        <v>100</v>
      </c>
      <c r="H122" s="25" t="s">
        <v>43</v>
      </c>
      <c r="I122" s="25" t="s">
        <v>33</v>
      </c>
      <c r="J122" s="127">
        <v>44047.0</v>
      </c>
      <c r="K122" s="25">
        <v>172.0</v>
      </c>
      <c r="L122" s="25" t="s">
        <v>1978</v>
      </c>
      <c r="M122" s="128">
        <v>1916.0</v>
      </c>
      <c r="N122" s="32"/>
      <c r="O122" s="25" t="s">
        <v>1436</v>
      </c>
      <c r="P122" s="21" t="s">
        <v>2617</v>
      </c>
      <c r="Q122" s="134"/>
      <c r="R122" s="32"/>
      <c r="S122" s="132">
        <v>10390.0</v>
      </c>
      <c r="T122" s="152" t="s">
        <v>2627</v>
      </c>
      <c r="U122" s="133">
        <v>4.2</v>
      </c>
      <c r="V122" s="133">
        <f t="shared" si="7"/>
        <v>7.224</v>
      </c>
      <c r="W122" s="133">
        <v>9.9</v>
      </c>
      <c r="X122" s="133">
        <f t="shared" si="8"/>
        <v>17.028</v>
      </c>
      <c r="Y122" s="133">
        <v>12.0</v>
      </c>
      <c r="Z122" s="133">
        <f t="shared" si="9"/>
        <v>20.64</v>
      </c>
      <c r="AA122" s="133">
        <v>64.1</v>
      </c>
      <c r="AB122" s="133">
        <f t="shared" si="10"/>
        <v>110.252</v>
      </c>
      <c r="AC122" s="133">
        <v>9.9</v>
      </c>
      <c r="AD122" s="133">
        <f t="shared" si="11"/>
        <v>17.028</v>
      </c>
      <c r="AE122" s="136" t="s">
        <v>2628</v>
      </c>
      <c r="AF122" s="25" t="s">
        <v>2629</v>
      </c>
      <c r="AG122" s="46">
        <v>112753.0</v>
      </c>
      <c r="AH122" s="25">
        <v>2020.0</v>
      </c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</row>
    <row r="123">
      <c r="A123" s="25">
        <f t="shared" si="15"/>
        <v>122</v>
      </c>
      <c r="B123" s="25" t="s">
        <v>2630</v>
      </c>
      <c r="C123" s="126" t="s">
        <v>1969</v>
      </c>
      <c r="D123" s="32"/>
      <c r="E123" s="25"/>
      <c r="F123" s="25" t="s">
        <v>2141</v>
      </c>
      <c r="G123" s="25" t="s">
        <v>100</v>
      </c>
      <c r="H123" s="25" t="s">
        <v>43</v>
      </c>
      <c r="I123" s="25" t="s">
        <v>33</v>
      </c>
      <c r="J123" s="127">
        <v>44047.0</v>
      </c>
      <c r="K123" s="25">
        <v>177.0</v>
      </c>
      <c r="L123" s="25" t="s">
        <v>1978</v>
      </c>
      <c r="M123" s="156"/>
      <c r="N123" s="32"/>
      <c r="O123" s="25" t="s">
        <v>1436</v>
      </c>
      <c r="P123" s="21" t="s">
        <v>2617</v>
      </c>
      <c r="Q123" s="134"/>
      <c r="R123" s="32"/>
      <c r="S123" s="132">
        <v>3450.0</v>
      </c>
      <c r="T123" s="136" t="s">
        <v>2631</v>
      </c>
      <c r="U123" s="133">
        <v>11.7</v>
      </c>
      <c r="V123" s="133">
        <f t="shared" si="7"/>
        <v>20.709</v>
      </c>
      <c r="W123" s="133">
        <v>39.3</v>
      </c>
      <c r="X123" s="133">
        <f t="shared" si="8"/>
        <v>69.561</v>
      </c>
      <c r="Y123" s="133">
        <v>2.8</v>
      </c>
      <c r="Z123" s="133">
        <f t="shared" si="9"/>
        <v>4.956</v>
      </c>
      <c r="AA123" s="133">
        <v>42.1</v>
      </c>
      <c r="AB123" s="133">
        <f t="shared" si="10"/>
        <v>74.517</v>
      </c>
      <c r="AC123" s="133">
        <v>4.1</v>
      </c>
      <c r="AD123" s="133">
        <f t="shared" si="11"/>
        <v>7.257</v>
      </c>
      <c r="AE123" s="136" t="s">
        <v>2632</v>
      </c>
      <c r="AF123" s="25" t="s">
        <v>2633</v>
      </c>
      <c r="AG123" s="46">
        <v>37100.0</v>
      </c>
      <c r="AH123" s="25">
        <v>2020.0</v>
      </c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</row>
    <row r="124">
      <c r="A124" s="25">
        <f t="shared" si="15"/>
        <v>123</v>
      </c>
      <c r="B124" s="25" t="s">
        <v>2634</v>
      </c>
      <c r="C124" s="126" t="s">
        <v>1969</v>
      </c>
      <c r="D124" s="32"/>
      <c r="E124" s="25"/>
      <c r="F124" s="25" t="s">
        <v>2141</v>
      </c>
      <c r="G124" s="25" t="s">
        <v>100</v>
      </c>
      <c r="H124" s="25" t="s">
        <v>43</v>
      </c>
      <c r="I124" s="25" t="s">
        <v>33</v>
      </c>
      <c r="J124" s="127">
        <v>44047.0</v>
      </c>
      <c r="K124" s="25">
        <v>225.0</v>
      </c>
      <c r="L124" s="25" t="s">
        <v>1978</v>
      </c>
      <c r="M124" s="128">
        <v>2005.0</v>
      </c>
      <c r="N124" s="32"/>
      <c r="O124" s="25" t="s">
        <v>1436</v>
      </c>
      <c r="P124" s="21" t="s">
        <v>2617</v>
      </c>
      <c r="Q124" s="134"/>
      <c r="R124" s="32"/>
      <c r="S124" s="132">
        <v>4800.0</v>
      </c>
      <c r="T124" s="136" t="s">
        <v>2635</v>
      </c>
      <c r="U124" s="133">
        <v>1.8</v>
      </c>
      <c r="V124" s="133">
        <f t="shared" si="7"/>
        <v>4.05</v>
      </c>
      <c r="W124" s="133">
        <v>32.5</v>
      </c>
      <c r="X124" s="133">
        <f t="shared" si="8"/>
        <v>73.125</v>
      </c>
      <c r="Y124" s="133">
        <v>0.6</v>
      </c>
      <c r="Z124" s="133">
        <f t="shared" si="9"/>
        <v>1.35</v>
      </c>
      <c r="AA124" s="133">
        <v>52.1</v>
      </c>
      <c r="AB124" s="133">
        <f t="shared" si="10"/>
        <v>117.225</v>
      </c>
      <c r="AC124" s="133">
        <v>13.0</v>
      </c>
      <c r="AD124" s="133">
        <f t="shared" si="11"/>
        <v>29.25</v>
      </c>
      <c r="AE124" s="136" t="s">
        <v>2636</v>
      </c>
      <c r="AF124" s="25" t="s">
        <v>2637</v>
      </c>
      <c r="AG124" s="46">
        <v>41734.0</v>
      </c>
      <c r="AH124" s="25">
        <v>2020.0</v>
      </c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</row>
    <row r="125">
      <c r="A125" s="25">
        <f t="shared" si="15"/>
        <v>124</v>
      </c>
      <c r="B125" s="31" t="s">
        <v>2638</v>
      </c>
      <c r="C125" s="126" t="s">
        <v>1969</v>
      </c>
      <c r="D125" s="25" t="s">
        <v>2399</v>
      </c>
      <c r="E125" s="25"/>
      <c r="F125" s="25" t="s">
        <v>2639</v>
      </c>
      <c r="G125" s="25" t="s">
        <v>100</v>
      </c>
      <c r="H125" s="25" t="s">
        <v>43</v>
      </c>
      <c r="I125" s="25" t="s">
        <v>33</v>
      </c>
      <c r="J125" s="127">
        <v>44047.0</v>
      </c>
      <c r="K125" s="25">
        <v>215.0</v>
      </c>
      <c r="L125" s="25" t="s">
        <v>1978</v>
      </c>
      <c r="M125" s="156"/>
      <c r="N125" s="31" t="s">
        <v>2640</v>
      </c>
      <c r="O125" s="25" t="s">
        <v>1436</v>
      </c>
      <c r="P125" s="21" t="s">
        <v>2617</v>
      </c>
      <c r="Q125" s="134"/>
      <c r="R125" s="32"/>
      <c r="S125" s="132">
        <v>4650.0</v>
      </c>
      <c r="T125" s="136" t="s">
        <v>2641</v>
      </c>
      <c r="U125" s="133">
        <v>0.6</v>
      </c>
      <c r="V125" s="133">
        <f t="shared" si="7"/>
        <v>1.29</v>
      </c>
      <c r="W125" s="133">
        <v>97.2</v>
      </c>
      <c r="X125" s="133">
        <f t="shared" si="8"/>
        <v>208.98</v>
      </c>
      <c r="Y125" s="133">
        <v>1.1</v>
      </c>
      <c r="Z125" s="133">
        <f t="shared" si="9"/>
        <v>2.365</v>
      </c>
      <c r="AA125" s="133">
        <v>1.1</v>
      </c>
      <c r="AB125" s="133">
        <f t="shared" si="10"/>
        <v>2.365</v>
      </c>
      <c r="AC125" s="133">
        <v>0.0</v>
      </c>
      <c r="AD125" s="133">
        <f t="shared" si="11"/>
        <v>0</v>
      </c>
      <c r="AE125" s="136" t="s">
        <v>2642</v>
      </c>
      <c r="AF125" s="25" t="s">
        <v>2643</v>
      </c>
      <c r="AG125" s="46">
        <v>37833.0</v>
      </c>
      <c r="AH125" s="25">
        <v>2020.0</v>
      </c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</row>
    <row r="126">
      <c r="A126" s="25">
        <f t="shared" si="15"/>
        <v>125</v>
      </c>
      <c r="B126" s="31" t="s">
        <v>2644</v>
      </c>
      <c r="C126" s="126" t="s">
        <v>1969</v>
      </c>
      <c r="D126" s="25" t="s">
        <v>2399</v>
      </c>
      <c r="E126" s="25"/>
      <c r="F126" s="25" t="s">
        <v>2639</v>
      </c>
      <c r="G126" s="25" t="s">
        <v>100</v>
      </c>
      <c r="H126" s="25" t="s">
        <v>43</v>
      </c>
      <c r="I126" s="25" t="s">
        <v>33</v>
      </c>
      <c r="J126" s="127">
        <v>44047.0</v>
      </c>
      <c r="K126" s="25">
        <v>244.0</v>
      </c>
      <c r="L126" s="25" t="s">
        <v>1978</v>
      </c>
      <c r="M126" s="128">
        <v>1863.0</v>
      </c>
      <c r="N126" s="31" t="s">
        <v>2640</v>
      </c>
      <c r="O126" s="25" t="s">
        <v>1436</v>
      </c>
      <c r="P126" s="21" t="s">
        <v>2617</v>
      </c>
      <c r="Q126" s="134"/>
      <c r="R126" s="32"/>
      <c r="S126" s="135"/>
      <c r="T126" s="131"/>
      <c r="U126" s="133">
        <v>0.0</v>
      </c>
      <c r="V126" s="133">
        <f t="shared" si="7"/>
        <v>0</v>
      </c>
      <c r="W126" s="133">
        <v>94.0</v>
      </c>
      <c r="X126" s="133">
        <f t="shared" si="8"/>
        <v>229.36</v>
      </c>
      <c r="Y126" s="133">
        <v>0.0</v>
      </c>
      <c r="Z126" s="133">
        <f t="shared" si="9"/>
        <v>0</v>
      </c>
      <c r="AA126" s="133">
        <v>5.0</v>
      </c>
      <c r="AB126" s="133">
        <f t="shared" si="10"/>
        <v>12.2</v>
      </c>
      <c r="AC126" s="133">
        <v>0.0</v>
      </c>
      <c r="AD126" s="133">
        <f t="shared" si="11"/>
        <v>0</v>
      </c>
      <c r="AE126" s="136" t="s">
        <v>2645</v>
      </c>
      <c r="AF126" s="25" t="s">
        <v>2646</v>
      </c>
      <c r="AG126" s="46">
        <v>38307.0</v>
      </c>
      <c r="AH126" s="25">
        <v>2020.0</v>
      </c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</row>
    <row r="127">
      <c r="A127" s="25">
        <f t="shared" si="15"/>
        <v>126</v>
      </c>
      <c r="B127" s="31" t="s">
        <v>2647</v>
      </c>
      <c r="C127" s="126" t="s">
        <v>1969</v>
      </c>
      <c r="D127" s="25" t="s">
        <v>2399</v>
      </c>
      <c r="E127" s="25"/>
      <c r="F127" s="25" t="s">
        <v>2202</v>
      </c>
      <c r="G127" s="25" t="s">
        <v>100</v>
      </c>
      <c r="H127" s="25" t="s">
        <v>43</v>
      </c>
      <c r="I127" s="25" t="s">
        <v>33</v>
      </c>
      <c r="J127" s="127">
        <v>44047.0</v>
      </c>
      <c r="K127" s="25">
        <v>161.0</v>
      </c>
      <c r="L127" s="25" t="s">
        <v>1978</v>
      </c>
      <c r="M127" s="156"/>
      <c r="N127" s="31" t="s">
        <v>2648</v>
      </c>
      <c r="O127" s="25" t="s">
        <v>1436</v>
      </c>
      <c r="P127" s="21" t="s">
        <v>2617</v>
      </c>
      <c r="Q127" s="134"/>
      <c r="R127" s="32"/>
      <c r="S127" s="132">
        <v>4961.0</v>
      </c>
      <c r="T127" s="136" t="s">
        <v>2649</v>
      </c>
      <c r="U127" s="133">
        <v>14.6</v>
      </c>
      <c r="V127" s="133">
        <f t="shared" si="7"/>
        <v>23.506</v>
      </c>
      <c r="W127" s="133">
        <v>54.4</v>
      </c>
      <c r="X127" s="133">
        <f t="shared" si="8"/>
        <v>87.584</v>
      </c>
      <c r="Y127" s="133">
        <v>1.8</v>
      </c>
      <c r="Z127" s="133">
        <f t="shared" si="9"/>
        <v>2.898</v>
      </c>
      <c r="AA127" s="133">
        <v>7.0</v>
      </c>
      <c r="AB127" s="133">
        <f t="shared" si="10"/>
        <v>11.27</v>
      </c>
      <c r="AC127" s="133">
        <v>22.2</v>
      </c>
      <c r="AD127" s="133">
        <f t="shared" si="11"/>
        <v>35.742</v>
      </c>
      <c r="AE127" s="136" t="s">
        <v>2650</v>
      </c>
      <c r="AF127" s="25" t="s">
        <v>2651</v>
      </c>
      <c r="AG127" s="46">
        <v>41507.0</v>
      </c>
      <c r="AH127" s="25">
        <v>2020.0</v>
      </c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</row>
    <row r="128">
      <c r="A128" s="25">
        <f t="shared" si="15"/>
        <v>127</v>
      </c>
      <c r="B128" s="25" t="s">
        <v>2652</v>
      </c>
      <c r="C128" s="126" t="s">
        <v>1969</v>
      </c>
      <c r="D128" s="32"/>
      <c r="E128" s="25"/>
      <c r="F128" s="25" t="s">
        <v>2653</v>
      </c>
      <c r="G128" s="25" t="s">
        <v>327</v>
      </c>
      <c r="H128" s="25" t="s">
        <v>67</v>
      </c>
      <c r="I128" s="25" t="s">
        <v>506</v>
      </c>
      <c r="J128" s="127">
        <v>44054.0</v>
      </c>
      <c r="K128" s="25">
        <v>50.0</v>
      </c>
      <c r="L128" s="25" t="s">
        <v>1971</v>
      </c>
      <c r="M128" s="156"/>
      <c r="N128" s="32"/>
      <c r="O128" s="25" t="s">
        <v>1324</v>
      </c>
      <c r="P128" s="136" t="s">
        <v>2654</v>
      </c>
      <c r="Q128" s="134"/>
      <c r="R128" s="32"/>
      <c r="S128" s="132">
        <v>5000.0</v>
      </c>
      <c r="T128" s="152" t="s">
        <v>2655</v>
      </c>
      <c r="U128" s="133">
        <v>17.0</v>
      </c>
      <c r="V128" s="133">
        <f t="shared" si="7"/>
        <v>8.5</v>
      </c>
      <c r="W128" s="133">
        <v>8.0</v>
      </c>
      <c r="X128" s="133">
        <f t="shared" si="8"/>
        <v>4</v>
      </c>
      <c r="Y128" s="133">
        <v>0.0</v>
      </c>
      <c r="Z128" s="133">
        <f t="shared" si="9"/>
        <v>0</v>
      </c>
      <c r="AA128" s="133">
        <v>73.0</v>
      </c>
      <c r="AB128" s="133">
        <f t="shared" si="10"/>
        <v>36.5</v>
      </c>
      <c r="AC128" s="133">
        <v>0.0</v>
      </c>
      <c r="AD128" s="133">
        <f t="shared" si="11"/>
        <v>0</v>
      </c>
      <c r="AE128" s="136" t="s">
        <v>2656</v>
      </c>
      <c r="AF128" s="25" t="s">
        <v>2657</v>
      </c>
      <c r="AG128" s="46">
        <v>43129.0</v>
      </c>
      <c r="AH128" s="25">
        <v>2020.0</v>
      </c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</row>
    <row r="129">
      <c r="A129" s="25">
        <f t="shared" si="15"/>
        <v>128</v>
      </c>
      <c r="B129" s="31" t="s">
        <v>2658</v>
      </c>
      <c r="C129" s="126" t="s">
        <v>1969</v>
      </c>
      <c r="D129" s="32"/>
      <c r="E129" s="25"/>
      <c r="F129" s="25" t="s">
        <v>2659</v>
      </c>
      <c r="G129" s="25" t="s">
        <v>42</v>
      </c>
      <c r="H129" s="25" t="s">
        <v>43</v>
      </c>
      <c r="I129" s="25" t="s">
        <v>23</v>
      </c>
      <c r="J129" s="127">
        <v>44056.0</v>
      </c>
      <c r="K129" s="25">
        <v>185.0</v>
      </c>
      <c r="L129" s="25" t="s">
        <v>1978</v>
      </c>
      <c r="M129" s="156"/>
      <c r="N129" s="32"/>
      <c r="O129" s="25"/>
      <c r="P129" s="129" t="s">
        <v>2660</v>
      </c>
      <c r="Q129" s="138">
        <v>49.0</v>
      </c>
      <c r="R129" s="136" t="s">
        <v>2661</v>
      </c>
      <c r="S129" s="132">
        <v>26367.0</v>
      </c>
      <c r="T129" s="136" t="s">
        <v>2661</v>
      </c>
      <c r="U129" s="133">
        <v>5.0</v>
      </c>
      <c r="V129" s="133">
        <f t="shared" si="7"/>
        <v>9.25</v>
      </c>
      <c r="W129" s="133">
        <v>2.0</v>
      </c>
      <c r="X129" s="133">
        <f t="shared" si="8"/>
        <v>3.7</v>
      </c>
      <c r="Y129" s="133">
        <v>6.0</v>
      </c>
      <c r="Z129" s="133">
        <f t="shared" si="9"/>
        <v>11.1</v>
      </c>
      <c r="AA129" s="133">
        <v>84.0</v>
      </c>
      <c r="AB129" s="133">
        <f t="shared" si="10"/>
        <v>155.4</v>
      </c>
      <c r="AC129" s="133">
        <v>3.0</v>
      </c>
      <c r="AD129" s="133">
        <f t="shared" si="11"/>
        <v>5.55</v>
      </c>
      <c r="AE129" s="129" t="s">
        <v>2662</v>
      </c>
      <c r="AF129" s="25" t="s">
        <v>2663</v>
      </c>
      <c r="AG129" s="46">
        <v>70218.0</v>
      </c>
      <c r="AH129" s="25">
        <v>2020.0</v>
      </c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</row>
    <row r="130">
      <c r="A130" s="25">
        <f t="shared" si="15"/>
        <v>129</v>
      </c>
      <c r="B130" s="31" t="s">
        <v>2664</v>
      </c>
      <c r="C130" s="126" t="s">
        <v>1969</v>
      </c>
      <c r="D130" s="31" t="s">
        <v>2399</v>
      </c>
      <c r="E130" s="31"/>
      <c r="F130" s="31" t="s">
        <v>2665</v>
      </c>
      <c r="G130" s="31" t="s">
        <v>740</v>
      </c>
      <c r="H130" s="31" t="s">
        <v>43</v>
      </c>
      <c r="I130" s="31" t="s">
        <v>23</v>
      </c>
      <c r="J130" s="92">
        <v>44063.0</v>
      </c>
      <c r="K130" s="31">
        <v>292.0</v>
      </c>
      <c r="L130" s="31" t="s">
        <v>2186</v>
      </c>
      <c r="M130" s="157">
        <v>1898.0</v>
      </c>
      <c r="N130" s="31" t="s">
        <v>2666</v>
      </c>
      <c r="O130" s="31" t="s">
        <v>1324</v>
      </c>
      <c r="P130" s="33" t="s">
        <v>2667</v>
      </c>
      <c r="Q130" s="134"/>
      <c r="R130" s="32"/>
      <c r="S130" s="132">
        <v>11153.0</v>
      </c>
      <c r="T130" s="152" t="s">
        <v>2668</v>
      </c>
      <c r="U130" s="168">
        <v>14.8</v>
      </c>
      <c r="V130" s="133">
        <f t="shared" si="7"/>
        <v>43.216</v>
      </c>
      <c r="W130" s="168">
        <v>0.0</v>
      </c>
      <c r="X130" s="133">
        <f t="shared" si="8"/>
        <v>0</v>
      </c>
      <c r="Y130" s="168">
        <v>5.2</v>
      </c>
      <c r="Z130" s="133">
        <f t="shared" si="9"/>
        <v>15.184</v>
      </c>
      <c r="AA130" s="168">
        <v>78.8</v>
      </c>
      <c r="AB130" s="133">
        <f t="shared" si="10"/>
        <v>230.096</v>
      </c>
      <c r="AC130" s="168">
        <v>1.2</v>
      </c>
      <c r="AD130" s="133">
        <f t="shared" si="11"/>
        <v>3.504</v>
      </c>
      <c r="AE130" s="152" t="s">
        <v>2668</v>
      </c>
      <c r="AF130" s="25" t="s">
        <v>2669</v>
      </c>
      <c r="AG130" s="46">
        <v>97295.0</v>
      </c>
      <c r="AH130" s="25">
        <v>2020.0</v>
      </c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</row>
    <row r="131">
      <c r="A131" s="25">
        <f t="shared" si="15"/>
        <v>130</v>
      </c>
      <c r="B131" s="25" t="s">
        <v>2670</v>
      </c>
      <c r="C131" s="126" t="s">
        <v>1969</v>
      </c>
      <c r="D131" s="32"/>
      <c r="E131" s="25"/>
      <c r="F131" s="25" t="s">
        <v>164</v>
      </c>
      <c r="G131" s="25" t="s">
        <v>165</v>
      </c>
      <c r="H131" s="25" t="s">
        <v>22</v>
      </c>
      <c r="I131" s="25" t="s">
        <v>33</v>
      </c>
      <c r="J131" s="127">
        <v>44066.0</v>
      </c>
      <c r="K131" s="25">
        <v>122.0</v>
      </c>
      <c r="L131" s="25" t="s">
        <v>1978</v>
      </c>
      <c r="M131" s="128">
        <v>2012.0</v>
      </c>
      <c r="N131" s="32"/>
      <c r="O131" s="25" t="s">
        <v>1436</v>
      </c>
      <c r="P131" s="169" t="s">
        <v>2671</v>
      </c>
      <c r="Q131" s="134"/>
      <c r="R131" s="32"/>
      <c r="S131" s="132">
        <v>6000.0</v>
      </c>
      <c r="T131" s="21" t="s">
        <v>2672</v>
      </c>
      <c r="U131" s="163"/>
      <c r="V131" s="133" t="str">
        <f t="shared" si="7"/>
        <v/>
      </c>
      <c r="W131" s="163"/>
      <c r="X131" s="133" t="str">
        <f t="shared" si="8"/>
        <v/>
      </c>
      <c r="Y131" s="163"/>
      <c r="Z131" s="133" t="str">
        <f t="shared" si="9"/>
        <v/>
      </c>
      <c r="AA131" s="163"/>
      <c r="AB131" s="133" t="str">
        <f t="shared" si="10"/>
        <v/>
      </c>
      <c r="AC131" s="163"/>
      <c r="AD131" s="133" t="str">
        <f t="shared" si="11"/>
        <v/>
      </c>
      <c r="AE131" s="32"/>
      <c r="AF131" s="25" t="s">
        <v>2673</v>
      </c>
      <c r="AG131" s="46">
        <v>50778.0</v>
      </c>
      <c r="AH131" s="25">
        <v>2020.0</v>
      </c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</row>
    <row r="132">
      <c r="A132" s="25">
        <f t="shared" si="15"/>
        <v>131</v>
      </c>
      <c r="B132" s="31" t="s">
        <v>2674</v>
      </c>
      <c r="C132" s="126" t="s">
        <v>1969</v>
      </c>
      <c r="D132" s="32"/>
      <c r="E132" s="31"/>
      <c r="F132" s="31" t="s">
        <v>2675</v>
      </c>
      <c r="G132" s="31" t="s">
        <v>740</v>
      </c>
      <c r="H132" s="31" t="s">
        <v>43</v>
      </c>
      <c r="I132" s="31" t="s">
        <v>23</v>
      </c>
      <c r="J132" s="92">
        <v>44075.0</v>
      </c>
      <c r="K132" s="31">
        <v>5.0</v>
      </c>
      <c r="L132" s="31" t="s">
        <v>1978</v>
      </c>
      <c r="M132" s="157">
        <v>1966.0</v>
      </c>
      <c r="N132" s="31" t="s">
        <v>2676</v>
      </c>
      <c r="O132" s="32"/>
      <c r="P132" s="32"/>
      <c r="Q132" s="27"/>
      <c r="R132" s="27"/>
      <c r="S132" s="132">
        <v>5250.0</v>
      </c>
      <c r="T132" s="47" t="s">
        <v>2677</v>
      </c>
      <c r="U132" s="133">
        <v>25.0</v>
      </c>
      <c r="V132" s="133">
        <f t="shared" si="7"/>
        <v>1.25</v>
      </c>
      <c r="W132" s="133">
        <v>13.0</v>
      </c>
      <c r="X132" s="133">
        <f t="shared" si="8"/>
        <v>0.65</v>
      </c>
      <c r="Y132" s="133">
        <v>0.0</v>
      </c>
      <c r="Z132" s="133">
        <f t="shared" si="9"/>
        <v>0</v>
      </c>
      <c r="AA132" s="133">
        <v>50.0</v>
      </c>
      <c r="AB132" s="133">
        <f t="shared" si="10"/>
        <v>2.5</v>
      </c>
      <c r="AC132" s="133">
        <v>12.0</v>
      </c>
      <c r="AD132" s="133">
        <f t="shared" si="11"/>
        <v>0.6</v>
      </c>
      <c r="AE132" s="129" t="s">
        <v>2678</v>
      </c>
      <c r="AF132" s="25" t="s">
        <v>2679</v>
      </c>
      <c r="AG132" s="46">
        <v>57654.0</v>
      </c>
      <c r="AH132" s="25">
        <v>2020.0</v>
      </c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</row>
    <row r="133">
      <c r="A133" s="31">
        <v>144.0</v>
      </c>
      <c r="B133" s="31" t="s">
        <v>2680</v>
      </c>
      <c r="C133" s="126" t="s">
        <v>1969</v>
      </c>
      <c r="D133" s="31" t="s">
        <v>2399</v>
      </c>
      <c r="E133" s="32"/>
      <c r="F133" s="31" t="s">
        <v>2073</v>
      </c>
      <c r="G133" s="31" t="s">
        <v>1628</v>
      </c>
      <c r="H133" s="31" t="s">
        <v>32</v>
      </c>
      <c r="I133" s="31" t="s">
        <v>23</v>
      </c>
      <c r="J133" s="92">
        <v>44084.0</v>
      </c>
      <c r="K133" s="31">
        <v>30.0</v>
      </c>
      <c r="L133" s="31" t="s">
        <v>2681</v>
      </c>
      <c r="M133" s="170">
        <v>1995.0</v>
      </c>
      <c r="N133" s="32"/>
      <c r="O133" s="171"/>
      <c r="P133" s="33" t="s">
        <v>2682</v>
      </c>
      <c r="Q133" s="134"/>
      <c r="R133" s="32"/>
      <c r="S133" s="172"/>
      <c r="T133" s="25"/>
      <c r="U133" s="168">
        <v>0.0</v>
      </c>
      <c r="V133" s="133">
        <f t="shared" si="7"/>
        <v>0</v>
      </c>
      <c r="W133" s="168">
        <v>0.0</v>
      </c>
      <c r="X133" s="133">
        <f t="shared" si="8"/>
        <v>0</v>
      </c>
      <c r="Y133" s="168">
        <v>0.0</v>
      </c>
      <c r="Z133" s="133">
        <f t="shared" si="9"/>
        <v>0</v>
      </c>
      <c r="AA133" s="168">
        <v>100.0</v>
      </c>
      <c r="AB133" s="133">
        <f t="shared" si="10"/>
        <v>30</v>
      </c>
      <c r="AC133" s="168">
        <v>0.0</v>
      </c>
      <c r="AD133" s="133">
        <f t="shared" si="11"/>
        <v>0</v>
      </c>
      <c r="AE133" s="33" t="s">
        <v>2683</v>
      </c>
      <c r="AF133" s="39" t="s">
        <v>2684</v>
      </c>
      <c r="AG133" s="96">
        <v>80098.0</v>
      </c>
      <c r="AH133" s="20">
        <v>2020.0</v>
      </c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</row>
    <row r="134">
      <c r="A134" s="131">
        <f>row()-1</f>
        <v>133</v>
      </c>
      <c r="B134" s="131" t="s">
        <v>2685</v>
      </c>
      <c r="C134" s="25"/>
      <c r="D134" s="25" t="s">
        <v>1436</v>
      </c>
      <c r="E134" s="27"/>
      <c r="F134" s="131" t="s">
        <v>2686</v>
      </c>
      <c r="G134" s="25" t="s">
        <v>91</v>
      </c>
      <c r="H134" s="25" t="s">
        <v>43</v>
      </c>
      <c r="I134" s="25" t="s">
        <v>33</v>
      </c>
      <c r="J134" s="127">
        <v>44112.0</v>
      </c>
      <c r="K134" s="131">
        <v>252.0</v>
      </c>
      <c r="L134" s="133" t="s">
        <v>2681</v>
      </c>
      <c r="M134" s="145">
        <v>1931.0</v>
      </c>
      <c r="N134" s="131" t="s">
        <v>2687</v>
      </c>
      <c r="O134" s="25" t="s">
        <v>1324</v>
      </c>
      <c r="P134" s="146" t="s">
        <v>2688</v>
      </c>
      <c r="Q134" s="131">
        <v>75.0</v>
      </c>
      <c r="R134" s="146" t="s">
        <v>2689</v>
      </c>
      <c r="S134" s="135">
        <v>14550.0</v>
      </c>
      <c r="T134" s="146" t="s">
        <v>2689</v>
      </c>
      <c r="U134" s="144">
        <v>4.0</v>
      </c>
      <c r="V134" s="133">
        <f t="shared" si="7"/>
        <v>10.08</v>
      </c>
      <c r="W134" s="144">
        <v>5.0</v>
      </c>
      <c r="X134" s="133">
        <f t="shared" si="8"/>
        <v>12.6</v>
      </c>
      <c r="Y134" s="144">
        <v>1.0</v>
      </c>
      <c r="Z134" s="133">
        <f t="shared" si="9"/>
        <v>2.52</v>
      </c>
      <c r="AA134" s="144">
        <v>88.0</v>
      </c>
      <c r="AB134" s="133">
        <f t="shared" si="10"/>
        <v>221.76</v>
      </c>
      <c r="AC134" s="144">
        <v>2.0</v>
      </c>
      <c r="AD134" s="133">
        <f t="shared" si="11"/>
        <v>5.04</v>
      </c>
      <c r="AE134" s="146" t="s">
        <v>2690</v>
      </c>
      <c r="AF134" s="173" t="s">
        <v>2691</v>
      </c>
      <c r="AG134" s="147">
        <v>123688.0</v>
      </c>
      <c r="AH134" s="25">
        <v>2020.0</v>
      </c>
      <c r="AI134" s="131"/>
      <c r="AJ134" s="131"/>
      <c r="AK134" s="174">
        <f t="array" ref="AK134">MAX(IF(A141:A1136&lt;&gt;"",ROW(141:1136)))-1</f>
        <v>450</v>
      </c>
      <c r="AL134" s="131"/>
      <c r="AM134" s="131"/>
      <c r="AN134" s="131"/>
      <c r="AO134" s="131"/>
      <c r="AP134" s="131"/>
      <c r="AQ134" s="131"/>
      <c r="AR134" s="131"/>
      <c r="AS134" s="131"/>
    </row>
    <row r="135">
      <c r="A135" s="25">
        <f>ROW()-1</f>
        <v>134</v>
      </c>
      <c r="B135" s="31" t="s">
        <v>2692</v>
      </c>
      <c r="C135" s="126" t="s">
        <v>1969</v>
      </c>
      <c r="D135" s="32"/>
      <c r="E135" s="31"/>
      <c r="F135" s="31" t="s">
        <v>1101</v>
      </c>
      <c r="G135" s="31" t="s">
        <v>52</v>
      </c>
      <c r="H135" s="31" t="s">
        <v>22</v>
      </c>
      <c r="I135" s="31" t="s">
        <v>23</v>
      </c>
      <c r="J135" s="92">
        <v>44125.0</v>
      </c>
      <c r="K135" s="31">
        <v>175.0</v>
      </c>
      <c r="L135" s="31" t="s">
        <v>1971</v>
      </c>
      <c r="M135" s="157">
        <v>1998.0</v>
      </c>
      <c r="N135" s="31" t="s">
        <v>2693</v>
      </c>
      <c r="O135" s="31" t="s">
        <v>1324</v>
      </c>
      <c r="P135" s="33" t="s">
        <v>2694</v>
      </c>
      <c r="Q135" s="175">
        <v>24.0</v>
      </c>
      <c r="R135" s="129" t="s">
        <v>2695</v>
      </c>
      <c r="S135" s="132">
        <v>22000.0</v>
      </c>
      <c r="T135" s="176" t="s">
        <v>2696</v>
      </c>
      <c r="U135" s="168">
        <v>1.2</v>
      </c>
      <c r="V135" s="133">
        <f t="shared" si="7"/>
        <v>2.1</v>
      </c>
      <c r="W135" s="168">
        <v>2.9</v>
      </c>
      <c r="X135" s="133">
        <f t="shared" si="8"/>
        <v>5.075</v>
      </c>
      <c r="Y135" s="168">
        <v>1.7</v>
      </c>
      <c r="Z135" s="133">
        <f t="shared" si="9"/>
        <v>2.975</v>
      </c>
      <c r="AA135" s="168">
        <v>84.9</v>
      </c>
      <c r="AB135" s="133">
        <f t="shared" si="10"/>
        <v>148.575</v>
      </c>
      <c r="AC135" s="168">
        <v>9.3</v>
      </c>
      <c r="AD135" s="133">
        <f t="shared" si="11"/>
        <v>16.275</v>
      </c>
      <c r="AE135" s="33" t="s">
        <v>2697</v>
      </c>
      <c r="AF135" s="25" t="s">
        <v>2698</v>
      </c>
      <c r="AG135" s="46">
        <v>125117.0</v>
      </c>
      <c r="AH135" s="25">
        <v>2020.0</v>
      </c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</row>
    <row r="136">
      <c r="A136" s="131">
        <f t="shared" ref="A136:A137" si="16">row()-1</f>
        <v>135</v>
      </c>
      <c r="B136" s="25" t="s">
        <v>2699</v>
      </c>
      <c r="C136" s="25"/>
      <c r="D136" s="25" t="s">
        <v>1436</v>
      </c>
      <c r="E136" s="27"/>
      <c r="F136" s="150" t="s">
        <v>718</v>
      </c>
      <c r="G136" s="25" t="s">
        <v>91</v>
      </c>
      <c r="H136" s="25" t="s">
        <v>43</v>
      </c>
      <c r="I136" s="25" t="s">
        <v>33</v>
      </c>
      <c r="J136" s="127">
        <v>44153.0</v>
      </c>
      <c r="K136" s="131">
        <v>180.0</v>
      </c>
      <c r="L136" s="25" t="s">
        <v>1971</v>
      </c>
      <c r="M136" s="177">
        <v>1911.0</v>
      </c>
      <c r="N136" s="131" t="s">
        <v>2700</v>
      </c>
      <c r="O136" s="25" t="s">
        <v>1324</v>
      </c>
      <c r="P136" s="146" t="s">
        <v>2701</v>
      </c>
      <c r="Q136" s="131">
        <v>75.0</v>
      </c>
      <c r="R136" s="146" t="s">
        <v>2702</v>
      </c>
      <c r="S136" s="135">
        <v>8150.0</v>
      </c>
      <c r="T136" s="146" t="s">
        <v>2703</v>
      </c>
      <c r="U136" s="144">
        <v>35.0</v>
      </c>
      <c r="V136" s="133">
        <f t="shared" si="7"/>
        <v>63</v>
      </c>
      <c r="W136" s="144">
        <v>11.0</v>
      </c>
      <c r="X136" s="133">
        <f t="shared" si="8"/>
        <v>19.8</v>
      </c>
      <c r="Y136" s="144">
        <v>7.0</v>
      </c>
      <c r="Z136" s="133">
        <f t="shared" si="9"/>
        <v>12.6</v>
      </c>
      <c r="AA136" s="144">
        <v>47.0</v>
      </c>
      <c r="AB136" s="133">
        <f t="shared" si="10"/>
        <v>84.6</v>
      </c>
      <c r="AC136" s="144">
        <v>0.0</v>
      </c>
      <c r="AD136" s="133">
        <f t="shared" si="11"/>
        <v>0</v>
      </c>
      <c r="AE136" s="146" t="s">
        <v>2704</v>
      </c>
      <c r="AF136" s="31" t="s">
        <v>2705</v>
      </c>
      <c r="AG136" s="147">
        <v>123828.0</v>
      </c>
      <c r="AH136" s="25">
        <v>2020.0</v>
      </c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</row>
    <row r="137">
      <c r="A137" s="131">
        <f t="shared" si="16"/>
        <v>136</v>
      </c>
      <c r="B137" s="131" t="s">
        <v>2706</v>
      </c>
      <c r="C137" s="25"/>
      <c r="D137" s="25" t="s">
        <v>1436</v>
      </c>
      <c r="E137" s="27"/>
      <c r="F137" s="131" t="s">
        <v>2707</v>
      </c>
      <c r="G137" s="25" t="s">
        <v>91</v>
      </c>
      <c r="H137" s="25" t="s">
        <v>43</v>
      </c>
      <c r="I137" s="25" t="s">
        <v>33</v>
      </c>
      <c r="J137" s="127">
        <v>44153.0</v>
      </c>
      <c r="K137" s="131">
        <v>180.0</v>
      </c>
      <c r="L137" s="25" t="s">
        <v>1971</v>
      </c>
      <c r="M137" s="177">
        <v>1958.0</v>
      </c>
      <c r="N137" s="131" t="s">
        <v>2700</v>
      </c>
      <c r="O137" s="25" t="s">
        <v>1324</v>
      </c>
      <c r="P137" s="146" t="s">
        <v>2701</v>
      </c>
      <c r="Q137" s="130"/>
      <c r="R137" s="131"/>
      <c r="S137" s="135">
        <v>8150.0</v>
      </c>
      <c r="T137" s="146" t="s">
        <v>2703</v>
      </c>
      <c r="U137" s="144">
        <v>36.2</v>
      </c>
      <c r="V137" s="133">
        <f t="shared" si="7"/>
        <v>65.16</v>
      </c>
      <c r="W137" s="144">
        <v>2.8</v>
      </c>
      <c r="X137" s="133">
        <f t="shared" si="8"/>
        <v>5.04</v>
      </c>
      <c r="Y137" s="144">
        <v>3.4</v>
      </c>
      <c r="Z137" s="133">
        <f t="shared" si="9"/>
        <v>6.12</v>
      </c>
      <c r="AA137" s="144">
        <v>54.2</v>
      </c>
      <c r="AB137" s="133">
        <f t="shared" si="10"/>
        <v>97.56</v>
      </c>
      <c r="AC137" s="144">
        <v>3.3</v>
      </c>
      <c r="AD137" s="133">
        <f t="shared" si="11"/>
        <v>5.94</v>
      </c>
      <c r="AE137" s="146" t="s">
        <v>2708</v>
      </c>
      <c r="AF137" s="31" t="s">
        <v>2709</v>
      </c>
      <c r="AG137" s="147">
        <v>142863.0</v>
      </c>
      <c r="AH137" s="25">
        <v>2020.0</v>
      </c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</row>
    <row r="138">
      <c r="A138" s="25">
        <f t="shared" ref="A138:A140" si="17">ROW()-1</f>
        <v>137</v>
      </c>
      <c r="B138" s="173" t="s">
        <v>2710</v>
      </c>
      <c r="C138" s="126" t="s">
        <v>1969</v>
      </c>
      <c r="D138" s="31" t="s">
        <v>2399</v>
      </c>
      <c r="E138" s="31"/>
      <c r="F138" s="31" t="s">
        <v>2711</v>
      </c>
      <c r="G138" s="31" t="s">
        <v>623</v>
      </c>
      <c r="H138" s="25" t="s">
        <v>43</v>
      </c>
      <c r="I138" s="31" t="s">
        <v>23</v>
      </c>
      <c r="J138" s="92">
        <v>44192.0</v>
      </c>
      <c r="K138" s="31">
        <v>146.0</v>
      </c>
      <c r="L138" s="31" t="s">
        <v>1978</v>
      </c>
      <c r="M138" s="157">
        <v>1976.0</v>
      </c>
      <c r="N138" s="32"/>
      <c r="O138" s="31" t="s">
        <v>1324</v>
      </c>
      <c r="P138" s="33" t="s">
        <v>2712</v>
      </c>
      <c r="Q138" s="175">
        <v>45.0</v>
      </c>
      <c r="R138" s="33" t="s">
        <v>2713</v>
      </c>
      <c r="S138" s="132">
        <v>13420.0</v>
      </c>
      <c r="T138" s="152" t="s">
        <v>2714</v>
      </c>
      <c r="U138" s="168">
        <v>1.0</v>
      </c>
      <c r="V138" s="133">
        <f t="shared" si="7"/>
        <v>1.46</v>
      </c>
      <c r="W138" s="168">
        <v>0.0</v>
      </c>
      <c r="X138" s="133">
        <f t="shared" si="8"/>
        <v>0</v>
      </c>
      <c r="Y138" s="168">
        <v>0.0</v>
      </c>
      <c r="Z138" s="133">
        <f t="shared" si="9"/>
        <v>0</v>
      </c>
      <c r="AA138" s="168">
        <v>99.0</v>
      </c>
      <c r="AB138" s="133">
        <f t="shared" si="10"/>
        <v>144.54</v>
      </c>
      <c r="AC138" s="168">
        <v>0.0</v>
      </c>
      <c r="AD138" s="133">
        <f t="shared" si="11"/>
        <v>0</v>
      </c>
      <c r="AE138" s="33" t="s">
        <v>2715</v>
      </c>
      <c r="AF138" s="25" t="s">
        <v>2716</v>
      </c>
      <c r="AG138" s="46">
        <v>70816.0</v>
      </c>
      <c r="AH138" s="25">
        <v>2020.0</v>
      </c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</row>
    <row r="139">
      <c r="A139" s="25">
        <f t="shared" si="17"/>
        <v>138</v>
      </c>
      <c r="B139" s="31" t="s">
        <v>2717</v>
      </c>
      <c r="C139" s="126" t="s">
        <v>1969</v>
      </c>
      <c r="D139" s="31" t="s">
        <v>2399</v>
      </c>
      <c r="E139" s="31"/>
      <c r="F139" s="31" t="s">
        <v>2718</v>
      </c>
      <c r="G139" s="31" t="s">
        <v>76</v>
      </c>
      <c r="H139" s="25" t="s">
        <v>43</v>
      </c>
      <c r="I139" s="31" t="s">
        <v>33</v>
      </c>
      <c r="J139" s="92">
        <v>44209.0</v>
      </c>
      <c r="K139" s="31">
        <v>239.0</v>
      </c>
      <c r="L139" s="31" t="s">
        <v>2681</v>
      </c>
      <c r="M139" s="157">
        <v>1908.0</v>
      </c>
      <c r="N139" s="32"/>
      <c r="O139" s="31" t="s">
        <v>1324</v>
      </c>
      <c r="P139" s="33" t="s">
        <v>2719</v>
      </c>
      <c r="Q139" s="134"/>
      <c r="R139" s="32"/>
      <c r="S139" s="132">
        <v>9450.0</v>
      </c>
      <c r="T139" s="152" t="s">
        <v>2720</v>
      </c>
      <c r="U139" s="168">
        <v>14.6</v>
      </c>
      <c r="V139" s="133">
        <f t="shared" si="7"/>
        <v>34.894</v>
      </c>
      <c r="W139" s="168">
        <v>43.5</v>
      </c>
      <c r="X139" s="133">
        <f t="shared" si="8"/>
        <v>103.965</v>
      </c>
      <c r="Y139" s="168">
        <v>10.9</v>
      </c>
      <c r="Z139" s="133">
        <f t="shared" si="9"/>
        <v>26.051</v>
      </c>
      <c r="AA139" s="168">
        <v>20.5</v>
      </c>
      <c r="AB139" s="133">
        <f t="shared" si="10"/>
        <v>48.995</v>
      </c>
      <c r="AC139" s="168">
        <v>10.0</v>
      </c>
      <c r="AD139" s="133">
        <f t="shared" si="11"/>
        <v>23.9</v>
      </c>
      <c r="AE139" s="33" t="s">
        <v>2721</v>
      </c>
      <c r="AF139" s="25" t="s">
        <v>2722</v>
      </c>
      <c r="AG139" s="46">
        <v>75117.0</v>
      </c>
      <c r="AH139" s="25">
        <v>2020.0</v>
      </c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</row>
    <row r="140">
      <c r="A140" s="25">
        <f t="shared" si="17"/>
        <v>139</v>
      </c>
      <c r="B140" s="31" t="s">
        <v>2670</v>
      </c>
      <c r="C140" s="126" t="s">
        <v>1969</v>
      </c>
      <c r="D140" s="31" t="s">
        <v>2399</v>
      </c>
      <c r="E140" s="31"/>
      <c r="F140" s="31" t="s">
        <v>718</v>
      </c>
      <c r="G140" s="31" t="s">
        <v>91</v>
      </c>
      <c r="H140" s="25" t="s">
        <v>43</v>
      </c>
      <c r="I140" s="31" t="s">
        <v>33</v>
      </c>
      <c r="J140" s="92">
        <v>44210.0</v>
      </c>
      <c r="K140" s="31">
        <v>215.0</v>
      </c>
      <c r="L140" s="31" t="s">
        <v>2681</v>
      </c>
      <c r="M140" s="157">
        <v>1908.0</v>
      </c>
      <c r="N140" s="31" t="s">
        <v>2723</v>
      </c>
      <c r="O140" s="31" t="s">
        <v>1324</v>
      </c>
      <c r="P140" s="33" t="s">
        <v>2724</v>
      </c>
      <c r="Q140" s="175">
        <v>99.0</v>
      </c>
      <c r="R140" s="33" t="s">
        <v>2725</v>
      </c>
      <c r="S140" s="132">
        <v>4500.0</v>
      </c>
      <c r="T140" s="25" t="s">
        <v>2726</v>
      </c>
      <c r="U140" s="168">
        <v>66.7</v>
      </c>
      <c r="V140" s="133">
        <f t="shared" si="7"/>
        <v>143.405</v>
      </c>
      <c r="W140" s="168">
        <v>4.7</v>
      </c>
      <c r="X140" s="133">
        <f t="shared" si="8"/>
        <v>10.105</v>
      </c>
      <c r="Y140" s="168">
        <v>5.7</v>
      </c>
      <c r="Z140" s="133">
        <f t="shared" si="9"/>
        <v>12.255</v>
      </c>
      <c r="AA140" s="168">
        <v>17.2</v>
      </c>
      <c r="AB140" s="133">
        <f t="shared" si="10"/>
        <v>36.98</v>
      </c>
      <c r="AC140" s="168">
        <v>5.7</v>
      </c>
      <c r="AD140" s="133">
        <f t="shared" si="11"/>
        <v>12.255</v>
      </c>
      <c r="AE140" s="47" t="s">
        <v>2725</v>
      </c>
      <c r="AF140" s="25" t="s">
        <v>2727</v>
      </c>
      <c r="AG140" s="46">
        <v>41487.0</v>
      </c>
      <c r="AH140" s="25">
        <v>2020.0</v>
      </c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</row>
    <row r="141">
      <c r="A141" s="131">
        <f t="shared" ref="A141:A143" si="18">row()-1</f>
        <v>140</v>
      </c>
      <c r="B141" s="178" t="s">
        <v>2728</v>
      </c>
      <c r="C141" s="25"/>
      <c r="D141" s="25" t="s">
        <v>1436</v>
      </c>
      <c r="E141" s="27"/>
      <c r="F141" s="25" t="s">
        <v>2729</v>
      </c>
      <c r="G141" s="25" t="s">
        <v>1162</v>
      </c>
      <c r="H141" s="25" t="s">
        <v>67</v>
      </c>
      <c r="I141" s="25" t="s">
        <v>33</v>
      </c>
      <c r="J141" s="127">
        <v>44217.0</v>
      </c>
      <c r="K141" s="133">
        <v>145.0</v>
      </c>
      <c r="L141" s="133" t="s">
        <v>1978</v>
      </c>
      <c r="M141" s="145"/>
      <c r="N141" s="151" t="s">
        <v>2730</v>
      </c>
      <c r="O141" s="25" t="s">
        <v>1324</v>
      </c>
      <c r="P141" s="129" t="s">
        <v>2731</v>
      </c>
      <c r="Q141" s="130"/>
      <c r="R141" s="129" t="s">
        <v>2732</v>
      </c>
      <c r="S141" s="132">
        <v>5800.0</v>
      </c>
      <c r="T141" s="129" t="s">
        <v>2733</v>
      </c>
      <c r="U141" s="133">
        <v>93.2</v>
      </c>
      <c r="V141" s="133">
        <f t="shared" si="7"/>
        <v>135.14</v>
      </c>
      <c r="W141" s="133">
        <v>2.8</v>
      </c>
      <c r="X141" s="133">
        <f t="shared" si="8"/>
        <v>4.06</v>
      </c>
      <c r="Y141" s="133">
        <v>0.0</v>
      </c>
      <c r="Z141" s="133">
        <f t="shared" si="9"/>
        <v>0</v>
      </c>
      <c r="AA141" s="133">
        <v>1.7</v>
      </c>
      <c r="AB141" s="133">
        <f t="shared" si="10"/>
        <v>2.465</v>
      </c>
      <c r="AC141" s="133">
        <v>2.3</v>
      </c>
      <c r="AD141" s="133">
        <f t="shared" si="11"/>
        <v>3.335</v>
      </c>
      <c r="AE141" s="129" t="s">
        <v>2734</v>
      </c>
      <c r="AF141" s="31" t="s">
        <v>2735</v>
      </c>
      <c r="AG141" s="147">
        <v>58275.0</v>
      </c>
      <c r="AH141" s="25">
        <v>2020.0</v>
      </c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</row>
    <row r="142">
      <c r="A142" s="131">
        <f t="shared" si="18"/>
        <v>141</v>
      </c>
      <c r="B142" s="25" t="s">
        <v>2370</v>
      </c>
      <c r="C142" s="25"/>
      <c r="D142" s="25" t="s">
        <v>1436</v>
      </c>
      <c r="E142" s="27"/>
      <c r="F142" s="25" t="s">
        <v>2736</v>
      </c>
      <c r="G142" s="25" t="s">
        <v>1162</v>
      </c>
      <c r="H142" s="25" t="s">
        <v>67</v>
      </c>
      <c r="I142" s="25" t="s">
        <v>33</v>
      </c>
      <c r="J142" s="127">
        <v>44218.0</v>
      </c>
      <c r="K142" s="133">
        <v>200.0</v>
      </c>
      <c r="L142" s="133" t="s">
        <v>2681</v>
      </c>
      <c r="M142" s="145"/>
      <c r="N142" s="151" t="s">
        <v>2730</v>
      </c>
      <c r="O142" s="25" t="s">
        <v>1324</v>
      </c>
      <c r="P142" s="179" t="s">
        <v>2731</v>
      </c>
      <c r="Q142" s="130"/>
      <c r="R142" s="129" t="s">
        <v>2737</v>
      </c>
      <c r="S142" s="132">
        <v>5270.0</v>
      </c>
      <c r="T142" s="129" t="s">
        <v>2738</v>
      </c>
      <c r="U142" s="133">
        <v>7.0</v>
      </c>
      <c r="V142" s="133">
        <f t="shared" si="7"/>
        <v>14</v>
      </c>
      <c r="W142" s="133">
        <v>57.0</v>
      </c>
      <c r="X142" s="133">
        <f t="shared" si="8"/>
        <v>114</v>
      </c>
      <c r="Y142" s="133">
        <v>0.0</v>
      </c>
      <c r="Z142" s="133">
        <f t="shared" si="9"/>
        <v>0</v>
      </c>
      <c r="AA142" s="133">
        <v>36.0</v>
      </c>
      <c r="AB142" s="133">
        <f t="shared" si="10"/>
        <v>72</v>
      </c>
      <c r="AC142" s="133">
        <v>0.0</v>
      </c>
      <c r="AD142" s="133">
        <f t="shared" si="11"/>
        <v>0</v>
      </c>
      <c r="AE142" s="129" t="s">
        <v>2739</v>
      </c>
      <c r="AF142" s="31" t="s">
        <v>2740</v>
      </c>
      <c r="AG142" s="147">
        <v>50219.0</v>
      </c>
      <c r="AH142" s="25">
        <v>2020.0</v>
      </c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</row>
    <row r="143">
      <c r="A143" s="131">
        <f t="shared" si="18"/>
        <v>142</v>
      </c>
      <c r="B143" s="25" t="s">
        <v>2514</v>
      </c>
      <c r="C143" s="25"/>
      <c r="D143" s="25" t="s">
        <v>1436</v>
      </c>
      <c r="E143" s="27"/>
      <c r="F143" s="25" t="s">
        <v>2741</v>
      </c>
      <c r="G143" s="25" t="s">
        <v>1162</v>
      </c>
      <c r="H143" s="25" t="s">
        <v>67</v>
      </c>
      <c r="I143" s="25" t="s">
        <v>33</v>
      </c>
      <c r="J143" s="127">
        <v>44219.0</v>
      </c>
      <c r="K143" s="25">
        <v>130.0</v>
      </c>
      <c r="L143" s="25" t="s">
        <v>1978</v>
      </c>
      <c r="M143" s="128">
        <v>1950.0</v>
      </c>
      <c r="N143" s="151" t="s">
        <v>2730</v>
      </c>
      <c r="O143" s="25" t="s">
        <v>1324</v>
      </c>
      <c r="P143" s="129" t="s">
        <v>2731</v>
      </c>
      <c r="Q143" s="130"/>
      <c r="R143" s="152" t="s">
        <v>2742</v>
      </c>
      <c r="S143" s="132">
        <v>6227.0</v>
      </c>
      <c r="T143" s="129" t="s">
        <v>2743</v>
      </c>
      <c r="U143" s="133">
        <v>35.7</v>
      </c>
      <c r="V143" s="133">
        <f t="shared" si="7"/>
        <v>46.41</v>
      </c>
      <c r="W143" s="133">
        <v>37.2</v>
      </c>
      <c r="X143" s="133">
        <f t="shared" si="8"/>
        <v>48.36</v>
      </c>
      <c r="Y143" s="133">
        <v>1.6</v>
      </c>
      <c r="Z143" s="133">
        <f t="shared" si="9"/>
        <v>2.08</v>
      </c>
      <c r="AA143" s="133">
        <v>21.7</v>
      </c>
      <c r="AB143" s="133">
        <f t="shared" si="10"/>
        <v>28.21</v>
      </c>
      <c r="AC143" s="133">
        <v>3.9</v>
      </c>
      <c r="AD143" s="133">
        <f t="shared" si="11"/>
        <v>5.07</v>
      </c>
      <c r="AE143" s="129" t="s">
        <v>2744</v>
      </c>
      <c r="AF143" s="31" t="s">
        <v>2745</v>
      </c>
      <c r="AG143" s="147">
        <v>55307.0</v>
      </c>
      <c r="AH143" s="25">
        <v>2020.0</v>
      </c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</row>
    <row r="144">
      <c r="A144" s="25">
        <f>ROW()-1</f>
        <v>143</v>
      </c>
      <c r="B144" s="31" t="s">
        <v>2514</v>
      </c>
      <c r="C144" s="126" t="s">
        <v>1969</v>
      </c>
      <c r="D144" s="31" t="s">
        <v>2399</v>
      </c>
      <c r="E144" s="31"/>
      <c r="F144" s="31" t="s">
        <v>2746</v>
      </c>
      <c r="G144" s="31" t="s">
        <v>1072</v>
      </c>
      <c r="H144" s="25" t="s">
        <v>22</v>
      </c>
      <c r="I144" s="31" t="s">
        <v>33</v>
      </c>
      <c r="J144" s="92">
        <v>44220.0</v>
      </c>
      <c r="K144" s="31">
        <v>71.0</v>
      </c>
      <c r="L144" s="31" t="s">
        <v>1971</v>
      </c>
      <c r="M144" s="157">
        <v>1841.0</v>
      </c>
      <c r="N144" s="32"/>
      <c r="O144" s="31" t="s">
        <v>1324</v>
      </c>
      <c r="P144" s="33" t="s">
        <v>2747</v>
      </c>
      <c r="Q144" s="175">
        <v>65.0</v>
      </c>
      <c r="R144" s="33" t="s">
        <v>2748</v>
      </c>
      <c r="S144" s="132">
        <v>9300.0</v>
      </c>
      <c r="T144" s="152" t="s">
        <v>2748</v>
      </c>
      <c r="U144" s="168">
        <v>0.0</v>
      </c>
      <c r="V144" s="133">
        <f t="shared" si="7"/>
        <v>0</v>
      </c>
      <c r="W144" s="168">
        <v>22.8</v>
      </c>
      <c r="X144" s="133">
        <f t="shared" si="8"/>
        <v>16.188</v>
      </c>
      <c r="Y144" s="168">
        <v>15.8</v>
      </c>
      <c r="Z144" s="133">
        <f t="shared" si="9"/>
        <v>11.218</v>
      </c>
      <c r="AA144" s="168">
        <v>7.9</v>
      </c>
      <c r="AB144" s="133">
        <f t="shared" si="10"/>
        <v>5.609</v>
      </c>
      <c r="AC144" s="168">
        <v>53.5</v>
      </c>
      <c r="AD144" s="133">
        <f t="shared" si="11"/>
        <v>37.985</v>
      </c>
      <c r="AE144" s="180" t="s">
        <v>2749</v>
      </c>
      <c r="AF144" s="25" t="s">
        <v>2750</v>
      </c>
      <c r="AG144" s="46">
        <v>121717.0</v>
      </c>
      <c r="AH144" s="25">
        <v>2020.0</v>
      </c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</row>
    <row r="145">
      <c r="A145" s="131">
        <f t="shared" ref="A145:A147" si="19">row()-1</f>
        <v>144</v>
      </c>
      <c r="B145" s="25" t="s">
        <v>2751</v>
      </c>
      <c r="C145" s="25"/>
      <c r="D145" s="25" t="s">
        <v>1436</v>
      </c>
      <c r="E145" s="27"/>
      <c r="F145" s="25" t="s">
        <v>2752</v>
      </c>
      <c r="G145" s="25" t="s">
        <v>1162</v>
      </c>
      <c r="H145" s="25" t="s">
        <v>67</v>
      </c>
      <c r="I145" s="25" t="s">
        <v>33</v>
      </c>
      <c r="J145" s="127">
        <v>44220.0</v>
      </c>
      <c r="K145" s="25">
        <v>116.0</v>
      </c>
      <c r="L145" s="25" t="s">
        <v>2046</v>
      </c>
      <c r="M145" s="128">
        <v>1913.0</v>
      </c>
      <c r="N145" s="151" t="s">
        <v>2730</v>
      </c>
      <c r="O145" s="25" t="s">
        <v>1324</v>
      </c>
      <c r="P145" s="129" t="s">
        <v>2731</v>
      </c>
      <c r="Q145" s="130"/>
      <c r="R145" s="129" t="s">
        <v>2753</v>
      </c>
      <c r="S145" s="132">
        <v>5500.0</v>
      </c>
      <c r="T145" s="129" t="s">
        <v>2754</v>
      </c>
      <c r="U145" s="133">
        <v>5.8</v>
      </c>
      <c r="V145" s="133">
        <f t="shared" si="7"/>
        <v>6.728</v>
      </c>
      <c r="W145" s="133">
        <v>47.1</v>
      </c>
      <c r="X145" s="133">
        <f t="shared" si="8"/>
        <v>54.636</v>
      </c>
      <c r="Y145" s="133">
        <v>1.2</v>
      </c>
      <c r="Z145" s="133">
        <f t="shared" si="9"/>
        <v>1.392</v>
      </c>
      <c r="AA145" s="133">
        <v>43.6</v>
      </c>
      <c r="AB145" s="133">
        <f t="shared" si="10"/>
        <v>50.576</v>
      </c>
      <c r="AC145" s="133">
        <v>2.3</v>
      </c>
      <c r="AD145" s="133">
        <f t="shared" si="11"/>
        <v>2.668</v>
      </c>
      <c r="AE145" s="129" t="s">
        <v>2755</v>
      </c>
      <c r="AF145" s="31" t="s">
        <v>2756</v>
      </c>
      <c r="AG145" s="147">
        <v>41281.0</v>
      </c>
      <c r="AH145" s="25">
        <v>2020.0</v>
      </c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</row>
    <row r="146">
      <c r="A146" s="131">
        <f t="shared" si="19"/>
        <v>145</v>
      </c>
      <c r="B146" s="25" t="s">
        <v>2757</v>
      </c>
      <c r="C146" s="25"/>
      <c r="D146" s="25" t="s">
        <v>1324</v>
      </c>
      <c r="E146" s="27"/>
      <c r="F146" s="25" t="s">
        <v>2758</v>
      </c>
      <c r="G146" s="25" t="s">
        <v>1162</v>
      </c>
      <c r="H146" s="25" t="s">
        <v>67</v>
      </c>
      <c r="I146" s="25" t="s">
        <v>33</v>
      </c>
      <c r="J146" s="127">
        <v>44221.0</v>
      </c>
      <c r="K146" s="25">
        <v>177.0</v>
      </c>
      <c r="L146" s="25" t="s">
        <v>1978</v>
      </c>
      <c r="M146" s="128">
        <v>1861.0</v>
      </c>
      <c r="N146" s="151" t="s">
        <v>2759</v>
      </c>
      <c r="O146" s="25" t="s">
        <v>1324</v>
      </c>
      <c r="P146" s="129" t="s">
        <v>2731</v>
      </c>
      <c r="Q146" s="138">
        <v>73.0</v>
      </c>
      <c r="R146" s="129" t="s">
        <v>2760</v>
      </c>
      <c r="S146" s="132">
        <v>5041.0</v>
      </c>
      <c r="T146" s="129" t="s">
        <v>2761</v>
      </c>
      <c r="U146" s="133">
        <v>27.5</v>
      </c>
      <c r="V146" s="133">
        <f t="shared" si="7"/>
        <v>48.675</v>
      </c>
      <c r="W146" s="133">
        <v>56.2</v>
      </c>
      <c r="X146" s="133">
        <f t="shared" si="8"/>
        <v>99.474</v>
      </c>
      <c r="Y146" s="133">
        <v>0.0</v>
      </c>
      <c r="Z146" s="133">
        <f t="shared" si="9"/>
        <v>0</v>
      </c>
      <c r="AA146" s="133">
        <v>14.6</v>
      </c>
      <c r="AB146" s="133">
        <f t="shared" si="10"/>
        <v>25.842</v>
      </c>
      <c r="AC146" s="133">
        <v>1.7</v>
      </c>
      <c r="AD146" s="133">
        <f t="shared" si="11"/>
        <v>3.009</v>
      </c>
      <c r="AE146" s="129" t="s">
        <v>2762</v>
      </c>
      <c r="AF146" s="31" t="s">
        <v>2763</v>
      </c>
      <c r="AG146" s="147">
        <v>56723.0</v>
      </c>
      <c r="AH146" s="25">
        <v>2020.0</v>
      </c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</row>
    <row r="147">
      <c r="A147" s="131">
        <f t="shared" si="19"/>
        <v>146</v>
      </c>
      <c r="B147" s="25" t="s">
        <v>2764</v>
      </c>
      <c r="C147" s="25"/>
      <c r="D147" s="25" t="s">
        <v>2007</v>
      </c>
      <c r="E147" s="27"/>
      <c r="F147" s="25" t="s">
        <v>1698</v>
      </c>
      <c r="G147" s="25" t="s">
        <v>1162</v>
      </c>
      <c r="H147" s="25" t="s">
        <v>67</v>
      </c>
      <c r="I147" s="25" t="s">
        <v>33</v>
      </c>
      <c r="J147" s="127">
        <v>44221.0</v>
      </c>
      <c r="K147" s="25">
        <v>140.0</v>
      </c>
      <c r="L147" s="25" t="s">
        <v>2046</v>
      </c>
      <c r="M147" s="177"/>
      <c r="N147" s="151" t="s">
        <v>2765</v>
      </c>
      <c r="O147" s="25" t="s">
        <v>1324</v>
      </c>
      <c r="P147" s="129" t="s">
        <v>2731</v>
      </c>
      <c r="Q147" s="138">
        <v>46.0</v>
      </c>
      <c r="R147" s="152" t="s">
        <v>2766</v>
      </c>
      <c r="S147" s="132">
        <v>5746.0</v>
      </c>
      <c r="T147" s="152" t="s">
        <v>2767</v>
      </c>
      <c r="U147" s="133">
        <v>30.9</v>
      </c>
      <c r="V147" s="133">
        <f t="shared" si="7"/>
        <v>43.26</v>
      </c>
      <c r="W147" s="133">
        <v>16.8</v>
      </c>
      <c r="X147" s="133">
        <f t="shared" si="8"/>
        <v>23.52</v>
      </c>
      <c r="Y147" s="133">
        <v>0.0</v>
      </c>
      <c r="Z147" s="133">
        <f t="shared" si="9"/>
        <v>0</v>
      </c>
      <c r="AA147" s="133">
        <v>36.9</v>
      </c>
      <c r="AB147" s="133">
        <f t="shared" si="10"/>
        <v>51.66</v>
      </c>
      <c r="AC147" s="133">
        <v>15.4</v>
      </c>
      <c r="AD147" s="133">
        <f t="shared" si="11"/>
        <v>21.56</v>
      </c>
      <c r="AE147" s="129" t="s">
        <v>2768</v>
      </c>
      <c r="AF147" s="31" t="s">
        <v>2769</v>
      </c>
      <c r="AG147" s="181">
        <v>83248.0</v>
      </c>
      <c r="AH147" s="25">
        <v>2020.0</v>
      </c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</row>
    <row r="148">
      <c r="A148" s="25">
        <f t="shared" ref="A148:A149" si="20">ROW()-1</f>
        <v>147</v>
      </c>
      <c r="B148" s="31" t="s">
        <v>2770</v>
      </c>
      <c r="C148" s="126" t="s">
        <v>1969</v>
      </c>
      <c r="D148" s="31" t="s">
        <v>2399</v>
      </c>
      <c r="E148" s="31"/>
      <c r="F148" s="31" t="s">
        <v>2771</v>
      </c>
      <c r="G148" s="31" t="s">
        <v>732</v>
      </c>
      <c r="H148" s="31" t="s">
        <v>22</v>
      </c>
      <c r="I148" s="31" t="s">
        <v>33</v>
      </c>
      <c r="J148" s="92">
        <v>44226.0</v>
      </c>
      <c r="K148" s="31">
        <v>50.0</v>
      </c>
      <c r="L148" s="31" t="s">
        <v>1971</v>
      </c>
      <c r="M148" s="157">
        <v>1880.0</v>
      </c>
      <c r="N148" s="31" t="s">
        <v>2772</v>
      </c>
      <c r="O148" s="31" t="s">
        <v>1436</v>
      </c>
      <c r="P148" s="33" t="s">
        <v>2773</v>
      </c>
      <c r="Q148" s="175">
        <v>0.0</v>
      </c>
      <c r="R148" s="33" t="s">
        <v>2774</v>
      </c>
      <c r="S148" s="132">
        <v>0.0</v>
      </c>
      <c r="T148" s="149" t="s">
        <v>2775</v>
      </c>
      <c r="U148" s="168">
        <v>0.0</v>
      </c>
      <c r="V148" s="133">
        <f t="shared" si="7"/>
        <v>0</v>
      </c>
      <c r="W148" s="168">
        <v>0.0</v>
      </c>
      <c r="X148" s="133">
        <f t="shared" si="8"/>
        <v>0</v>
      </c>
      <c r="Y148" s="168">
        <v>0.0</v>
      </c>
      <c r="Z148" s="133">
        <f t="shared" si="9"/>
        <v>0</v>
      </c>
      <c r="AA148" s="168">
        <v>0.0</v>
      </c>
      <c r="AB148" s="133">
        <f t="shared" si="10"/>
        <v>0</v>
      </c>
      <c r="AC148" s="168">
        <v>100.0</v>
      </c>
      <c r="AD148" s="133">
        <f t="shared" si="11"/>
        <v>50</v>
      </c>
      <c r="AE148" s="31" t="s">
        <v>2776</v>
      </c>
      <c r="AF148" s="25" t="s">
        <v>2777</v>
      </c>
      <c r="AG148" s="46">
        <v>34395.0</v>
      </c>
      <c r="AH148" s="25">
        <v>2020.0</v>
      </c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</row>
    <row r="149">
      <c r="A149" s="25">
        <f t="shared" si="20"/>
        <v>148</v>
      </c>
      <c r="B149" s="31" t="s">
        <v>2778</v>
      </c>
      <c r="C149" s="126" t="s">
        <v>1969</v>
      </c>
      <c r="D149" s="31" t="s">
        <v>2399</v>
      </c>
      <c r="E149" s="31"/>
      <c r="F149" s="31" t="s">
        <v>2779</v>
      </c>
      <c r="G149" s="31" t="s">
        <v>76</v>
      </c>
      <c r="H149" s="25" t="s">
        <v>43</v>
      </c>
      <c r="I149" s="31" t="s">
        <v>33</v>
      </c>
      <c r="J149" s="92">
        <v>44235.0</v>
      </c>
      <c r="K149" s="31">
        <v>216.0</v>
      </c>
      <c r="L149" s="31" t="s">
        <v>2681</v>
      </c>
      <c r="M149" s="157">
        <v>1954.0</v>
      </c>
      <c r="N149" s="31" t="s">
        <v>2780</v>
      </c>
      <c r="O149" s="31" t="s">
        <v>1324</v>
      </c>
      <c r="P149" s="33" t="s">
        <v>2781</v>
      </c>
      <c r="Q149" s="134"/>
      <c r="R149" s="32"/>
      <c r="S149" s="132">
        <v>5100.0</v>
      </c>
      <c r="T149" s="152" t="s">
        <v>2782</v>
      </c>
      <c r="U149" s="168">
        <v>1.3</v>
      </c>
      <c r="V149" s="133">
        <f t="shared" si="7"/>
        <v>2.808</v>
      </c>
      <c r="W149" s="168">
        <v>0.0</v>
      </c>
      <c r="X149" s="133">
        <f t="shared" si="8"/>
        <v>0</v>
      </c>
      <c r="Y149" s="168">
        <v>0.0</v>
      </c>
      <c r="Z149" s="133">
        <f t="shared" si="9"/>
        <v>0</v>
      </c>
      <c r="AA149" s="168">
        <v>91.0</v>
      </c>
      <c r="AB149" s="133">
        <f t="shared" si="10"/>
        <v>196.56</v>
      </c>
      <c r="AC149" s="168">
        <v>7.7</v>
      </c>
      <c r="AD149" s="133">
        <f t="shared" si="11"/>
        <v>16.632</v>
      </c>
      <c r="AE149" s="33" t="s">
        <v>2783</v>
      </c>
      <c r="AF149" s="25" t="s">
        <v>2784</v>
      </c>
      <c r="AG149" s="46">
        <v>61072.0</v>
      </c>
      <c r="AH149" s="25">
        <v>2020.0</v>
      </c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</row>
    <row r="150">
      <c r="A150" s="131">
        <f t="shared" ref="A150:A154" si="21">row()-1</f>
        <v>149</v>
      </c>
      <c r="B150" s="25" t="s">
        <v>2785</v>
      </c>
      <c r="C150" s="25"/>
      <c r="D150" s="25" t="s">
        <v>1436</v>
      </c>
      <c r="E150" s="27"/>
      <c r="F150" s="25" t="s">
        <v>2786</v>
      </c>
      <c r="G150" s="25" t="s">
        <v>52</v>
      </c>
      <c r="H150" s="25" t="s">
        <v>22</v>
      </c>
      <c r="I150" s="25" t="s">
        <v>68</v>
      </c>
      <c r="J150" s="127">
        <v>44237.0</v>
      </c>
      <c r="K150" s="25"/>
      <c r="L150" s="25"/>
      <c r="M150" s="128">
        <v>2020.0</v>
      </c>
      <c r="N150" s="151" t="s">
        <v>2787</v>
      </c>
      <c r="O150" s="25" t="s">
        <v>1436</v>
      </c>
      <c r="P150" s="129" t="s">
        <v>2788</v>
      </c>
      <c r="Q150" s="138"/>
      <c r="R150" s="25"/>
      <c r="S150" s="132"/>
      <c r="T150" s="25"/>
      <c r="U150" s="133"/>
      <c r="V150" s="133" t="str">
        <f t="shared" si="7"/>
        <v/>
      </c>
      <c r="W150" s="133"/>
      <c r="X150" s="133" t="str">
        <f t="shared" si="8"/>
        <v/>
      </c>
      <c r="Y150" s="133"/>
      <c r="Z150" s="133" t="str">
        <f t="shared" si="9"/>
        <v/>
      </c>
      <c r="AA150" s="133"/>
      <c r="AB150" s="133" t="str">
        <f t="shared" si="10"/>
        <v/>
      </c>
      <c r="AC150" s="133"/>
      <c r="AD150" s="133" t="str">
        <f t="shared" si="11"/>
        <v/>
      </c>
      <c r="AE150" s="129"/>
      <c r="AF150" s="31" t="s">
        <v>2789</v>
      </c>
      <c r="AG150" s="147">
        <v>77170.0</v>
      </c>
      <c r="AH150" s="25">
        <v>2020.0</v>
      </c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</row>
    <row r="151">
      <c r="A151" s="131">
        <f t="shared" si="21"/>
        <v>150</v>
      </c>
      <c r="B151" s="25" t="s">
        <v>2370</v>
      </c>
      <c r="C151" s="25"/>
      <c r="D151" s="25" t="s">
        <v>1436</v>
      </c>
      <c r="E151" s="27"/>
      <c r="F151" s="25" t="s">
        <v>2659</v>
      </c>
      <c r="G151" s="25" t="s">
        <v>42</v>
      </c>
      <c r="H151" s="25" t="s">
        <v>43</v>
      </c>
      <c r="I151" s="25" t="s">
        <v>33</v>
      </c>
      <c r="J151" s="127">
        <v>44238.0</v>
      </c>
      <c r="K151" s="25">
        <v>352.0</v>
      </c>
      <c r="L151" s="25" t="s">
        <v>1978</v>
      </c>
      <c r="M151" s="128">
        <v>1922.0</v>
      </c>
      <c r="N151" s="151" t="s">
        <v>2730</v>
      </c>
      <c r="O151" s="25" t="s">
        <v>1324</v>
      </c>
      <c r="P151" s="129" t="s">
        <v>2790</v>
      </c>
      <c r="Q151" s="138">
        <v>75.0</v>
      </c>
      <c r="R151" s="152" t="s">
        <v>2791</v>
      </c>
      <c r="S151" s="132">
        <v>8900.0</v>
      </c>
      <c r="T151" s="152" t="s">
        <v>2792</v>
      </c>
      <c r="U151" s="133">
        <v>11.6</v>
      </c>
      <c r="V151" s="133">
        <f t="shared" si="7"/>
        <v>40.832</v>
      </c>
      <c r="W151" s="133">
        <v>13.3</v>
      </c>
      <c r="X151" s="133">
        <f t="shared" si="8"/>
        <v>46.816</v>
      </c>
      <c r="Y151" s="133">
        <v>6.8</v>
      </c>
      <c r="Z151" s="133">
        <f t="shared" si="9"/>
        <v>23.936</v>
      </c>
      <c r="AA151" s="133">
        <v>62.4</v>
      </c>
      <c r="AB151" s="133">
        <f t="shared" si="10"/>
        <v>219.648</v>
      </c>
      <c r="AC151" s="133">
        <v>5.9</v>
      </c>
      <c r="AD151" s="133">
        <f t="shared" si="11"/>
        <v>20.768</v>
      </c>
      <c r="AE151" s="129" t="s">
        <v>2793</v>
      </c>
      <c r="AF151" s="31" t="s">
        <v>2794</v>
      </c>
      <c r="AG151" s="147">
        <v>26108.0</v>
      </c>
      <c r="AH151" s="25">
        <v>2020.0</v>
      </c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</row>
    <row r="152">
      <c r="A152" s="131">
        <f t="shared" si="21"/>
        <v>151</v>
      </c>
      <c r="B152" s="25" t="s">
        <v>2795</v>
      </c>
      <c r="C152" s="25"/>
      <c r="D152" s="25" t="s">
        <v>1324</v>
      </c>
      <c r="E152" s="20" t="s">
        <v>182</v>
      </c>
      <c r="F152" s="25" t="s">
        <v>184</v>
      </c>
      <c r="G152" s="25" t="s">
        <v>91</v>
      </c>
      <c r="H152" s="25" t="s">
        <v>43</v>
      </c>
      <c r="I152" s="25" t="s">
        <v>33</v>
      </c>
      <c r="J152" s="127">
        <v>44239.0</v>
      </c>
      <c r="K152" s="25">
        <v>230.0</v>
      </c>
      <c r="L152" s="25" t="s">
        <v>2681</v>
      </c>
      <c r="M152" s="128"/>
      <c r="N152" s="151" t="s">
        <v>2796</v>
      </c>
      <c r="O152" s="25" t="s">
        <v>1324</v>
      </c>
      <c r="P152" s="129" t="s">
        <v>2797</v>
      </c>
      <c r="Q152" s="138"/>
      <c r="R152" s="25"/>
      <c r="S152" s="132">
        <v>5600.0</v>
      </c>
      <c r="T152" s="152" t="s">
        <v>2798</v>
      </c>
      <c r="U152" s="133">
        <v>0.5</v>
      </c>
      <c r="V152" s="133">
        <f t="shared" si="7"/>
        <v>1.15</v>
      </c>
      <c r="W152" s="133">
        <v>2.4</v>
      </c>
      <c r="X152" s="133">
        <f t="shared" si="8"/>
        <v>5.52</v>
      </c>
      <c r="Y152" s="133">
        <v>0.0</v>
      </c>
      <c r="Z152" s="133">
        <f t="shared" si="9"/>
        <v>0</v>
      </c>
      <c r="AA152" s="133">
        <v>92.3</v>
      </c>
      <c r="AB152" s="133">
        <f t="shared" si="10"/>
        <v>212.29</v>
      </c>
      <c r="AC152" s="133">
        <v>4.8</v>
      </c>
      <c r="AD152" s="133">
        <f t="shared" si="11"/>
        <v>11.04</v>
      </c>
      <c r="AE152" s="129" t="s">
        <v>2799</v>
      </c>
      <c r="AF152" s="31" t="s">
        <v>2800</v>
      </c>
      <c r="AG152" s="147">
        <v>88168.0</v>
      </c>
      <c r="AH152" s="25">
        <v>2020.0</v>
      </c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</row>
    <row r="153">
      <c r="A153" s="131">
        <f t="shared" si="21"/>
        <v>152</v>
      </c>
      <c r="B153" s="25" t="s">
        <v>2801</v>
      </c>
      <c r="C153" s="25"/>
      <c r="D153" s="25" t="s">
        <v>1324</v>
      </c>
      <c r="E153" s="20" t="s">
        <v>182</v>
      </c>
      <c r="F153" s="25" t="s">
        <v>2802</v>
      </c>
      <c r="G153" s="25" t="s">
        <v>91</v>
      </c>
      <c r="H153" s="25" t="s">
        <v>43</v>
      </c>
      <c r="I153" s="25" t="s">
        <v>33</v>
      </c>
      <c r="J153" s="127"/>
      <c r="K153" s="25"/>
      <c r="L153" s="25"/>
      <c r="M153" s="128"/>
      <c r="N153" s="151"/>
      <c r="O153" s="25"/>
      <c r="P153" s="129"/>
      <c r="Q153" s="138"/>
      <c r="R153" s="25"/>
      <c r="S153" s="132"/>
      <c r="T153" s="25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29"/>
      <c r="AF153" s="173"/>
      <c r="AG153" s="147"/>
      <c r="AH153" s="25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</row>
    <row r="154">
      <c r="A154" s="131">
        <f t="shared" si="21"/>
        <v>153</v>
      </c>
      <c r="B154" s="25" t="s">
        <v>2803</v>
      </c>
      <c r="C154" s="25"/>
      <c r="D154" s="25" t="s">
        <v>1436</v>
      </c>
      <c r="E154" s="27"/>
      <c r="F154" s="25" t="s">
        <v>2804</v>
      </c>
      <c r="G154" s="25" t="s">
        <v>91</v>
      </c>
      <c r="H154" s="25" t="s">
        <v>43</v>
      </c>
      <c r="I154" s="25" t="s">
        <v>33</v>
      </c>
      <c r="J154" s="127">
        <v>44239.0</v>
      </c>
      <c r="K154" s="25">
        <v>366.0</v>
      </c>
      <c r="L154" s="25" t="s">
        <v>1978</v>
      </c>
      <c r="M154" s="128">
        <v>1915.0</v>
      </c>
      <c r="N154" s="151" t="s">
        <v>2805</v>
      </c>
      <c r="O154" s="25" t="s">
        <v>1324</v>
      </c>
      <c r="P154" s="129" t="s">
        <v>2797</v>
      </c>
      <c r="Q154" s="138">
        <v>50.0</v>
      </c>
      <c r="R154" s="152" t="s">
        <v>2806</v>
      </c>
      <c r="S154" s="132">
        <v>5625.0</v>
      </c>
      <c r="T154" s="152" t="s">
        <v>2807</v>
      </c>
      <c r="U154" s="133">
        <v>2.1</v>
      </c>
      <c r="V154" s="133">
        <f t="shared" ref="V154:V211" si="22">IF(U154&lt;&gt;"",K154*U154/100,"")
</f>
        <v>7.686</v>
      </c>
      <c r="W154" s="133">
        <v>1.4</v>
      </c>
      <c r="X154" s="133">
        <f t="shared" ref="X154:X211" si="23">IF(W154&lt;&gt;"",K154*W154/100,"")
</f>
        <v>5.124</v>
      </c>
      <c r="Y154" s="133">
        <v>1.7</v>
      </c>
      <c r="Z154" s="133">
        <f t="shared" ref="Z154:Z211" si="24">IF(Y154&lt;&gt;"",K154*Y154/100,"")
</f>
        <v>6.222</v>
      </c>
      <c r="AA154" s="133">
        <v>86.0</v>
      </c>
      <c r="AB154" s="133">
        <f t="shared" ref="AB154:AB211" si="25">IF(AA154&lt;&gt;"",K154*AA154/100,"")
</f>
        <v>314.76</v>
      </c>
      <c r="AC154" s="133">
        <v>8.9</v>
      </c>
      <c r="AD154" s="133">
        <f t="shared" ref="AD154:AD211" si="26">IF(AC154&lt;&gt;"",K154*AC154/100,"")
</f>
        <v>32.574</v>
      </c>
      <c r="AE154" s="129" t="s">
        <v>2808</v>
      </c>
      <c r="AF154" s="173" t="s">
        <v>2809</v>
      </c>
      <c r="AG154" s="147">
        <v>95526.0</v>
      </c>
      <c r="AH154" s="25">
        <v>2020.0</v>
      </c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</row>
    <row r="155">
      <c r="A155" s="25">
        <f>ROW()-1</f>
        <v>154</v>
      </c>
      <c r="B155" s="31" t="s">
        <v>2810</v>
      </c>
      <c r="C155" s="126" t="s">
        <v>1969</v>
      </c>
      <c r="D155" s="31" t="s">
        <v>2399</v>
      </c>
      <c r="E155" s="31"/>
      <c r="F155" s="31" t="s">
        <v>2811</v>
      </c>
      <c r="G155" s="31" t="s">
        <v>411</v>
      </c>
      <c r="H155" s="31" t="s">
        <v>67</v>
      </c>
      <c r="I155" s="31" t="s">
        <v>33</v>
      </c>
      <c r="J155" s="92">
        <v>44245.0</v>
      </c>
      <c r="K155" s="31">
        <v>64.0</v>
      </c>
      <c r="L155" s="31" t="s">
        <v>1971</v>
      </c>
      <c r="M155" s="157">
        <v>1913.0</v>
      </c>
      <c r="N155" s="32"/>
      <c r="O155" s="31" t="s">
        <v>1324</v>
      </c>
      <c r="P155" s="33" t="s">
        <v>2812</v>
      </c>
      <c r="Q155" s="175">
        <v>40.0</v>
      </c>
      <c r="R155" s="33" t="s">
        <v>2813</v>
      </c>
      <c r="S155" s="132">
        <v>4500.0</v>
      </c>
      <c r="T155" s="152" t="s">
        <v>2814</v>
      </c>
      <c r="U155" s="168">
        <v>8.0</v>
      </c>
      <c r="V155" s="133">
        <f t="shared" si="22"/>
        <v>5.12</v>
      </c>
      <c r="W155" s="168">
        <v>21.8</v>
      </c>
      <c r="X155" s="133">
        <f t="shared" si="23"/>
        <v>13.952</v>
      </c>
      <c r="Y155" s="168">
        <v>5.7</v>
      </c>
      <c r="Z155" s="133">
        <f t="shared" si="24"/>
        <v>3.648</v>
      </c>
      <c r="AA155" s="168">
        <v>44.8</v>
      </c>
      <c r="AB155" s="133">
        <f t="shared" si="25"/>
        <v>28.672</v>
      </c>
      <c r="AC155" s="168">
        <v>19.5</v>
      </c>
      <c r="AD155" s="133">
        <f t="shared" si="26"/>
        <v>12.48</v>
      </c>
      <c r="AE155" s="33" t="s">
        <v>2814</v>
      </c>
      <c r="AF155" s="182" t="s">
        <v>2815</v>
      </c>
      <c r="AG155" s="46">
        <v>86480.0</v>
      </c>
      <c r="AH155" s="25">
        <v>2020.0</v>
      </c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</row>
    <row r="156">
      <c r="A156" s="131">
        <f t="shared" ref="A156:A159" si="27">row()-1</f>
        <v>155</v>
      </c>
      <c r="B156" s="25" t="s">
        <v>2816</v>
      </c>
      <c r="C156" s="25"/>
      <c r="D156" s="25" t="s">
        <v>1436</v>
      </c>
      <c r="E156" s="27"/>
      <c r="F156" s="25" t="s">
        <v>2817</v>
      </c>
      <c r="G156" s="25" t="s">
        <v>122</v>
      </c>
      <c r="H156" s="25" t="s">
        <v>32</v>
      </c>
      <c r="I156" s="25" t="s">
        <v>33</v>
      </c>
      <c r="J156" s="127">
        <v>44250.0</v>
      </c>
      <c r="K156" s="25">
        <v>90.0</v>
      </c>
      <c r="L156" s="25" t="s">
        <v>1978</v>
      </c>
      <c r="M156" s="128">
        <v>1910.0</v>
      </c>
      <c r="N156" s="151"/>
      <c r="O156" s="25" t="s">
        <v>1324</v>
      </c>
      <c r="P156" s="129" t="s">
        <v>2818</v>
      </c>
      <c r="Q156" s="138">
        <v>75.0</v>
      </c>
      <c r="R156" s="152" t="s">
        <v>2819</v>
      </c>
      <c r="S156" s="132">
        <v>6310.0</v>
      </c>
      <c r="T156" s="152" t="s">
        <v>2820</v>
      </c>
      <c r="U156" s="133">
        <v>7.0</v>
      </c>
      <c r="V156" s="133">
        <f t="shared" si="22"/>
        <v>6.3</v>
      </c>
      <c r="W156" s="133">
        <v>65.0</v>
      </c>
      <c r="X156" s="133">
        <f t="shared" si="23"/>
        <v>58.5</v>
      </c>
      <c r="Y156" s="133">
        <v>2.0</v>
      </c>
      <c r="Z156" s="133">
        <f t="shared" si="24"/>
        <v>1.8</v>
      </c>
      <c r="AA156" s="133">
        <v>11.0</v>
      </c>
      <c r="AB156" s="133">
        <f t="shared" si="25"/>
        <v>9.9</v>
      </c>
      <c r="AC156" s="133">
        <v>12.0</v>
      </c>
      <c r="AD156" s="133">
        <f t="shared" si="26"/>
        <v>10.8</v>
      </c>
      <c r="AE156" s="129" t="s">
        <v>2821</v>
      </c>
      <c r="AF156" s="31" t="s">
        <v>2822</v>
      </c>
      <c r="AG156" s="147">
        <v>77207.0</v>
      </c>
      <c r="AH156" s="25">
        <v>2020.0</v>
      </c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</row>
    <row r="157">
      <c r="A157" s="131">
        <f t="shared" si="27"/>
        <v>156</v>
      </c>
      <c r="B157" s="25" t="s">
        <v>2823</v>
      </c>
      <c r="C157" s="25"/>
      <c r="D157" s="25" t="s">
        <v>1436</v>
      </c>
      <c r="E157" s="27"/>
      <c r="F157" s="25" t="s">
        <v>2824</v>
      </c>
      <c r="G157" s="25" t="s">
        <v>66</v>
      </c>
      <c r="H157" s="25" t="s">
        <v>67</v>
      </c>
      <c r="I157" s="25" t="s">
        <v>33</v>
      </c>
      <c r="J157" s="127">
        <v>44252.0</v>
      </c>
      <c r="K157" s="25">
        <v>284.0</v>
      </c>
      <c r="L157" s="25" t="s">
        <v>1971</v>
      </c>
      <c r="M157" s="128">
        <v>2003.0</v>
      </c>
      <c r="N157" s="151"/>
      <c r="O157" s="25" t="s">
        <v>1324</v>
      </c>
      <c r="P157" s="129" t="s">
        <v>2825</v>
      </c>
      <c r="Q157" s="138">
        <v>40.0</v>
      </c>
      <c r="R157" s="152" t="s">
        <v>2826</v>
      </c>
      <c r="S157" s="132">
        <v>10800.0</v>
      </c>
      <c r="T157" s="152" t="s">
        <v>2827</v>
      </c>
      <c r="U157" s="133">
        <v>76.2</v>
      </c>
      <c r="V157" s="133">
        <f t="shared" si="22"/>
        <v>216.408</v>
      </c>
      <c r="W157" s="133">
        <v>4.6</v>
      </c>
      <c r="X157" s="133">
        <f t="shared" si="23"/>
        <v>13.064</v>
      </c>
      <c r="Y157" s="133">
        <v>2.1</v>
      </c>
      <c r="Z157" s="133">
        <f t="shared" si="24"/>
        <v>5.964</v>
      </c>
      <c r="AA157" s="133">
        <v>11.4</v>
      </c>
      <c r="AB157" s="133">
        <f t="shared" si="25"/>
        <v>32.376</v>
      </c>
      <c r="AC157" s="133">
        <v>5.7</v>
      </c>
      <c r="AD157" s="133">
        <f t="shared" si="26"/>
        <v>16.188</v>
      </c>
      <c r="AE157" s="129" t="s">
        <v>2828</v>
      </c>
      <c r="AF157" s="31" t="s">
        <v>2829</v>
      </c>
      <c r="AG157" s="147">
        <v>51955.0</v>
      </c>
      <c r="AH157" s="25">
        <v>2020.0</v>
      </c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</row>
    <row r="158">
      <c r="A158" s="131">
        <f t="shared" si="27"/>
        <v>157</v>
      </c>
      <c r="B158" s="25" t="s">
        <v>2830</v>
      </c>
      <c r="C158" s="25"/>
      <c r="D158" s="25" t="s">
        <v>1436</v>
      </c>
      <c r="E158" s="27"/>
      <c r="F158" s="25" t="s">
        <v>618</v>
      </c>
      <c r="G158" s="25" t="s">
        <v>122</v>
      </c>
      <c r="H158" s="25" t="s">
        <v>32</v>
      </c>
      <c r="I158" s="25" t="s">
        <v>33</v>
      </c>
      <c r="J158" s="127">
        <v>44266.0</v>
      </c>
      <c r="K158" s="25">
        <v>245.0</v>
      </c>
      <c r="L158" s="25" t="s">
        <v>1978</v>
      </c>
      <c r="M158" s="128">
        <v>1904.0</v>
      </c>
      <c r="N158" s="151"/>
      <c r="O158" s="25" t="s">
        <v>1324</v>
      </c>
      <c r="P158" s="129" t="s">
        <v>2831</v>
      </c>
      <c r="Q158" s="138">
        <v>89.0</v>
      </c>
      <c r="R158" s="152" t="s">
        <v>2832</v>
      </c>
      <c r="S158" s="132">
        <v>8000.0</v>
      </c>
      <c r="T158" s="152" t="s">
        <v>2833</v>
      </c>
      <c r="U158" s="133">
        <v>3.2</v>
      </c>
      <c r="V158" s="133">
        <f t="shared" si="22"/>
        <v>7.84</v>
      </c>
      <c r="W158" s="133">
        <v>9.9</v>
      </c>
      <c r="X158" s="133">
        <f t="shared" si="23"/>
        <v>24.255</v>
      </c>
      <c r="Y158" s="133">
        <v>6.8</v>
      </c>
      <c r="Z158" s="133">
        <f t="shared" si="24"/>
        <v>16.66</v>
      </c>
      <c r="AA158" s="133">
        <v>80.2</v>
      </c>
      <c r="AB158" s="133">
        <f t="shared" si="25"/>
        <v>196.49</v>
      </c>
      <c r="AC158" s="133">
        <v>0.0</v>
      </c>
      <c r="AD158" s="133">
        <f t="shared" si="26"/>
        <v>0</v>
      </c>
      <c r="AE158" s="129" t="s">
        <v>2834</v>
      </c>
      <c r="AF158" s="173" t="s">
        <v>2835</v>
      </c>
      <c r="AG158" s="147">
        <v>78759.0</v>
      </c>
      <c r="AH158" s="25">
        <v>2020.0</v>
      </c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</row>
    <row r="159">
      <c r="A159" s="131">
        <f t="shared" si="27"/>
        <v>158</v>
      </c>
      <c r="B159" s="25" t="s">
        <v>2836</v>
      </c>
      <c r="C159" s="25"/>
      <c r="D159" s="25" t="s">
        <v>1436</v>
      </c>
      <c r="E159" s="27"/>
      <c r="F159" s="25" t="s">
        <v>2837</v>
      </c>
      <c r="G159" s="25" t="s">
        <v>76</v>
      </c>
      <c r="H159" s="25" t="s">
        <v>43</v>
      </c>
      <c r="I159" s="25" t="s">
        <v>33</v>
      </c>
      <c r="J159" s="127">
        <v>44267.0</v>
      </c>
      <c r="K159" s="25">
        <v>196.0</v>
      </c>
      <c r="L159" s="25" t="s">
        <v>1978</v>
      </c>
      <c r="M159" s="128">
        <v>1888.0</v>
      </c>
      <c r="N159" s="151" t="s">
        <v>2838</v>
      </c>
      <c r="O159" s="25" t="s">
        <v>1324</v>
      </c>
      <c r="P159" s="129" t="s">
        <v>2839</v>
      </c>
      <c r="Q159" s="138"/>
      <c r="R159" s="152" t="s">
        <v>2840</v>
      </c>
      <c r="S159" s="132">
        <v>3358.0</v>
      </c>
      <c r="T159" s="152" t="s">
        <v>2841</v>
      </c>
      <c r="U159" s="133">
        <v>48.4</v>
      </c>
      <c r="V159" s="133">
        <f t="shared" si="22"/>
        <v>94.864</v>
      </c>
      <c r="W159" s="133">
        <v>3.8</v>
      </c>
      <c r="X159" s="133">
        <f t="shared" si="23"/>
        <v>7.448</v>
      </c>
      <c r="Y159" s="133">
        <v>20.4</v>
      </c>
      <c r="Z159" s="133">
        <f t="shared" si="24"/>
        <v>39.984</v>
      </c>
      <c r="AA159" s="133">
        <v>25.3</v>
      </c>
      <c r="AB159" s="133">
        <f t="shared" si="25"/>
        <v>49.588</v>
      </c>
      <c r="AC159" s="133">
        <v>2.2</v>
      </c>
      <c r="AD159" s="133">
        <f t="shared" si="26"/>
        <v>4.312</v>
      </c>
      <c r="AE159" s="129" t="s">
        <v>2842</v>
      </c>
      <c r="AF159" s="173" t="s">
        <v>2843</v>
      </c>
      <c r="AG159" s="147">
        <v>34757.0</v>
      </c>
      <c r="AH159" s="25">
        <v>2020.0</v>
      </c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</row>
    <row r="160">
      <c r="A160" s="25">
        <f t="shared" ref="A160:A164" si="28">ROW()-1</f>
        <v>159</v>
      </c>
      <c r="B160" s="31" t="s">
        <v>2844</v>
      </c>
      <c r="C160" s="126" t="s">
        <v>1969</v>
      </c>
      <c r="D160" s="31" t="s">
        <v>2399</v>
      </c>
      <c r="E160" s="31"/>
      <c r="F160" s="31" t="s">
        <v>2845</v>
      </c>
      <c r="G160" s="31" t="s">
        <v>76</v>
      </c>
      <c r="H160" s="31" t="s">
        <v>43</v>
      </c>
      <c r="I160" s="31" t="s">
        <v>33</v>
      </c>
      <c r="J160" s="92">
        <v>44271.0</v>
      </c>
      <c r="K160" s="31">
        <v>130.0</v>
      </c>
      <c r="L160" s="31" t="s">
        <v>1971</v>
      </c>
      <c r="M160" s="157">
        <v>1927.0</v>
      </c>
      <c r="N160" s="32"/>
      <c r="O160" s="31" t="s">
        <v>1324</v>
      </c>
      <c r="P160" s="33" t="s">
        <v>2846</v>
      </c>
      <c r="Q160" s="134"/>
      <c r="R160" s="32"/>
      <c r="S160" s="132">
        <v>6623.0</v>
      </c>
      <c r="T160" s="152" t="s">
        <v>2847</v>
      </c>
      <c r="U160" s="168">
        <v>33.3</v>
      </c>
      <c r="V160" s="133">
        <f t="shared" si="22"/>
        <v>43.29</v>
      </c>
      <c r="W160" s="168">
        <v>12.2</v>
      </c>
      <c r="X160" s="133">
        <f t="shared" si="23"/>
        <v>15.86</v>
      </c>
      <c r="Y160" s="168">
        <v>1.7</v>
      </c>
      <c r="Z160" s="133">
        <f t="shared" si="24"/>
        <v>2.21</v>
      </c>
      <c r="AA160" s="168">
        <v>49.2</v>
      </c>
      <c r="AB160" s="133">
        <f t="shared" si="25"/>
        <v>63.96</v>
      </c>
      <c r="AC160" s="168">
        <v>3.6</v>
      </c>
      <c r="AD160" s="133">
        <f t="shared" si="26"/>
        <v>4.68</v>
      </c>
      <c r="AE160" s="33" t="s">
        <v>2848</v>
      </c>
      <c r="AF160" s="39" t="s">
        <v>2849</v>
      </c>
      <c r="AG160" s="46">
        <v>148692.0</v>
      </c>
      <c r="AH160" s="20">
        <v>2020.0</v>
      </c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</row>
    <row r="161">
      <c r="A161" s="25">
        <f t="shared" si="28"/>
        <v>160</v>
      </c>
      <c r="B161" s="31" t="s">
        <v>2850</v>
      </c>
      <c r="C161" s="126" t="s">
        <v>1969</v>
      </c>
      <c r="D161" s="31" t="s">
        <v>2399</v>
      </c>
      <c r="E161" s="31"/>
      <c r="F161" s="31" t="s">
        <v>2851</v>
      </c>
      <c r="G161" s="31" t="s">
        <v>76</v>
      </c>
      <c r="H161" s="31" t="s">
        <v>43</v>
      </c>
      <c r="I161" s="31" t="s">
        <v>33</v>
      </c>
      <c r="J161" s="92">
        <v>44271.0</v>
      </c>
      <c r="K161" s="31">
        <v>209.0</v>
      </c>
      <c r="L161" s="31" t="s">
        <v>1971</v>
      </c>
      <c r="M161" s="157">
        <v>1950.0</v>
      </c>
      <c r="N161" s="32"/>
      <c r="O161" s="31" t="s">
        <v>1324</v>
      </c>
      <c r="P161" s="33" t="s">
        <v>2846</v>
      </c>
      <c r="Q161" s="134"/>
      <c r="R161" s="32"/>
      <c r="S161" s="132">
        <v>7959.0</v>
      </c>
      <c r="T161" s="152" t="s">
        <v>2852</v>
      </c>
      <c r="U161" s="168">
        <v>7.3</v>
      </c>
      <c r="V161" s="133">
        <f t="shared" si="22"/>
        <v>15.257</v>
      </c>
      <c r="W161" s="168">
        <v>8.8</v>
      </c>
      <c r="X161" s="133">
        <f t="shared" si="23"/>
        <v>18.392</v>
      </c>
      <c r="Y161" s="168">
        <v>2.4</v>
      </c>
      <c r="Z161" s="133">
        <f t="shared" si="24"/>
        <v>5.016</v>
      </c>
      <c r="AA161" s="168">
        <v>81.5</v>
      </c>
      <c r="AB161" s="133">
        <f t="shared" si="25"/>
        <v>170.335</v>
      </c>
      <c r="AC161" s="168">
        <v>0.0</v>
      </c>
      <c r="AD161" s="133">
        <f t="shared" si="26"/>
        <v>0</v>
      </c>
      <c r="AE161" s="33" t="s">
        <v>2853</v>
      </c>
      <c r="AF161" s="39" t="s">
        <v>2854</v>
      </c>
      <c r="AG161" s="46">
        <v>128005.0</v>
      </c>
      <c r="AH161" s="20">
        <v>2020.0</v>
      </c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</row>
    <row r="162">
      <c r="A162" s="183">
        <f t="shared" si="28"/>
        <v>161</v>
      </c>
      <c r="B162" s="31" t="s">
        <v>2855</v>
      </c>
      <c r="C162" s="126" t="s">
        <v>1969</v>
      </c>
      <c r="D162" s="31" t="s">
        <v>2399</v>
      </c>
      <c r="E162" s="31"/>
      <c r="F162" s="31" t="s">
        <v>2856</v>
      </c>
      <c r="G162" s="31" t="s">
        <v>76</v>
      </c>
      <c r="H162" s="31" t="s">
        <v>43</v>
      </c>
      <c r="I162" s="31" t="s">
        <v>33</v>
      </c>
      <c r="J162" s="92">
        <v>44277.0</v>
      </c>
      <c r="K162" s="31">
        <v>179.0</v>
      </c>
      <c r="L162" s="31" t="s">
        <v>1971</v>
      </c>
      <c r="M162" s="157">
        <v>1925.0</v>
      </c>
      <c r="N162" s="32"/>
      <c r="O162" s="31" t="s">
        <v>1324</v>
      </c>
      <c r="P162" s="33" t="s">
        <v>2857</v>
      </c>
      <c r="Q162" s="134"/>
      <c r="R162" s="32"/>
      <c r="S162" s="132">
        <v>8745.0</v>
      </c>
      <c r="T162" s="152" t="s">
        <v>2858</v>
      </c>
      <c r="U162" s="168">
        <v>39.6</v>
      </c>
      <c r="V162" s="133">
        <f t="shared" si="22"/>
        <v>70.884</v>
      </c>
      <c r="W162" s="168">
        <v>27.5</v>
      </c>
      <c r="X162" s="133">
        <f t="shared" si="23"/>
        <v>49.225</v>
      </c>
      <c r="Y162" s="168">
        <v>4.0</v>
      </c>
      <c r="Z162" s="133">
        <f t="shared" si="24"/>
        <v>7.16</v>
      </c>
      <c r="AA162" s="168">
        <v>27.1</v>
      </c>
      <c r="AB162" s="133">
        <f t="shared" si="25"/>
        <v>48.509</v>
      </c>
      <c r="AC162" s="168">
        <v>1.8</v>
      </c>
      <c r="AD162" s="133">
        <f t="shared" si="26"/>
        <v>3.222</v>
      </c>
      <c r="AE162" s="33" t="s">
        <v>2859</v>
      </c>
      <c r="AF162" s="39" t="s">
        <v>2860</v>
      </c>
      <c r="AG162" s="26">
        <v>106205.0</v>
      </c>
      <c r="AH162" s="20">
        <v>2020.0</v>
      </c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</row>
    <row r="163">
      <c r="A163" s="183">
        <f t="shared" si="28"/>
        <v>162</v>
      </c>
      <c r="B163" s="31" t="s">
        <v>2861</v>
      </c>
      <c r="C163" s="126" t="s">
        <v>1969</v>
      </c>
      <c r="D163" s="31" t="s">
        <v>2399</v>
      </c>
      <c r="E163" s="31"/>
      <c r="F163" s="31" t="s">
        <v>300</v>
      </c>
      <c r="G163" s="31" t="s">
        <v>133</v>
      </c>
      <c r="H163" s="31" t="s">
        <v>43</v>
      </c>
      <c r="I163" s="31" t="s">
        <v>33</v>
      </c>
      <c r="J163" s="92">
        <v>44281.0</v>
      </c>
      <c r="K163" s="31">
        <v>268.0</v>
      </c>
      <c r="L163" s="31" t="s">
        <v>1978</v>
      </c>
      <c r="M163" s="157">
        <v>1962.0</v>
      </c>
      <c r="N163" s="32"/>
      <c r="O163" s="31" t="s">
        <v>1324</v>
      </c>
      <c r="P163" s="33" t="s">
        <v>2862</v>
      </c>
      <c r="Q163" s="134"/>
      <c r="R163" s="32"/>
      <c r="S163" s="132">
        <v>8000.0</v>
      </c>
      <c r="T163" s="152" t="s">
        <v>2863</v>
      </c>
      <c r="U163" s="168">
        <v>38.9</v>
      </c>
      <c r="V163" s="133">
        <f t="shared" si="22"/>
        <v>104.252</v>
      </c>
      <c r="W163" s="168">
        <v>1.4</v>
      </c>
      <c r="X163" s="133">
        <f t="shared" si="23"/>
        <v>3.752</v>
      </c>
      <c r="Y163" s="168">
        <v>3.5</v>
      </c>
      <c r="Z163" s="133">
        <f t="shared" si="24"/>
        <v>9.38</v>
      </c>
      <c r="AA163" s="168">
        <v>46.5</v>
      </c>
      <c r="AB163" s="133">
        <f t="shared" si="25"/>
        <v>124.62</v>
      </c>
      <c r="AC163" s="168">
        <v>9.7</v>
      </c>
      <c r="AD163" s="133">
        <f t="shared" si="26"/>
        <v>25.996</v>
      </c>
      <c r="AE163" s="33" t="s">
        <v>2864</v>
      </c>
      <c r="AF163" s="39" t="s">
        <v>2865</v>
      </c>
      <c r="AG163" s="26">
        <v>130062.0</v>
      </c>
      <c r="AH163" s="20">
        <v>2020.0</v>
      </c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</row>
    <row r="164">
      <c r="A164" s="183">
        <f t="shared" si="28"/>
        <v>163</v>
      </c>
      <c r="B164" s="31" t="s">
        <v>2866</v>
      </c>
      <c r="C164" s="126" t="s">
        <v>1969</v>
      </c>
      <c r="D164" s="31" t="s">
        <v>2399</v>
      </c>
      <c r="E164" s="31"/>
      <c r="F164" s="31" t="s">
        <v>2867</v>
      </c>
      <c r="G164" s="31" t="s">
        <v>21</v>
      </c>
      <c r="H164" s="31" t="s">
        <v>22</v>
      </c>
      <c r="I164" s="31" t="s">
        <v>33</v>
      </c>
      <c r="J164" s="92">
        <v>44281.0</v>
      </c>
      <c r="K164" s="31">
        <v>245.0</v>
      </c>
      <c r="L164" s="31" t="s">
        <v>2681</v>
      </c>
      <c r="M164" s="157">
        <v>1929.0</v>
      </c>
      <c r="N164" s="32"/>
      <c r="O164" s="31" t="s">
        <v>1324</v>
      </c>
      <c r="P164" s="33" t="s">
        <v>2868</v>
      </c>
      <c r="Q164" s="134"/>
      <c r="R164" s="32"/>
      <c r="S164" s="132">
        <v>6045.0</v>
      </c>
      <c r="T164" s="152" t="s">
        <v>2869</v>
      </c>
      <c r="U164" s="168">
        <v>0.9</v>
      </c>
      <c r="V164" s="133">
        <f t="shared" si="22"/>
        <v>2.205</v>
      </c>
      <c r="W164" s="168">
        <v>97.0</v>
      </c>
      <c r="X164" s="133">
        <f t="shared" si="23"/>
        <v>237.65</v>
      </c>
      <c r="Y164" s="168">
        <v>0.4</v>
      </c>
      <c r="Z164" s="133">
        <f t="shared" si="24"/>
        <v>0.98</v>
      </c>
      <c r="AA164" s="168">
        <v>1.7</v>
      </c>
      <c r="AB164" s="133">
        <f t="shared" si="25"/>
        <v>4.165</v>
      </c>
      <c r="AC164" s="168">
        <v>0.0</v>
      </c>
      <c r="AD164" s="133">
        <f t="shared" si="26"/>
        <v>0</v>
      </c>
      <c r="AE164" s="33" t="s">
        <v>2870</v>
      </c>
      <c r="AF164" s="20" t="s">
        <v>2871</v>
      </c>
      <c r="AG164" s="26">
        <v>50461.0</v>
      </c>
      <c r="AH164" s="20">
        <v>2020.0</v>
      </c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</row>
    <row r="165">
      <c r="A165" s="131">
        <f>row()-1</f>
        <v>164</v>
      </c>
      <c r="B165" s="25" t="s">
        <v>2872</v>
      </c>
      <c r="C165" s="25"/>
      <c r="D165" s="25" t="s">
        <v>1436</v>
      </c>
      <c r="E165" s="27"/>
      <c r="F165" s="25" t="s">
        <v>2873</v>
      </c>
      <c r="G165" s="25" t="s">
        <v>436</v>
      </c>
      <c r="H165" s="25" t="s">
        <v>32</v>
      </c>
      <c r="I165" s="25" t="s">
        <v>33</v>
      </c>
      <c r="J165" s="127">
        <v>44286.0</v>
      </c>
      <c r="K165" s="25">
        <v>137.0</v>
      </c>
      <c r="L165" s="25" t="s">
        <v>1971</v>
      </c>
      <c r="M165" s="128">
        <v>1964.0</v>
      </c>
      <c r="N165" s="151"/>
      <c r="O165" s="25" t="s">
        <v>1324</v>
      </c>
      <c r="P165" s="129" t="s">
        <v>2874</v>
      </c>
      <c r="Q165" s="138"/>
      <c r="R165" s="25"/>
      <c r="S165" s="132">
        <v>7548.0</v>
      </c>
      <c r="T165" s="152" t="s">
        <v>2875</v>
      </c>
      <c r="U165" s="133">
        <v>3.0</v>
      </c>
      <c r="V165" s="133">
        <f t="shared" si="22"/>
        <v>4.11</v>
      </c>
      <c r="W165" s="133">
        <v>18.8</v>
      </c>
      <c r="X165" s="133">
        <f t="shared" si="23"/>
        <v>25.756</v>
      </c>
      <c r="Y165" s="133">
        <v>3.6</v>
      </c>
      <c r="Z165" s="133">
        <f t="shared" si="24"/>
        <v>4.932</v>
      </c>
      <c r="AA165" s="133">
        <v>67.3</v>
      </c>
      <c r="AB165" s="133">
        <f t="shared" si="25"/>
        <v>92.201</v>
      </c>
      <c r="AC165" s="133">
        <v>7.3</v>
      </c>
      <c r="AD165" s="133">
        <f t="shared" si="26"/>
        <v>10.001</v>
      </c>
      <c r="AE165" s="129" t="s">
        <v>2876</v>
      </c>
      <c r="AF165" s="31" t="s">
        <v>2877</v>
      </c>
      <c r="AG165" s="147">
        <v>94825.0</v>
      </c>
      <c r="AH165" s="25">
        <v>2020.0</v>
      </c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</row>
    <row r="166">
      <c r="A166" s="183">
        <f t="shared" ref="A166:A171" si="29">ROW()-1</f>
        <v>165</v>
      </c>
      <c r="B166" s="31" t="s">
        <v>2878</v>
      </c>
      <c r="C166" s="126" t="s">
        <v>1969</v>
      </c>
      <c r="D166" s="31" t="s">
        <v>2399</v>
      </c>
      <c r="E166" s="31"/>
      <c r="F166" s="31" t="s">
        <v>1092</v>
      </c>
      <c r="G166" s="31" t="s">
        <v>21</v>
      </c>
      <c r="H166" s="31" t="s">
        <v>22</v>
      </c>
      <c r="I166" s="31" t="s">
        <v>33</v>
      </c>
      <c r="J166" s="92">
        <v>44289.0</v>
      </c>
      <c r="K166" s="31">
        <v>75.0</v>
      </c>
      <c r="L166" s="31" t="s">
        <v>1971</v>
      </c>
      <c r="M166" s="157"/>
      <c r="N166" s="32"/>
      <c r="O166" s="31" t="s">
        <v>1324</v>
      </c>
      <c r="P166" s="33" t="s">
        <v>2879</v>
      </c>
      <c r="Q166" s="134"/>
      <c r="R166" s="32"/>
      <c r="S166" s="132"/>
      <c r="T166" s="25"/>
      <c r="U166" s="168">
        <v>0.0</v>
      </c>
      <c r="V166" s="133">
        <f t="shared" si="22"/>
        <v>0</v>
      </c>
      <c r="W166" s="168">
        <v>100.0</v>
      </c>
      <c r="X166" s="133">
        <f t="shared" si="23"/>
        <v>75</v>
      </c>
      <c r="Y166" s="168">
        <v>0.0</v>
      </c>
      <c r="Z166" s="133">
        <f t="shared" si="24"/>
        <v>0</v>
      </c>
      <c r="AA166" s="168">
        <v>0.0</v>
      </c>
      <c r="AB166" s="133">
        <f t="shared" si="25"/>
        <v>0</v>
      </c>
      <c r="AC166" s="168">
        <v>0.0</v>
      </c>
      <c r="AD166" s="133">
        <f t="shared" si="26"/>
        <v>0</v>
      </c>
      <c r="AE166" s="33" t="s">
        <v>2880</v>
      </c>
      <c r="AF166" s="20" t="s">
        <v>2881</v>
      </c>
      <c r="AG166" s="26">
        <v>55834.0</v>
      </c>
      <c r="AH166" s="20">
        <v>2020.0</v>
      </c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</row>
    <row r="167">
      <c r="A167" s="184">
        <f t="shared" si="29"/>
        <v>166</v>
      </c>
      <c r="B167" s="36" t="s">
        <v>2418</v>
      </c>
      <c r="C167" s="126" t="s">
        <v>1969</v>
      </c>
      <c r="D167" s="185" t="s">
        <v>2399</v>
      </c>
      <c r="E167" s="185"/>
      <c r="F167" s="185" t="s">
        <v>1092</v>
      </c>
      <c r="G167" s="185" t="s">
        <v>21</v>
      </c>
      <c r="H167" s="185" t="s">
        <v>22</v>
      </c>
      <c r="I167" s="185" t="s">
        <v>33</v>
      </c>
      <c r="J167" s="92">
        <v>44289.0</v>
      </c>
      <c r="K167" s="36">
        <v>105.0</v>
      </c>
      <c r="L167" s="36" t="s">
        <v>2681</v>
      </c>
      <c r="M167" s="157">
        <v>1915.0</v>
      </c>
      <c r="N167" s="185"/>
      <c r="O167" s="185" t="s">
        <v>1324</v>
      </c>
      <c r="P167" s="33" t="s">
        <v>2879</v>
      </c>
      <c r="Q167" s="186"/>
      <c r="R167" s="185"/>
      <c r="S167" s="187">
        <v>4700.0</v>
      </c>
      <c r="T167" s="152" t="s">
        <v>2882</v>
      </c>
      <c r="U167" s="188">
        <v>3.0</v>
      </c>
      <c r="V167" s="133">
        <f t="shared" si="22"/>
        <v>3.15</v>
      </c>
      <c r="W167" s="188">
        <v>68.7</v>
      </c>
      <c r="X167" s="133">
        <f t="shared" si="23"/>
        <v>72.135</v>
      </c>
      <c r="Y167" s="188">
        <v>6.1</v>
      </c>
      <c r="Z167" s="133">
        <f t="shared" si="24"/>
        <v>6.405</v>
      </c>
      <c r="AA167" s="188">
        <v>7.1</v>
      </c>
      <c r="AB167" s="133">
        <f t="shared" si="25"/>
        <v>7.455</v>
      </c>
      <c r="AC167" s="188">
        <v>15.2</v>
      </c>
      <c r="AD167" s="133">
        <f t="shared" si="26"/>
        <v>15.96</v>
      </c>
      <c r="AE167" s="33" t="s">
        <v>2883</v>
      </c>
      <c r="AF167" s="82" t="s">
        <v>2884</v>
      </c>
      <c r="AG167" s="23">
        <v>64437.0</v>
      </c>
      <c r="AH167" s="90">
        <v>2020.0</v>
      </c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</row>
    <row r="168">
      <c r="A168" s="184">
        <f t="shared" si="29"/>
        <v>167</v>
      </c>
      <c r="B168" s="36" t="s">
        <v>2885</v>
      </c>
      <c r="C168" s="126" t="s">
        <v>1969</v>
      </c>
      <c r="D168" s="185" t="s">
        <v>2399</v>
      </c>
      <c r="E168" s="36"/>
      <c r="F168" s="36" t="s">
        <v>2886</v>
      </c>
      <c r="G168" s="185" t="s">
        <v>21</v>
      </c>
      <c r="H168" s="185" t="s">
        <v>22</v>
      </c>
      <c r="I168" s="185" t="s">
        <v>33</v>
      </c>
      <c r="J168" s="92">
        <v>44289.0</v>
      </c>
      <c r="K168" s="36">
        <v>101.0</v>
      </c>
      <c r="L168" s="36" t="s">
        <v>2681</v>
      </c>
      <c r="M168" s="157"/>
      <c r="N168" s="185"/>
      <c r="O168" s="185" t="s">
        <v>1324</v>
      </c>
      <c r="P168" s="33" t="s">
        <v>2879</v>
      </c>
      <c r="Q168" s="186"/>
      <c r="R168" s="185"/>
      <c r="S168" s="187">
        <v>4700.0</v>
      </c>
      <c r="T168" s="152" t="s">
        <v>2887</v>
      </c>
      <c r="U168" s="188">
        <v>0.0</v>
      </c>
      <c r="V168" s="133">
        <f t="shared" si="22"/>
        <v>0</v>
      </c>
      <c r="W168" s="188">
        <v>69.3</v>
      </c>
      <c r="X168" s="133">
        <f t="shared" si="23"/>
        <v>69.993</v>
      </c>
      <c r="Y168" s="188">
        <v>22.8</v>
      </c>
      <c r="Z168" s="133">
        <f t="shared" si="24"/>
        <v>23.028</v>
      </c>
      <c r="AA168" s="188">
        <v>7.9</v>
      </c>
      <c r="AB168" s="133">
        <f t="shared" si="25"/>
        <v>7.979</v>
      </c>
      <c r="AC168" s="188">
        <v>0.0</v>
      </c>
      <c r="AD168" s="133">
        <f t="shared" si="26"/>
        <v>0</v>
      </c>
      <c r="AE168" s="33" t="s">
        <v>2888</v>
      </c>
      <c r="AF168" s="82" t="s">
        <v>2889</v>
      </c>
      <c r="AG168" s="23">
        <v>73041.0</v>
      </c>
      <c r="AH168" s="90">
        <v>2020.0</v>
      </c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</row>
    <row r="169">
      <c r="A169" s="184">
        <f t="shared" si="29"/>
        <v>168</v>
      </c>
      <c r="B169" s="36" t="s">
        <v>2056</v>
      </c>
      <c r="C169" s="126" t="s">
        <v>1969</v>
      </c>
      <c r="D169" s="185" t="s">
        <v>2399</v>
      </c>
      <c r="E169" s="36"/>
      <c r="F169" s="36" t="s">
        <v>1092</v>
      </c>
      <c r="G169" s="185" t="s">
        <v>21</v>
      </c>
      <c r="H169" s="185" t="s">
        <v>22</v>
      </c>
      <c r="I169" s="185" t="s">
        <v>33</v>
      </c>
      <c r="J169" s="92">
        <v>44289.0</v>
      </c>
      <c r="K169" s="36">
        <v>78.0</v>
      </c>
      <c r="L169" s="36" t="s">
        <v>2681</v>
      </c>
      <c r="M169" s="157">
        <v>1938.0</v>
      </c>
      <c r="N169" s="185"/>
      <c r="O169" s="185" t="s">
        <v>1324</v>
      </c>
      <c r="P169" s="33" t="s">
        <v>2879</v>
      </c>
      <c r="Q169" s="186"/>
      <c r="R169" s="185"/>
      <c r="S169" s="187">
        <v>3991.0</v>
      </c>
      <c r="T169" s="152" t="s">
        <v>2890</v>
      </c>
      <c r="U169" s="188">
        <v>1.2</v>
      </c>
      <c r="V169" s="133">
        <f t="shared" si="22"/>
        <v>0.936</v>
      </c>
      <c r="W169" s="188">
        <v>65.5</v>
      </c>
      <c r="X169" s="133">
        <f t="shared" si="23"/>
        <v>51.09</v>
      </c>
      <c r="Y169" s="188">
        <v>29.8</v>
      </c>
      <c r="Z169" s="133">
        <f t="shared" si="24"/>
        <v>23.244</v>
      </c>
      <c r="AA169" s="188">
        <v>1.2</v>
      </c>
      <c r="AB169" s="133">
        <f t="shared" si="25"/>
        <v>0.936</v>
      </c>
      <c r="AC169" s="188">
        <v>2.4</v>
      </c>
      <c r="AD169" s="133">
        <f t="shared" si="26"/>
        <v>1.872</v>
      </c>
      <c r="AE169" s="33" t="s">
        <v>2891</v>
      </c>
      <c r="AF169" s="82" t="s">
        <v>2892</v>
      </c>
      <c r="AG169" s="23">
        <v>134193.0</v>
      </c>
      <c r="AH169" s="90">
        <v>2020.0</v>
      </c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</row>
    <row r="170">
      <c r="A170" s="184">
        <f t="shared" si="29"/>
        <v>169</v>
      </c>
      <c r="B170" s="36" t="s">
        <v>2893</v>
      </c>
      <c r="C170" s="126" t="s">
        <v>1969</v>
      </c>
      <c r="D170" s="185" t="s">
        <v>2399</v>
      </c>
      <c r="E170" s="36"/>
      <c r="F170" s="36" t="s">
        <v>2894</v>
      </c>
      <c r="G170" s="185" t="s">
        <v>21</v>
      </c>
      <c r="H170" s="185" t="s">
        <v>22</v>
      </c>
      <c r="I170" s="185" t="s">
        <v>33</v>
      </c>
      <c r="J170" s="92">
        <v>44289.0</v>
      </c>
      <c r="K170" s="36">
        <v>102.0</v>
      </c>
      <c r="L170" s="36" t="s">
        <v>2681</v>
      </c>
      <c r="M170" s="157">
        <v>1964.0</v>
      </c>
      <c r="N170" s="185"/>
      <c r="O170" s="185" t="s">
        <v>1324</v>
      </c>
      <c r="P170" s="33" t="s">
        <v>2879</v>
      </c>
      <c r="Q170" s="186"/>
      <c r="R170" s="185"/>
      <c r="S170" s="187">
        <v>4200.0</v>
      </c>
      <c r="T170" s="152" t="s">
        <v>2895</v>
      </c>
      <c r="U170" s="188">
        <v>2.2</v>
      </c>
      <c r="V170" s="133">
        <f t="shared" si="22"/>
        <v>2.244</v>
      </c>
      <c r="W170" s="188">
        <v>93.3</v>
      </c>
      <c r="X170" s="133">
        <f t="shared" si="23"/>
        <v>95.166</v>
      </c>
      <c r="Y170" s="188">
        <v>4.4</v>
      </c>
      <c r="Z170" s="133">
        <f t="shared" si="24"/>
        <v>4.488</v>
      </c>
      <c r="AA170" s="188">
        <v>0.0</v>
      </c>
      <c r="AB170" s="133">
        <f t="shared" si="25"/>
        <v>0</v>
      </c>
      <c r="AC170" s="188">
        <v>0.0</v>
      </c>
      <c r="AD170" s="133">
        <f t="shared" si="26"/>
        <v>0</v>
      </c>
      <c r="AE170" s="33" t="s">
        <v>2896</v>
      </c>
      <c r="AF170" s="82" t="s">
        <v>2897</v>
      </c>
      <c r="AG170" s="23">
        <v>38843.0</v>
      </c>
      <c r="AH170" s="90">
        <v>2020.0</v>
      </c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</row>
    <row r="171">
      <c r="A171" s="184">
        <f t="shared" si="29"/>
        <v>170</v>
      </c>
      <c r="B171" s="36" t="s">
        <v>2898</v>
      </c>
      <c r="C171" s="126" t="s">
        <v>1969</v>
      </c>
      <c r="D171" s="185" t="s">
        <v>2399</v>
      </c>
      <c r="E171" s="36"/>
      <c r="F171" s="36" t="s">
        <v>2899</v>
      </c>
      <c r="G171" s="36" t="s">
        <v>1162</v>
      </c>
      <c r="H171" s="36" t="s">
        <v>67</v>
      </c>
      <c r="I171" s="185" t="s">
        <v>33</v>
      </c>
      <c r="J171" s="92">
        <v>44299.0</v>
      </c>
      <c r="K171" s="20">
        <v>597.0</v>
      </c>
      <c r="L171" s="36" t="s">
        <v>1978</v>
      </c>
      <c r="M171" s="157">
        <v>1960.0</v>
      </c>
      <c r="N171" s="185"/>
      <c r="O171" s="185" t="s">
        <v>1324</v>
      </c>
      <c r="P171" s="33" t="s">
        <v>2900</v>
      </c>
      <c r="Q171" s="189">
        <v>60.0</v>
      </c>
      <c r="R171" s="136" t="s">
        <v>2901</v>
      </c>
      <c r="S171" s="187">
        <v>10400.0</v>
      </c>
      <c r="T171" s="152" t="s">
        <v>2902</v>
      </c>
      <c r="U171" s="188">
        <v>33.1</v>
      </c>
      <c r="V171" s="133">
        <f t="shared" si="22"/>
        <v>197.607</v>
      </c>
      <c r="W171" s="188">
        <v>32.8</v>
      </c>
      <c r="X171" s="133">
        <f t="shared" si="23"/>
        <v>195.816</v>
      </c>
      <c r="Y171" s="188">
        <v>1.6</v>
      </c>
      <c r="Z171" s="133">
        <f t="shared" si="24"/>
        <v>9.552</v>
      </c>
      <c r="AA171" s="188">
        <v>27.9</v>
      </c>
      <c r="AB171" s="133">
        <f t="shared" si="25"/>
        <v>166.563</v>
      </c>
      <c r="AC171" s="188">
        <v>4.6</v>
      </c>
      <c r="AD171" s="133">
        <f t="shared" si="26"/>
        <v>27.462</v>
      </c>
      <c r="AE171" s="33" t="s">
        <v>2903</v>
      </c>
      <c r="AF171" s="82" t="s">
        <v>2904</v>
      </c>
      <c r="AG171" s="23">
        <v>93526.0</v>
      </c>
      <c r="AH171" s="90">
        <v>2020.0</v>
      </c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</row>
    <row r="172">
      <c r="A172" s="131">
        <f t="shared" ref="A172:A173" si="30">row()-1</f>
        <v>171</v>
      </c>
      <c r="B172" s="25" t="s">
        <v>2905</v>
      </c>
      <c r="C172" s="25"/>
      <c r="D172" s="25" t="s">
        <v>1436</v>
      </c>
      <c r="E172" s="27"/>
      <c r="F172" s="25" t="s">
        <v>2906</v>
      </c>
      <c r="G172" s="25" t="s">
        <v>411</v>
      </c>
      <c r="H172" s="25" t="s">
        <v>67</v>
      </c>
      <c r="I172" s="25" t="s">
        <v>33</v>
      </c>
      <c r="J172" s="127">
        <v>44317.0</v>
      </c>
      <c r="K172" s="25">
        <v>41.0</v>
      </c>
      <c r="L172" s="25" t="s">
        <v>1978</v>
      </c>
      <c r="M172" s="128">
        <v>1904.0</v>
      </c>
      <c r="N172" s="151"/>
      <c r="O172" s="25" t="s">
        <v>1324</v>
      </c>
      <c r="P172" s="129" t="s">
        <v>2907</v>
      </c>
      <c r="Q172" s="138">
        <v>99.0</v>
      </c>
      <c r="R172" s="152" t="s">
        <v>2908</v>
      </c>
      <c r="S172" s="132">
        <v>2250.0</v>
      </c>
      <c r="T172" s="152" t="s">
        <v>2909</v>
      </c>
      <c r="U172" s="133">
        <v>0.0</v>
      </c>
      <c r="V172" s="133">
        <f t="shared" si="22"/>
        <v>0</v>
      </c>
      <c r="W172" s="133">
        <v>0.0</v>
      </c>
      <c r="X172" s="133">
        <f t="shared" si="23"/>
        <v>0</v>
      </c>
      <c r="Y172" s="133">
        <v>0.0</v>
      </c>
      <c r="Z172" s="133">
        <f t="shared" si="24"/>
        <v>0</v>
      </c>
      <c r="AA172" s="133">
        <v>100.0</v>
      </c>
      <c r="AB172" s="133">
        <f t="shared" si="25"/>
        <v>41</v>
      </c>
      <c r="AC172" s="133">
        <v>0.0</v>
      </c>
      <c r="AD172" s="133">
        <f t="shared" si="26"/>
        <v>0</v>
      </c>
      <c r="AE172" s="129" t="s">
        <v>2910</v>
      </c>
      <c r="AF172" s="31" t="s">
        <v>2911</v>
      </c>
      <c r="AG172" s="147">
        <v>82626.0</v>
      </c>
      <c r="AH172" s="25">
        <v>2021.0</v>
      </c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</row>
    <row r="173">
      <c r="A173" s="131">
        <f t="shared" si="30"/>
        <v>172</v>
      </c>
      <c r="B173" s="25" t="s">
        <v>2912</v>
      </c>
      <c r="C173" s="25"/>
      <c r="D173" s="25" t="s">
        <v>1436</v>
      </c>
      <c r="E173" s="27"/>
      <c r="F173" s="25" t="s">
        <v>2913</v>
      </c>
      <c r="G173" s="25" t="s">
        <v>91</v>
      </c>
      <c r="H173" s="25" t="s">
        <v>43</v>
      </c>
      <c r="I173" s="25" t="s">
        <v>33</v>
      </c>
      <c r="J173" s="127">
        <v>44322.0</v>
      </c>
      <c r="K173" s="25"/>
      <c r="L173" s="25"/>
      <c r="M173" s="128">
        <v>1908.0</v>
      </c>
      <c r="N173" s="151"/>
      <c r="O173" s="25" t="s">
        <v>1324</v>
      </c>
      <c r="P173" s="129" t="s">
        <v>2914</v>
      </c>
      <c r="Q173" s="138"/>
      <c r="R173" s="25"/>
      <c r="S173" s="132">
        <v>4487.5</v>
      </c>
      <c r="T173" s="152" t="s">
        <v>2915</v>
      </c>
      <c r="U173" s="133"/>
      <c r="V173" s="133" t="str">
        <f t="shared" si="22"/>
        <v/>
      </c>
      <c r="W173" s="133"/>
      <c r="X173" s="133" t="str">
        <f t="shared" si="23"/>
        <v/>
      </c>
      <c r="Y173" s="133"/>
      <c r="Z173" s="133" t="str">
        <f t="shared" si="24"/>
        <v/>
      </c>
      <c r="AA173" s="133"/>
      <c r="AB173" s="133" t="str">
        <f t="shared" si="25"/>
        <v/>
      </c>
      <c r="AC173" s="133"/>
      <c r="AD173" s="133" t="str">
        <f t="shared" si="26"/>
        <v/>
      </c>
      <c r="AE173" s="129"/>
      <c r="AF173" s="31" t="s">
        <v>2916</v>
      </c>
      <c r="AG173" s="147">
        <v>27036.0</v>
      </c>
      <c r="AH173" s="25">
        <v>2021.0</v>
      </c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</row>
    <row r="174">
      <c r="A174" s="184">
        <f t="shared" ref="A174:A175" si="31">ROW()-1</f>
        <v>173</v>
      </c>
      <c r="B174" s="36" t="s">
        <v>2169</v>
      </c>
      <c r="C174" s="126" t="s">
        <v>1969</v>
      </c>
      <c r="D174" s="185" t="s">
        <v>2399</v>
      </c>
      <c r="E174" s="36"/>
      <c r="F174" s="36" t="s">
        <v>2917</v>
      </c>
      <c r="G174" s="36" t="s">
        <v>91</v>
      </c>
      <c r="H174" s="36" t="s">
        <v>43</v>
      </c>
      <c r="I174" s="185" t="s">
        <v>33</v>
      </c>
      <c r="J174" s="92">
        <v>44323.0</v>
      </c>
      <c r="K174" s="20">
        <v>185.0</v>
      </c>
      <c r="L174" s="36" t="s">
        <v>1978</v>
      </c>
      <c r="M174" s="157">
        <v>2006.0</v>
      </c>
      <c r="N174" s="185"/>
      <c r="O174" s="185" t="s">
        <v>1324</v>
      </c>
      <c r="P174" s="47" t="s">
        <v>2918</v>
      </c>
      <c r="Q174" s="189"/>
      <c r="R174" s="36"/>
      <c r="S174" s="187"/>
      <c r="T174" s="25"/>
      <c r="U174" s="188">
        <v>1.0</v>
      </c>
      <c r="V174" s="133">
        <f t="shared" si="22"/>
        <v>1.85</v>
      </c>
      <c r="W174" s="188">
        <v>18.0</v>
      </c>
      <c r="X174" s="133">
        <f t="shared" si="23"/>
        <v>33.3</v>
      </c>
      <c r="Y174" s="188">
        <v>1.5</v>
      </c>
      <c r="Z174" s="133">
        <f t="shared" si="24"/>
        <v>2.775</v>
      </c>
      <c r="AA174" s="188">
        <v>79.6</v>
      </c>
      <c r="AB174" s="133">
        <f t="shared" si="25"/>
        <v>147.26</v>
      </c>
      <c r="AC174" s="188">
        <v>0.0</v>
      </c>
      <c r="AD174" s="133">
        <f t="shared" si="26"/>
        <v>0</v>
      </c>
      <c r="AE174" s="33" t="s">
        <v>2919</v>
      </c>
      <c r="AF174" s="82" t="s">
        <v>2920</v>
      </c>
      <c r="AG174" s="23">
        <v>38442.0</v>
      </c>
      <c r="AH174" s="89">
        <v>2021.0</v>
      </c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</row>
    <row r="175">
      <c r="A175" s="184">
        <f t="shared" si="31"/>
        <v>174</v>
      </c>
      <c r="B175" s="36" t="s">
        <v>2921</v>
      </c>
      <c r="C175" s="126" t="s">
        <v>1969</v>
      </c>
      <c r="D175" s="185" t="s">
        <v>2399</v>
      </c>
      <c r="E175" s="36"/>
      <c r="F175" s="36" t="s">
        <v>2922</v>
      </c>
      <c r="G175" s="36" t="s">
        <v>66</v>
      </c>
      <c r="H175" s="36" t="s">
        <v>67</v>
      </c>
      <c r="I175" s="36" t="s">
        <v>68</v>
      </c>
      <c r="J175" s="92">
        <v>44337.0</v>
      </c>
      <c r="K175" s="20">
        <v>101.0</v>
      </c>
      <c r="L175" s="36" t="s">
        <v>1978</v>
      </c>
      <c r="M175" s="157">
        <v>2004.0</v>
      </c>
      <c r="N175" s="185"/>
      <c r="O175" s="185"/>
      <c r="P175" s="33" t="s">
        <v>2923</v>
      </c>
      <c r="Q175" s="189"/>
      <c r="R175" s="36"/>
      <c r="S175" s="187">
        <v>3500.0</v>
      </c>
      <c r="T175" s="152" t="s">
        <v>2924</v>
      </c>
      <c r="U175" s="188">
        <v>9.5</v>
      </c>
      <c r="V175" s="133">
        <f t="shared" si="22"/>
        <v>9.595</v>
      </c>
      <c r="W175" s="188">
        <v>2.1</v>
      </c>
      <c r="X175" s="133">
        <f t="shared" si="23"/>
        <v>2.121</v>
      </c>
      <c r="Y175" s="188">
        <v>1.1</v>
      </c>
      <c r="Z175" s="133">
        <f t="shared" si="24"/>
        <v>1.111</v>
      </c>
      <c r="AA175" s="188">
        <v>87.4</v>
      </c>
      <c r="AB175" s="133">
        <f t="shared" si="25"/>
        <v>88.274</v>
      </c>
      <c r="AC175" s="188">
        <v>0.0</v>
      </c>
      <c r="AD175" s="133">
        <f t="shared" si="26"/>
        <v>0</v>
      </c>
      <c r="AE175" s="33" t="s">
        <v>2925</v>
      </c>
      <c r="AF175" s="82" t="s">
        <v>2926</v>
      </c>
      <c r="AG175" s="23">
        <v>41753.0</v>
      </c>
      <c r="AH175" s="89">
        <v>2021.0</v>
      </c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</row>
    <row r="176">
      <c r="A176" s="131">
        <f t="shared" ref="A176:A177" si="32">row()-1</f>
        <v>175</v>
      </c>
      <c r="B176" s="25" t="s">
        <v>2927</v>
      </c>
      <c r="C176" s="25"/>
      <c r="D176" s="25" t="s">
        <v>1436</v>
      </c>
      <c r="E176" s="27"/>
      <c r="F176" s="25" t="s">
        <v>2928</v>
      </c>
      <c r="G176" s="25" t="s">
        <v>702</v>
      </c>
      <c r="H176" s="25" t="s">
        <v>67</v>
      </c>
      <c r="I176" s="25" t="s">
        <v>33</v>
      </c>
      <c r="J176" s="127">
        <v>44349.0</v>
      </c>
      <c r="K176" s="25">
        <v>145.0</v>
      </c>
      <c r="L176" s="25" t="s">
        <v>1971</v>
      </c>
      <c r="M176" s="128">
        <v>1957.0</v>
      </c>
      <c r="N176" s="151"/>
      <c r="O176" s="25" t="s">
        <v>1324</v>
      </c>
      <c r="P176" s="129" t="s">
        <v>2929</v>
      </c>
      <c r="Q176" s="138"/>
      <c r="R176" s="25"/>
      <c r="S176" s="132">
        <v>3751.0</v>
      </c>
      <c r="T176" s="152" t="s">
        <v>2930</v>
      </c>
      <c r="U176" s="133">
        <v>3.0</v>
      </c>
      <c r="V176" s="133">
        <f t="shared" si="22"/>
        <v>4.35</v>
      </c>
      <c r="W176" s="133">
        <v>3.0</v>
      </c>
      <c r="X176" s="133">
        <f t="shared" si="23"/>
        <v>4.35</v>
      </c>
      <c r="Y176" s="133">
        <v>4.0</v>
      </c>
      <c r="Z176" s="133">
        <f t="shared" si="24"/>
        <v>5.8</v>
      </c>
      <c r="AA176" s="133">
        <v>89.0</v>
      </c>
      <c r="AB176" s="133">
        <f t="shared" si="25"/>
        <v>129.05</v>
      </c>
      <c r="AC176" s="133">
        <v>0.0</v>
      </c>
      <c r="AD176" s="133">
        <f t="shared" si="26"/>
        <v>0</v>
      </c>
      <c r="AE176" s="129" t="s">
        <v>2931</v>
      </c>
      <c r="AF176" s="31" t="s">
        <v>2932</v>
      </c>
      <c r="AG176" s="147">
        <v>53165.0</v>
      </c>
      <c r="AH176" s="25">
        <v>2021.0</v>
      </c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</row>
    <row r="177">
      <c r="A177" s="28">
        <f t="shared" si="32"/>
        <v>176</v>
      </c>
      <c r="B177" s="36" t="s">
        <v>2933</v>
      </c>
      <c r="C177" s="36"/>
      <c r="D177" s="28" t="s">
        <v>2399</v>
      </c>
      <c r="E177" s="190"/>
      <c r="F177" s="36" t="s">
        <v>2934</v>
      </c>
      <c r="G177" s="36" t="s">
        <v>702</v>
      </c>
      <c r="H177" s="36" t="s">
        <v>67</v>
      </c>
      <c r="I177" s="36" t="s">
        <v>33</v>
      </c>
      <c r="J177" s="92">
        <v>44379.0</v>
      </c>
      <c r="K177" s="157">
        <v>24.0</v>
      </c>
      <c r="L177" s="36" t="s">
        <v>2681</v>
      </c>
      <c r="M177" s="191">
        <v>1895.0</v>
      </c>
      <c r="N177" s="28"/>
      <c r="O177" s="192" t="s">
        <v>1324</v>
      </c>
      <c r="P177" s="193" t="s">
        <v>2935</v>
      </c>
      <c r="Q177" s="186"/>
      <c r="R177" s="194"/>
      <c r="S177" s="195"/>
      <c r="T177" s="196"/>
      <c r="U177" s="197">
        <v>0.0</v>
      </c>
      <c r="V177" s="133">
        <f t="shared" si="22"/>
        <v>0</v>
      </c>
      <c r="W177" s="197">
        <v>0.0</v>
      </c>
      <c r="X177" s="133">
        <f t="shared" si="23"/>
        <v>0</v>
      </c>
      <c r="Y177" s="197">
        <v>0.0</v>
      </c>
      <c r="Z177" s="133">
        <f t="shared" si="24"/>
        <v>0</v>
      </c>
      <c r="AA177" s="197">
        <v>100.0</v>
      </c>
      <c r="AB177" s="133">
        <f t="shared" si="25"/>
        <v>24</v>
      </c>
      <c r="AC177" s="197">
        <v>0.0</v>
      </c>
      <c r="AD177" s="133">
        <f t="shared" si="26"/>
        <v>0</v>
      </c>
      <c r="AE177" s="198" t="s">
        <v>2936</v>
      </c>
      <c r="AF177" s="82" t="s">
        <v>2937</v>
      </c>
      <c r="AG177" s="199">
        <v>72969.0</v>
      </c>
      <c r="AH177" s="89">
        <v>2021.0</v>
      </c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</row>
    <row r="178">
      <c r="A178" s="184">
        <f>ROW()-1</f>
        <v>177</v>
      </c>
      <c r="B178" s="36" t="s">
        <v>2938</v>
      </c>
      <c r="C178" s="126" t="s">
        <v>1969</v>
      </c>
      <c r="D178" s="185" t="s">
        <v>2399</v>
      </c>
      <c r="E178" s="36"/>
      <c r="F178" s="36" t="s">
        <v>2939</v>
      </c>
      <c r="G178" s="36" t="s">
        <v>436</v>
      </c>
      <c r="H178" s="36" t="s">
        <v>32</v>
      </c>
      <c r="I178" s="36" t="s">
        <v>68</v>
      </c>
      <c r="J178" s="92">
        <v>44383.0</v>
      </c>
      <c r="K178" s="20">
        <v>185.0</v>
      </c>
      <c r="L178" s="36" t="s">
        <v>1971</v>
      </c>
      <c r="M178" s="157"/>
      <c r="N178" s="185"/>
      <c r="O178" s="36" t="s">
        <v>1436</v>
      </c>
      <c r="P178" s="33" t="s">
        <v>2940</v>
      </c>
      <c r="Q178" s="189"/>
      <c r="R178" s="36"/>
      <c r="S178" s="187">
        <v>6025.0</v>
      </c>
      <c r="T178" s="152" t="s">
        <v>2941</v>
      </c>
      <c r="U178" s="188">
        <v>9.0</v>
      </c>
      <c r="V178" s="133">
        <f t="shared" si="22"/>
        <v>16.65</v>
      </c>
      <c r="W178" s="188">
        <v>11.0</v>
      </c>
      <c r="X178" s="133">
        <f t="shared" si="23"/>
        <v>20.35</v>
      </c>
      <c r="Y178" s="188">
        <v>0.0</v>
      </c>
      <c r="Z178" s="133">
        <f t="shared" si="24"/>
        <v>0</v>
      </c>
      <c r="AA178" s="188">
        <v>79.0</v>
      </c>
      <c r="AB178" s="133">
        <f t="shared" si="25"/>
        <v>146.15</v>
      </c>
      <c r="AC178" s="188">
        <v>1.0</v>
      </c>
      <c r="AD178" s="133">
        <f t="shared" si="26"/>
        <v>1.85</v>
      </c>
      <c r="AE178" s="33" t="s">
        <v>2941</v>
      </c>
      <c r="AF178" s="82" t="s">
        <v>2942</v>
      </c>
      <c r="AG178" s="23">
        <v>50523.0</v>
      </c>
      <c r="AH178" s="89">
        <v>2021.0</v>
      </c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</row>
    <row r="179">
      <c r="A179" s="131">
        <f t="shared" ref="A179:A451" si="33">row()-1</f>
        <v>178</v>
      </c>
      <c r="B179" s="28" t="s">
        <v>2943</v>
      </c>
      <c r="C179" s="28"/>
      <c r="D179" s="28" t="s">
        <v>2399</v>
      </c>
      <c r="E179" s="27"/>
      <c r="F179" s="28" t="s">
        <v>2944</v>
      </c>
      <c r="G179" s="28" t="s">
        <v>1446</v>
      </c>
      <c r="H179" s="28" t="s">
        <v>32</v>
      </c>
      <c r="I179" s="200" t="s">
        <v>23</v>
      </c>
      <c r="J179" s="201">
        <v>44399.0</v>
      </c>
      <c r="K179" s="28">
        <v>201.0</v>
      </c>
      <c r="L179" s="28" t="s">
        <v>1978</v>
      </c>
      <c r="M179" s="202">
        <v>1956.0</v>
      </c>
      <c r="N179" s="36" t="s">
        <v>2945</v>
      </c>
      <c r="O179" s="203"/>
      <c r="P179" s="204" t="s">
        <v>2946</v>
      </c>
      <c r="Q179" s="186"/>
      <c r="R179" s="194"/>
      <c r="S179" s="205">
        <v>5500.0</v>
      </c>
      <c r="T179" s="206" t="s">
        <v>2947</v>
      </c>
      <c r="U179" s="207">
        <v>8.6</v>
      </c>
      <c r="V179" s="133">
        <f t="shared" si="22"/>
        <v>17.286</v>
      </c>
      <c r="W179" s="194">
        <v>2.5</v>
      </c>
      <c r="X179" s="133">
        <f t="shared" si="23"/>
        <v>5.025</v>
      </c>
      <c r="Y179" s="194">
        <v>3.7</v>
      </c>
      <c r="Z179" s="133">
        <f t="shared" si="24"/>
        <v>7.437</v>
      </c>
      <c r="AA179" s="194">
        <v>85.3</v>
      </c>
      <c r="AB179" s="133">
        <f t="shared" si="25"/>
        <v>171.453</v>
      </c>
      <c r="AC179" s="194">
        <v>0.0</v>
      </c>
      <c r="AD179" s="133">
        <f t="shared" si="26"/>
        <v>0</v>
      </c>
      <c r="AE179" s="208" t="s">
        <v>2948</v>
      </c>
      <c r="AF179" s="209" t="s">
        <v>2949</v>
      </c>
      <c r="AG179" s="199">
        <v>71045.0</v>
      </c>
      <c r="AH179" s="89">
        <v>2021.0</v>
      </c>
      <c r="AI179" s="190"/>
      <c r="AJ179" s="190"/>
      <c r="AK179" s="190"/>
      <c r="AL179" s="190"/>
      <c r="AM179" s="190"/>
      <c r="AN179" s="190"/>
      <c r="AO179" s="190"/>
      <c r="AP179" s="190"/>
      <c r="AQ179" s="190"/>
      <c r="AR179" s="190"/>
      <c r="AS179" s="190"/>
    </row>
    <row r="180">
      <c r="A180" s="131">
        <f t="shared" si="33"/>
        <v>179</v>
      </c>
      <c r="B180" s="36" t="s">
        <v>2950</v>
      </c>
      <c r="C180" s="28"/>
      <c r="D180" s="28" t="s">
        <v>2399</v>
      </c>
      <c r="E180" s="27"/>
      <c r="F180" s="36" t="s">
        <v>395</v>
      </c>
      <c r="G180" s="36" t="s">
        <v>396</v>
      </c>
      <c r="H180" s="28" t="s">
        <v>32</v>
      </c>
      <c r="I180" s="200" t="s">
        <v>23</v>
      </c>
      <c r="J180" s="92">
        <v>44420.0</v>
      </c>
      <c r="K180" s="36">
        <v>204.0</v>
      </c>
      <c r="L180" s="36" t="s">
        <v>2681</v>
      </c>
      <c r="M180" s="210">
        <v>1997.0</v>
      </c>
      <c r="N180" s="36" t="s">
        <v>2951</v>
      </c>
      <c r="O180" s="203"/>
      <c r="P180" s="211" t="s">
        <v>2952</v>
      </c>
      <c r="Q180" s="186"/>
      <c r="R180" s="194"/>
      <c r="S180" s="212">
        <v>7550.0</v>
      </c>
      <c r="T180" s="213" t="s">
        <v>2953</v>
      </c>
      <c r="U180" s="188">
        <v>35.8</v>
      </c>
      <c r="V180" s="133">
        <f t="shared" si="22"/>
        <v>73.032</v>
      </c>
      <c r="W180" s="188">
        <v>3.9</v>
      </c>
      <c r="X180" s="133">
        <f t="shared" si="23"/>
        <v>7.956</v>
      </c>
      <c r="Y180" s="188">
        <v>1.5</v>
      </c>
      <c r="Z180" s="133">
        <f t="shared" si="24"/>
        <v>3.06</v>
      </c>
      <c r="AA180" s="188">
        <v>55.9</v>
      </c>
      <c r="AB180" s="133">
        <f t="shared" si="25"/>
        <v>114.036</v>
      </c>
      <c r="AC180" s="188">
        <v>3.0</v>
      </c>
      <c r="AD180" s="133">
        <f t="shared" si="26"/>
        <v>6.12</v>
      </c>
      <c r="AE180" s="136" t="s">
        <v>2954</v>
      </c>
      <c r="AF180" s="82" t="s">
        <v>2955</v>
      </c>
      <c r="AG180" s="199">
        <v>186699.0</v>
      </c>
      <c r="AH180" s="89">
        <v>2021.0</v>
      </c>
      <c r="AI180" s="190"/>
      <c r="AJ180" s="190"/>
      <c r="AK180" s="190"/>
      <c r="AL180" s="190"/>
      <c r="AM180" s="190"/>
      <c r="AN180" s="190"/>
      <c r="AO180" s="190"/>
      <c r="AP180" s="190"/>
      <c r="AQ180" s="190"/>
      <c r="AR180" s="190"/>
      <c r="AS180" s="190"/>
    </row>
    <row r="181">
      <c r="A181" s="28">
        <f t="shared" si="33"/>
        <v>180</v>
      </c>
      <c r="B181" s="36" t="s">
        <v>2956</v>
      </c>
      <c r="C181" s="36" t="s">
        <v>1969</v>
      </c>
      <c r="D181" s="36" t="s">
        <v>2399</v>
      </c>
      <c r="E181" s="190"/>
      <c r="F181" s="36" t="s">
        <v>2957</v>
      </c>
      <c r="G181" s="36" t="s">
        <v>1306</v>
      </c>
      <c r="H181" s="36" t="s">
        <v>32</v>
      </c>
      <c r="I181" s="36" t="s">
        <v>33</v>
      </c>
      <c r="J181" s="92">
        <v>44475.0</v>
      </c>
      <c r="K181" s="157">
        <v>75.0</v>
      </c>
      <c r="L181" s="36" t="s">
        <v>1971</v>
      </c>
      <c r="M181" s="191">
        <v>1901.0</v>
      </c>
      <c r="N181" s="36" t="s">
        <v>2958</v>
      </c>
      <c r="O181" s="192"/>
      <c r="P181" s="193" t="s">
        <v>2959</v>
      </c>
      <c r="Q181" s="186"/>
      <c r="R181" s="194"/>
      <c r="S181" s="195">
        <v>4150.0</v>
      </c>
      <c r="T181" s="214" t="s">
        <v>2960</v>
      </c>
      <c r="U181" s="197">
        <v>100.0</v>
      </c>
      <c r="V181" s="133">
        <f t="shared" si="22"/>
        <v>75</v>
      </c>
      <c r="W181" s="197">
        <v>0.0</v>
      </c>
      <c r="X181" s="133">
        <f t="shared" si="23"/>
        <v>0</v>
      </c>
      <c r="Y181" s="197">
        <v>0.0</v>
      </c>
      <c r="Z181" s="133">
        <f t="shared" si="24"/>
        <v>0</v>
      </c>
      <c r="AA181" s="197">
        <v>0.0</v>
      </c>
      <c r="AB181" s="133">
        <f t="shared" si="25"/>
        <v>0</v>
      </c>
      <c r="AC181" s="197">
        <v>0.0</v>
      </c>
      <c r="AD181" s="133">
        <f t="shared" si="26"/>
        <v>0</v>
      </c>
      <c r="AE181" s="198" t="s">
        <v>2961</v>
      </c>
      <c r="AF181" s="82" t="s">
        <v>2962</v>
      </c>
      <c r="AG181" s="199">
        <v>128264.0</v>
      </c>
      <c r="AH181" s="89">
        <v>2021.0</v>
      </c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</row>
    <row r="182">
      <c r="A182" s="131">
        <f t="shared" si="33"/>
        <v>181</v>
      </c>
      <c r="B182" s="36" t="s">
        <v>2963</v>
      </c>
      <c r="C182" s="28"/>
      <c r="D182" s="28" t="s">
        <v>2399</v>
      </c>
      <c r="E182" s="27"/>
      <c r="F182" s="36" t="s">
        <v>2964</v>
      </c>
      <c r="G182" s="36" t="s">
        <v>1084</v>
      </c>
      <c r="H182" s="28" t="s">
        <v>32</v>
      </c>
      <c r="I182" s="36" t="s">
        <v>33</v>
      </c>
      <c r="J182" s="92">
        <v>44568.0</v>
      </c>
      <c r="K182" s="36">
        <v>196.0</v>
      </c>
      <c r="L182" s="36" t="s">
        <v>2681</v>
      </c>
      <c r="M182" s="210">
        <v>1957.0</v>
      </c>
      <c r="N182" s="36"/>
      <c r="O182" s="192" t="s">
        <v>1324</v>
      </c>
      <c r="P182" s="211" t="s">
        <v>2965</v>
      </c>
      <c r="Q182" s="186"/>
      <c r="R182" s="194"/>
      <c r="S182" s="212">
        <v>5387.0</v>
      </c>
      <c r="T182" s="213" t="s">
        <v>2966</v>
      </c>
      <c r="U182" s="188">
        <v>2.6</v>
      </c>
      <c r="V182" s="133">
        <f t="shared" si="22"/>
        <v>5.096</v>
      </c>
      <c r="W182" s="188">
        <v>4.6</v>
      </c>
      <c r="X182" s="133">
        <f t="shared" si="23"/>
        <v>9.016</v>
      </c>
      <c r="Y182" s="188">
        <v>4.1</v>
      </c>
      <c r="Z182" s="133">
        <f t="shared" si="24"/>
        <v>8.036</v>
      </c>
      <c r="AA182" s="188">
        <v>87.8</v>
      </c>
      <c r="AB182" s="133">
        <f t="shared" si="25"/>
        <v>172.088</v>
      </c>
      <c r="AC182" s="188">
        <v>1.0</v>
      </c>
      <c r="AD182" s="133">
        <f t="shared" si="26"/>
        <v>1.96</v>
      </c>
      <c r="AE182" s="136" t="s">
        <v>2967</v>
      </c>
      <c r="AF182" s="82" t="s">
        <v>2968</v>
      </c>
      <c r="AG182" s="199">
        <v>83748.0</v>
      </c>
      <c r="AH182" s="89">
        <v>2021.0</v>
      </c>
      <c r="AI182" s="190"/>
      <c r="AJ182" s="190"/>
      <c r="AK182" s="190"/>
      <c r="AL182" s="190"/>
      <c r="AM182" s="190"/>
      <c r="AN182" s="190"/>
      <c r="AO182" s="190"/>
      <c r="AP182" s="190"/>
      <c r="AQ182" s="190"/>
      <c r="AR182" s="190"/>
      <c r="AS182" s="190"/>
    </row>
    <row r="183">
      <c r="A183" s="28">
        <f t="shared" si="33"/>
        <v>182</v>
      </c>
      <c r="B183" s="36" t="s">
        <v>2969</v>
      </c>
      <c r="C183" s="28"/>
      <c r="D183" s="28" t="s">
        <v>2399</v>
      </c>
      <c r="E183" s="190"/>
      <c r="F183" s="36" t="s">
        <v>1083</v>
      </c>
      <c r="G183" s="36" t="s">
        <v>1084</v>
      </c>
      <c r="H183" s="28" t="s">
        <v>32</v>
      </c>
      <c r="I183" s="36" t="s">
        <v>33</v>
      </c>
      <c r="J183" s="92">
        <v>44568.0</v>
      </c>
      <c r="K183" s="157">
        <v>222.0</v>
      </c>
      <c r="L183" s="28" t="s">
        <v>2681</v>
      </c>
      <c r="M183" s="191">
        <v>1924.0</v>
      </c>
      <c r="N183" s="28"/>
      <c r="O183" s="192" t="s">
        <v>1324</v>
      </c>
      <c r="P183" s="193" t="s">
        <v>2965</v>
      </c>
      <c r="Q183" s="186"/>
      <c r="R183" s="194"/>
      <c r="S183" s="195">
        <v>5450.0</v>
      </c>
      <c r="T183" s="211" t="s">
        <v>2970</v>
      </c>
      <c r="U183" s="197">
        <v>97.8</v>
      </c>
      <c r="V183" s="133">
        <f t="shared" si="22"/>
        <v>217.116</v>
      </c>
      <c r="W183" s="197">
        <v>1.1</v>
      </c>
      <c r="X183" s="133">
        <f t="shared" si="23"/>
        <v>2.442</v>
      </c>
      <c r="Y183" s="197">
        <v>0.0</v>
      </c>
      <c r="Z183" s="133">
        <f t="shared" si="24"/>
        <v>0</v>
      </c>
      <c r="AA183" s="197">
        <v>0.0</v>
      </c>
      <c r="AB183" s="133">
        <f t="shared" si="25"/>
        <v>0</v>
      </c>
      <c r="AC183" s="197">
        <v>1.1</v>
      </c>
      <c r="AD183" s="133">
        <f t="shared" si="26"/>
        <v>2.442</v>
      </c>
      <c r="AE183" s="198" t="s">
        <v>2971</v>
      </c>
      <c r="AF183" s="215" t="s">
        <v>2972</v>
      </c>
      <c r="AG183" s="199">
        <v>160164.0</v>
      </c>
      <c r="AH183" s="89">
        <v>2021.0</v>
      </c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</row>
    <row r="184">
      <c r="A184" s="28">
        <f t="shared" si="33"/>
        <v>183</v>
      </c>
      <c r="B184" s="36" t="s">
        <v>2973</v>
      </c>
      <c r="C184" s="28"/>
      <c r="D184" s="28" t="s">
        <v>2399</v>
      </c>
      <c r="E184" s="190"/>
      <c r="F184" s="36" t="s">
        <v>2974</v>
      </c>
      <c r="G184" s="36" t="s">
        <v>1084</v>
      </c>
      <c r="H184" s="28" t="s">
        <v>32</v>
      </c>
      <c r="I184" s="36" t="s">
        <v>33</v>
      </c>
      <c r="J184" s="92">
        <v>44568.0</v>
      </c>
      <c r="K184" s="157">
        <v>537.0</v>
      </c>
      <c r="L184" s="28" t="s">
        <v>2681</v>
      </c>
      <c r="M184" s="63"/>
      <c r="N184" s="28"/>
      <c r="O184" s="192" t="s">
        <v>1324</v>
      </c>
      <c r="P184" s="193" t="s">
        <v>2965</v>
      </c>
      <c r="Q184" s="186"/>
      <c r="R184" s="194"/>
      <c r="S184" s="195">
        <v>5762.0</v>
      </c>
      <c r="T184" s="211" t="s">
        <v>2975</v>
      </c>
      <c r="U184" s="197">
        <v>22.2</v>
      </c>
      <c r="V184" s="133">
        <f t="shared" si="22"/>
        <v>119.214</v>
      </c>
      <c r="W184" s="197">
        <v>5.4</v>
      </c>
      <c r="X184" s="133">
        <f t="shared" si="23"/>
        <v>28.998</v>
      </c>
      <c r="Y184" s="197">
        <v>17.0</v>
      </c>
      <c r="Z184" s="133">
        <f t="shared" si="24"/>
        <v>91.29</v>
      </c>
      <c r="AA184" s="197">
        <v>54.8</v>
      </c>
      <c r="AB184" s="133">
        <f t="shared" si="25"/>
        <v>294.276</v>
      </c>
      <c r="AC184" s="197">
        <v>0.7</v>
      </c>
      <c r="AD184" s="133">
        <f t="shared" si="26"/>
        <v>3.759</v>
      </c>
      <c r="AE184" s="198" t="s">
        <v>2976</v>
      </c>
      <c r="AF184" s="82" t="s">
        <v>2977</v>
      </c>
      <c r="AG184" s="199">
        <v>76227.0</v>
      </c>
      <c r="AH184" s="89">
        <v>2021.0</v>
      </c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</row>
    <row r="185">
      <c r="A185" s="28">
        <f t="shared" si="33"/>
        <v>184</v>
      </c>
      <c r="B185" s="36" t="s">
        <v>2644</v>
      </c>
      <c r="C185" s="36" t="s">
        <v>1969</v>
      </c>
      <c r="D185" s="28" t="s">
        <v>2399</v>
      </c>
      <c r="E185" s="190"/>
      <c r="F185" s="36" t="s">
        <v>2978</v>
      </c>
      <c r="G185" s="36" t="s">
        <v>100</v>
      </c>
      <c r="H185" s="36" t="s">
        <v>43</v>
      </c>
      <c r="I185" s="36" t="s">
        <v>33</v>
      </c>
      <c r="J185" s="92">
        <v>44568.0</v>
      </c>
      <c r="K185" s="157">
        <v>126.0</v>
      </c>
      <c r="L185" s="36" t="s">
        <v>1971</v>
      </c>
      <c r="M185" s="191">
        <v>2019.0</v>
      </c>
      <c r="N185" s="28"/>
      <c r="O185" s="192" t="s">
        <v>1324</v>
      </c>
      <c r="P185" s="193" t="s">
        <v>2979</v>
      </c>
      <c r="Q185" s="186"/>
      <c r="R185" s="194"/>
      <c r="S185" s="195">
        <v>5425.0</v>
      </c>
      <c r="T185" s="211" t="s">
        <v>2980</v>
      </c>
      <c r="U185" s="197"/>
      <c r="V185" s="133" t="str">
        <f t="shared" si="22"/>
        <v/>
      </c>
      <c r="W185" s="197"/>
      <c r="X185" s="133" t="str">
        <f t="shared" si="23"/>
        <v/>
      </c>
      <c r="Y185" s="197"/>
      <c r="Z185" s="133" t="str">
        <f t="shared" si="24"/>
        <v/>
      </c>
      <c r="AA185" s="197"/>
      <c r="AB185" s="133" t="str">
        <f t="shared" si="25"/>
        <v/>
      </c>
      <c r="AC185" s="197"/>
      <c r="AD185" s="133" t="str">
        <f t="shared" si="26"/>
        <v/>
      </c>
      <c r="AE185" s="198"/>
      <c r="AF185" s="82" t="s">
        <v>2981</v>
      </c>
      <c r="AG185" s="199">
        <v>134560.0</v>
      </c>
      <c r="AH185" s="89">
        <v>2021.0</v>
      </c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</row>
    <row r="186">
      <c r="A186" s="28">
        <f t="shared" si="33"/>
        <v>185</v>
      </c>
      <c r="B186" s="36" t="s">
        <v>2982</v>
      </c>
      <c r="C186" s="36" t="s">
        <v>1969</v>
      </c>
      <c r="D186" s="28" t="s">
        <v>2399</v>
      </c>
      <c r="E186" s="190"/>
      <c r="F186" s="36" t="s">
        <v>2983</v>
      </c>
      <c r="G186" s="36" t="s">
        <v>327</v>
      </c>
      <c r="H186" s="36" t="s">
        <v>67</v>
      </c>
      <c r="I186" s="36" t="s">
        <v>68</v>
      </c>
      <c r="J186" s="92">
        <v>44582.0</v>
      </c>
      <c r="K186" s="157">
        <v>272.0</v>
      </c>
      <c r="L186" s="36" t="s">
        <v>2681</v>
      </c>
      <c r="M186" s="191"/>
      <c r="N186" s="36" t="s">
        <v>2984</v>
      </c>
      <c r="O186" s="192" t="s">
        <v>1324</v>
      </c>
      <c r="P186" s="193" t="s">
        <v>2985</v>
      </c>
      <c r="Q186" s="186"/>
      <c r="R186" s="194"/>
      <c r="S186" s="195">
        <v>8946.0</v>
      </c>
      <c r="T186" s="214" t="s">
        <v>2986</v>
      </c>
      <c r="U186" s="197">
        <v>98.5</v>
      </c>
      <c r="V186" s="133">
        <f t="shared" si="22"/>
        <v>267.92</v>
      </c>
      <c r="W186" s="197">
        <v>1.5</v>
      </c>
      <c r="X186" s="133">
        <f t="shared" si="23"/>
        <v>4.08</v>
      </c>
      <c r="Y186" s="197">
        <v>0.0</v>
      </c>
      <c r="Z186" s="133">
        <f t="shared" si="24"/>
        <v>0</v>
      </c>
      <c r="AA186" s="197">
        <v>0.0</v>
      </c>
      <c r="AB186" s="133">
        <f t="shared" si="25"/>
        <v>0</v>
      </c>
      <c r="AC186" s="197">
        <v>0.0</v>
      </c>
      <c r="AD186" s="133">
        <f t="shared" si="26"/>
        <v>0</v>
      </c>
      <c r="AE186" s="198" t="s">
        <v>2987</v>
      </c>
      <c r="AF186" s="82" t="s">
        <v>2988</v>
      </c>
      <c r="AG186" s="199">
        <v>28645.0</v>
      </c>
      <c r="AH186" s="89">
        <v>2021.0</v>
      </c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</row>
    <row r="187">
      <c r="A187" s="28">
        <f t="shared" si="33"/>
        <v>186</v>
      </c>
      <c r="B187" s="36" t="s">
        <v>2989</v>
      </c>
      <c r="C187" s="36" t="s">
        <v>1969</v>
      </c>
      <c r="D187" s="36" t="s">
        <v>2399</v>
      </c>
      <c r="E187" s="190"/>
      <c r="F187" s="36" t="s">
        <v>2990</v>
      </c>
      <c r="G187" s="36" t="s">
        <v>83</v>
      </c>
      <c r="H187" s="36" t="s">
        <v>43</v>
      </c>
      <c r="I187" s="36" t="s">
        <v>33</v>
      </c>
      <c r="J187" s="92">
        <v>44582.0</v>
      </c>
      <c r="K187" s="157">
        <v>288.0</v>
      </c>
      <c r="L187" s="36" t="s">
        <v>2681</v>
      </c>
      <c r="M187" s="191">
        <v>1973.0</v>
      </c>
      <c r="N187" s="36" t="s">
        <v>2991</v>
      </c>
      <c r="O187" s="192" t="s">
        <v>1324</v>
      </c>
      <c r="P187" s="193" t="s">
        <v>2992</v>
      </c>
      <c r="Q187" s="186"/>
      <c r="R187" s="194"/>
      <c r="S187" s="195">
        <v>4725.0</v>
      </c>
      <c r="T187" s="214" t="s">
        <v>2993</v>
      </c>
      <c r="U187" s="197">
        <v>8.4</v>
      </c>
      <c r="V187" s="133">
        <f t="shared" si="22"/>
        <v>24.192</v>
      </c>
      <c r="W187" s="197">
        <v>19.3</v>
      </c>
      <c r="X187" s="133">
        <f t="shared" si="23"/>
        <v>55.584</v>
      </c>
      <c r="Y187" s="197">
        <v>2.1</v>
      </c>
      <c r="Z187" s="133">
        <f t="shared" si="24"/>
        <v>6.048</v>
      </c>
      <c r="AA187" s="197">
        <v>60.3</v>
      </c>
      <c r="AB187" s="133">
        <f t="shared" si="25"/>
        <v>173.664</v>
      </c>
      <c r="AC187" s="197">
        <v>9.6</v>
      </c>
      <c r="AD187" s="133">
        <f t="shared" si="26"/>
        <v>27.648</v>
      </c>
      <c r="AE187" s="198" t="s">
        <v>2994</v>
      </c>
      <c r="AF187" s="82" t="s">
        <v>2995</v>
      </c>
      <c r="AG187" s="199">
        <v>35359.0</v>
      </c>
      <c r="AH187" s="89">
        <v>2021.0</v>
      </c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</row>
    <row r="188">
      <c r="A188" s="28">
        <f t="shared" si="33"/>
        <v>187</v>
      </c>
      <c r="B188" s="36" t="s">
        <v>2996</v>
      </c>
      <c r="C188" s="36" t="s">
        <v>1969</v>
      </c>
      <c r="D188" s="36" t="s">
        <v>2399</v>
      </c>
      <c r="E188" s="190"/>
      <c r="F188" s="36" t="s">
        <v>164</v>
      </c>
      <c r="G188" s="36" t="s">
        <v>165</v>
      </c>
      <c r="H188" s="36" t="s">
        <v>22</v>
      </c>
      <c r="I188" s="36" t="s">
        <v>33</v>
      </c>
      <c r="J188" s="92">
        <v>44593.0</v>
      </c>
      <c r="K188" s="157">
        <v>146.0</v>
      </c>
      <c r="L188" s="36" t="s">
        <v>1971</v>
      </c>
      <c r="M188" s="191">
        <v>1964.0</v>
      </c>
      <c r="N188" s="36"/>
      <c r="O188" s="192" t="s">
        <v>1324</v>
      </c>
      <c r="P188" s="193" t="s">
        <v>2997</v>
      </c>
      <c r="Q188" s="189"/>
      <c r="R188" s="188"/>
      <c r="S188" s="195">
        <v>5250.0</v>
      </c>
      <c r="T188" s="214" t="s">
        <v>2998</v>
      </c>
      <c r="U188" s="197">
        <v>7.9</v>
      </c>
      <c r="V188" s="133">
        <f t="shared" si="22"/>
        <v>11.534</v>
      </c>
      <c r="W188" s="197">
        <v>69.3</v>
      </c>
      <c r="X188" s="133">
        <f t="shared" si="23"/>
        <v>101.178</v>
      </c>
      <c r="Y188" s="197">
        <v>5.4</v>
      </c>
      <c r="Z188" s="133">
        <f t="shared" si="24"/>
        <v>7.884</v>
      </c>
      <c r="AA188" s="197">
        <v>12.0</v>
      </c>
      <c r="AB188" s="133">
        <f t="shared" si="25"/>
        <v>17.52</v>
      </c>
      <c r="AC188" s="197">
        <v>4.6</v>
      </c>
      <c r="AD188" s="133">
        <f t="shared" si="26"/>
        <v>6.716</v>
      </c>
      <c r="AE188" s="198" t="s">
        <v>2999</v>
      </c>
      <c r="AF188" s="82" t="s">
        <v>3000</v>
      </c>
      <c r="AG188" s="199">
        <v>42571.0</v>
      </c>
      <c r="AH188" s="89">
        <v>2021.0</v>
      </c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</row>
    <row r="189">
      <c r="A189" s="28">
        <f t="shared" si="33"/>
        <v>188</v>
      </c>
      <c r="B189" s="36" t="s">
        <v>3001</v>
      </c>
      <c r="C189" s="36"/>
      <c r="D189" s="36" t="s">
        <v>2399</v>
      </c>
      <c r="E189" s="190"/>
      <c r="F189" s="36" t="s">
        <v>622</v>
      </c>
      <c r="G189" s="36" t="s">
        <v>623</v>
      </c>
      <c r="H189" s="36" t="s">
        <v>43</v>
      </c>
      <c r="I189" s="36" t="s">
        <v>33</v>
      </c>
      <c r="J189" s="92">
        <v>44607.0</v>
      </c>
      <c r="K189" s="157">
        <v>80.0</v>
      </c>
      <c r="L189" s="36" t="s">
        <v>2681</v>
      </c>
      <c r="M189" s="191"/>
      <c r="N189" s="36" t="s">
        <v>3002</v>
      </c>
      <c r="O189" s="192" t="s">
        <v>1324</v>
      </c>
      <c r="P189" s="193" t="s">
        <v>3003</v>
      </c>
      <c r="Q189" s="186"/>
      <c r="R189" s="194"/>
      <c r="S189" s="195">
        <v>6200.0</v>
      </c>
      <c r="T189" s="214" t="s">
        <v>3004</v>
      </c>
      <c r="U189" s="197">
        <v>0.0</v>
      </c>
      <c r="V189" s="133">
        <f t="shared" si="22"/>
        <v>0</v>
      </c>
      <c r="W189" s="197">
        <v>0.0</v>
      </c>
      <c r="X189" s="133">
        <f t="shared" si="23"/>
        <v>0</v>
      </c>
      <c r="Y189" s="197">
        <v>0.0</v>
      </c>
      <c r="Z189" s="133">
        <f t="shared" si="24"/>
        <v>0</v>
      </c>
      <c r="AA189" s="197">
        <v>93.8</v>
      </c>
      <c r="AB189" s="133">
        <f t="shared" si="25"/>
        <v>75.04</v>
      </c>
      <c r="AC189" s="197">
        <v>6.3</v>
      </c>
      <c r="AD189" s="133">
        <f t="shared" si="26"/>
        <v>5.04</v>
      </c>
      <c r="AE189" s="198" t="s">
        <v>3005</v>
      </c>
      <c r="AF189" s="82" t="s">
        <v>3006</v>
      </c>
      <c r="AG189" s="199">
        <v>54061.0</v>
      </c>
      <c r="AH189" s="89">
        <v>2021.0</v>
      </c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</row>
    <row r="190">
      <c r="A190" s="28">
        <f t="shared" si="33"/>
        <v>189</v>
      </c>
      <c r="B190" s="36" t="s">
        <v>3007</v>
      </c>
      <c r="C190" s="36" t="s">
        <v>1969</v>
      </c>
      <c r="D190" s="36" t="s">
        <v>2399</v>
      </c>
      <c r="E190" s="190"/>
      <c r="F190" s="36" t="s">
        <v>3008</v>
      </c>
      <c r="G190" s="36" t="s">
        <v>76</v>
      </c>
      <c r="H190" s="36" t="s">
        <v>43</v>
      </c>
      <c r="I190" s="36" t="s">
        <v>33</v>
      </c>
      <c r="J190" s="92">
        <v>44608.0</v>
      </c>
      <c r="K190" s="157">
        <v>110.0</v>
      </c>
      <c r="L190" s="36" t="s">
        <v>1971</v>
      </c>
      <c r="M190" s="191">
        <v>1977.0</v>
      </c>
      <c r="N190" s="36"/>
      <c r="O190" s="192" t="s">
        <v>1324</v>
      </c>
      <c r="P190" s="193" t="s">
        <v>3009</v>
      </c>
      <c r="Q190" s="186"/>
      <c r="R190" s="194"/>
      <c r="S190" s="195">
        <v>7500.0</v>
      </c>
      <c r="T190" s="214" t="s">
        <v>3010</v>
      </c>
      <c r="U190" s="197">
        <v>39.7</v>
      </c>
      <c r="V190" s="133">
        <f t="shared" si="22"/>
        <v>43.67</v>
      </c>
      <c r="W190" s="197">
        <v>6.4</v>
      </c>
      <c r="X190" s="133">
        <f t="shared" si="23"/>
        <v>7.04</v>
      </c>
      <c r="Y190" s="197">
        <v>28.4</v>
      </c>
      <c r="Z190" s="133">
        <f t="shared" si="24"/>
        <v>31.24</v>
      </c>
      <c r="AA190" s="197">
        <v>19.9</v>
      </c>
      <c r="AB190" s="133">
        <f t="shared" si="25"/>
        <v>21.89</v>
      </c>
      <c r="AC190" s="197">
        <v>5.7</v>
      </c>
      <c r="AD190" s="133">
        <f t="shared" si="26"/>
        <v>6.27</v>
      </c>
      <c r="AE190" s="198" t="s">
        <v>3011</v>
      </c>
      <c r="AF190" s="82" t="s">
        <v>3012</v>
      </c>
      <c r="AG190" s="199">
        <v>68019.0</v>
      </c>
      <c r="AH190" s="89">
        <v>2021.0</v>
      </c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</row>
    <row r="191">
      <c r="A191" s="28">
        <f t="shared" si="33"/>
        <v>190</v>
      </c>
      <c r="B191" s="36" t="s">
        <v>3013</v>
      </c>
      <c r="C191" s="36"/>
      <c r="D191" s="36" t="s">
        <v>2399</v>
      </c>
      <c r="E191" s="190"/>
      <c r="F191" s="36" t="s">
        <v>3014</v>
      </c>
      <c r="G191" s="36" t="s">
        <v>1306</v>
      </c>
      <c r="H191" s="36" t="s">
        <v>32</v>
      </c>
      <c r="I191" s="36" t="s">
        <v>33</v>
      </c>
      <c r="J191" s="92">
        <v>44611.0</v>
      </c>
      <c r="K191" s="157">
        <v>121.0</v>
      </c>
      <c r="L191" s="36" t="s">
        <v>2681</v>
      </c>
      <c r="M191" s="191">
        <v>1952.0</v>
      </c>
      <c r="N191" s="36" t="s">
        <v>3015</v>
      </c>
      <c r="O191" s="192"/>
      <c r="P191" s="193" t="s">
        <v>3016</v>
      </c>
      <c r="Q191" s="186"/>
      <c r="R191" s="194"/>
      <c r="S191" s="195">
        <v>6125.0</v>
      </c>
      <c r="T191" s="214" t="s">
        <v>3017</v>
      </c>
      <c r="U191" s="197">
        <v>22.3</v>
      </c>
      <c r="V191" s="133">
        <f t="shared" si="22"/>
        <v>26.983</v>
      </c>
      <c r="W191" s="197">
        <v>5.8</v>
      </c>
      <c r="X191" s="133">
        <f t="shared" si="23"/>
        <v>7.018</v>
      </c>
      <c r="Y191" s="197">
        <v>4.9</v>
      </c>
      <c r="Z191" s="133">
        <f t="shared" si="24"/>
        <v>5.929</v>
      </c>
      <c r="AA191" s="197">
        <v>52.1</v>
      </c>
      <c r="AB191" s="133">
        <f t="shared" si="25"/>
        <v>63.041</v>
      </c>
      <c r="AC191" s="197">
        <v>9.1</v>
      </c>
      <c r="AD191" s="133">
        <f t="shared" si="26"/>
        <v>11.011</v>
      </c>
      <c r="AE191" s="198" t="s">
        <v>3018</v>
      </c>
      <c r="AF191" s="82" t="s">
        <v>3019</v>
      </c>
      <c r="AG191" s="199">
        <v>39513.0</v>
      </c>
      <c r="AH191" s="89">
        <v>2021.0</v>
      </c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</row>
    <row r="192">
      <c r="A192" s="28">
        <f t="shared" si="33"/>
        <v>191</v>
      </c>
      <c r="B192" s="36" t="s">
        <v>3020</v>
      </c>
      <c r="C192" s="36"/>
      <c r="D192" s="36" t="s">
        <v>2399</v>
      </c>
      <c r="E192" s="190"/>
      <c r="F192" s="36" t="s">
        <v>3021</v>
      </c>
      <c r="G192" s="36" t="s">
        <v>107</v>
      </c>
      <c r="H192" s="36" t="s">
        <v>43</v>
      </c>
      <c r="I192" s="36" t="s">
        <v>506</v>
      </c>
      <c r="J192" s="92">
        <v>44645.0</v>
      </c>
      <c r="K192" s="157">
        <v>6.0</v>
      </c>
      <c r="L192" s="36" t="s">
        <v>1971</v>
      </c>
      <c r="M192" s="191">
        <v>1970.0</v>
      </c>
      <c r="N192" s="36"/>
      <c r="O192" s="192" t="s">
        <v>1324</v>
      </c>
      <c r="P192" s="193" t="s">
        <v>3022</v>
      </c>
      <c r="Q192" s="189"/>
      <c r="R192" s="188"/>
      <c r="S192" s="195">
        <v>2700.0</v>
      </c>
      <c r="T192" s="214" t="s">
        <v>3023</v>
      </c>
      <c r="U192" s="197">
        <v>5.7</v>
      </c>
      <c r="V192" s="133">
        <f t="shared" si="22"/>
        <v>0.342</v>
      </c>
      <c r="W192" s="197">
        <v>0.0</v>
      </c>
      <c r="X192" s="133">
        <f t="shared" si="23"/>
        <v>0</v>
      </c>
      <c r="Y192" s="197">
        <v>2.9</v>
      </c>
      <c r="Z192" s="133">
        <f t="shared" si="24"/>
        <v>0.174</v>
      </c>
      <c r="AA192" s="197">
        <v>91.4</v>
      </c>
      <c r="AB192" s="133">
        <f t="shared" si="25"/>
        <v>5.484</v>
      </c>
      <c r="AC192" s="197">
        <v>0.0</v>
      </c>
      <c r="AD192" s="133">
        <f t="shared" si="26"/>
        <v>0</v>
      </c>
      <c r="AE192" s="198" t="s">
        <v>3024</v>
      </c>
      <c r="AF192" s="82" t="s">
        <v>3025</v>
      </c>
      <c r="AG192" s="199">
        <v>84406.0</v>
      </c>
      <c r="AH192" s="89">
        <v>2021.0</v>
      </c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</row>
    <row r="193">
      <c r="A193" s="28">
        <f t="shared" si="33"/>
        <v>192</v>
      </c>
      <c r="B193" s="36" t="s">
        <v>3026</v>
      </c>
      <c r="C193" s="36" t="s">
        <v>1969</v>
      </c>
      <c r="D193" s="36" t="s">
        <v>2399</v>
      </c>
      <c r="E193" s="190"/>
      <c r="F193" s="36" t="s">
        <v>3027</v>
      </c>
      <c r="G193" s="36" t="s">
        <v>1084</v>
      </c>
      <c r="H193" s="36" t="s">
        <v>32</v>
      </c>
      <c r="I193" s="36" t="s">
        <v>23</v>
      </c>
      <c r="J193" s="92">
        <v>44663.0</v>
      </c>
      <c r="K193" s="157">
        <v>188.0</v>
      </c>
      <c r="L193" s="36" t="s">
        <v>1971</v>
      </c>
      <c r="M193" s="191">
        <v>2000.0</v>
      </c>
      <c r="N193" s="36"/>
      <c r="O193" s="192" t="s">
        <v>1436</v>
      </c>
      <c r="P193" s="193" t="s">
        <v>3028</v>
      </c>
      <c r="Q193" s="186"/>
      <c r="R193" s="194"/>
      <c r="S193" s="195">
        <v>11145.0</v>
      </c>
      <c r="T193" s="214" t="s">
        <v>3029</v>
      </c>
      <c r="U193" s="197">
        <v>17.7</v>
      </c>
      <c r="V193" s="133">
        <f t="shared" si="22"/>
        <v>33.276</v>
      </c>
      <c r="W193" s="197">
        <v>7.6</v>
      </c>
      <c r="X193" s="133">
        <f t="shared" si="23"/>
        <v>14.288</v>
      </c>
      <c r="Y193" s="197">
        <v>8.4</v>
      </c>
      <c r="Z193" s="133">
        <f t="shared" si="24"/>
        <v>15.792</v>
      </c>
      <c r="AA193" s="197">
        <v>66.4</v>
      </c>
      <c r="AB193" s="133">
        <f t="shared" si="25"/>
        <v>124.832</v>
      </c>
      <c r="AC193" s="197">
        <v>0.0</v>
      </c>
      <c r="AD193" s="133">
        <f t="shared" si="26"/>
        <v>0</v>
      </c>
      <c r="AE193" s="198" t="s">
        <v>3030</v>
      </c>
      <c r="AF193" s="82" t="s">
        <v>3031</v>
      </c>
      <c r="AG193" s="199">
        <v>94092.0</v>
      </c>
      <c r="AH193" s="89">
        <v>2021.0</v>
      </c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</row>
    <row r="194">
      <c r="A194" s="28">
        <f t="shared" si="33"/>
        <v>193</v>
      </c>
      <c r="B194" s="36" t="s">
        <v>3032</v>
      </c>
      <c r="C194" s="36"/>
      <c r="D194" s="36" t="s">
        <v>2399</v>
      </c>
      <c r="E194" s="190"/>
      <c r="F194" s="36" t="s">
        <v>1092</v>
      </c>
      <c r="G194" s="36" t="s">
        <v>21</v>
      </c>
      <c r="H194" s="36" t="s">
        <v>22</v>
      </c>
      <c r="I194" s="36" t="s">
        <v>33</v>
      </c>
      <c r="J194" s="92">
        <v>44664.0</v>
      </c>
      <c r="K194" s="157">
        <v>183.0</v>
      </c>
      <c r="L194" s="36" t="s">
        <v>2681</v>
      </c>
      <c r="M194" s="191">
        <v>1897.0</v>
      </c>
      <c r="N194" s="36" t="s">
        <v>3033</v>
      </c>
      <c r="O194" s="192" t="s">
        <v>1324</v>
      </c>
      <c r="P194" s="193" t="s">
        <v>3034</v>
      </c>
      <c r="Q194" s="186"/>
      <c r="R194" s="194"/>
      <c r="S194" s="195">
        <v>3670.0</v>
      </c>
      <c r="T194" s="214" t="s">
        <v>3035</v>
      </c>
      <c r="U194" s="197">
        <v>0.0</v>
      </c>
      <c r="V194" s="133">
        <f t="shared" si="22"/>
        <v>0</v>
      </c>
      <c r="W194" s="197">
        <v>95.9</v>
      </c>
      <c r="X194" s="133">
        <f t="shared" si="23"/>
        <v>175.497</v>
      </c>
      <c r="Y194" s="197">
        <v>3.1</v>
      </c>
      <c r="Z194" s="133">
        <f t="shared" si="24"/>
        <v>5.673</v>
      </c>
      <c r="AA194" s="197">
        <v>0.0</v>
      </c>
      <c r="AB194" s="133">
        <f t="shared" si="25"/>
        <v>0</v>
      </c>
      <c r="AC194" s="197">
        <v>1.0</v>
      </c>
      <c r="AD194" s="133">
        <f t="shared" si="26"/>
        <v>1.83</v>
      </c>
      <c r="AE194" s="198" t="s">
        <v>3036</v>
      </c>
      <c r="AF194" s="82" t="s">
        <v>3037</v>
      </c>
      <c r="AG194" s="199">
        <v>49536.0</v>
      </c>
      <c r="AH194" s="89">
        <v>2021.0</v>
      </c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</row>
    <row r="195">
      <c r="A195" s="28">
        <f t="shared" si="33"/>
        <v>194</v>
      </c>
      <c r="B195" s="36" t="s">
        <v>3038</v>
      </c>
      <c r="C195" s="36"/>
      <c r="D195" s="36" t="s">
        <v>2399</v>
      </c>
      <c r="E195" s="190"/>
      <c r="F195" s="36" t="s">
        <v>3039</v>
      </c>
      <c r="G195" s="36" t="s">
        <v>702</v>
      </c>
      <c r="H195" s="36" t="s">
        <v>67</v>
      </c>
      <c r="I195" s="36" t="s">
        <v>33</v>
      </c>
      <c r="J195" s="92">
        <v>44676.0</v>
      </c>
      <c r="K195" s="157">
        <v>100.0</v>
      </c>
      <c r="L195" s="36" t="s">
        <v>1971</v>
      </c>
      <c r="M195" s="191">
        <v>1923.0</v>
      </c>
      <c r="N195" s="36"/>
      <c r="O195" s="192" t="s">
        <v>1324</v>
      </c>
      <c r="P195" s="193" t="s">
        <v>3040</v>
      </c>
      <c r="Q195" s="189">
        <v>85.0</v>
      </c>
      <c r="R195" s="216" t="s">
        <v>3041</v>
      </c>
      <c r="S195" s="195">
        <v>5490.0</v>
      </c>
      <c r="T195" s="214" t="s">
        <v>3042</v>
      </c>
      <c r="U195" s="197">
        <v>2.3</v>
      </c>
      <c r="V195" s="133">
        <f t="shared" si="22"/>
        <v>2.3</v>
      </c>
      <c r="W195" s="197">
        <v>1.6</v>
      </c>
      <c r="X195" s="133">
        <f t="shared" si="23"/>
        <v>1.6</v>
      </c>
      <c r="Y195" s="197">
        <v>3.9</v>
      </c>
      <c r="Z195" s="133">
        <f t="shared" si="24"/>
        <v>3.9</v>
      </c>
      <c r="AA195" s="197">
        <v>89.5</v>
      </c>
      <c r="AB195" s="133">
        <f t="shared" si="25"/>
        <v>89.5</v>
      </c>
      <c r="AC195" s="197">
        <v>2.7</v>
      </c>
      <c r="AD195" s="133">
        <f t="shared" si="26"/>
        <v>2.7</v>
      </c>
      <c r="AE195" s="198" t="s">
        <v>3041</v>
      </c>
      <c r="AF195" s="82" t="s">
        <v>3043</v>
      </c>
      <c r="AG195" s="199">
        <v>83758.0</v>
      </c>
      <c r="AH195" s="89">
        <v>2021.0</v>
      </c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</row>
    <row r="196">
      <c r="A196" s="28">
        <f t="shared" si="33"/>
        <v>195</v>
      </c>
      <c r="B196" s="36" t="s">
        <v>3044</v>
      </c>
      <c r="C196" s="36"/>
      <c r="D196" s="36" t="s">
        <v>2399</v>
      </c>
      <c r="E196" s="190"/>
      <c r="F196" s="36" t="s">
        <v>3045</v>
      </c>
      <c r="G196" s="36" t="s">
        <v>1162</v>
      </c>
      <c r="H196" s="36" t="s">
        <v>67</v>
      </c>
      <c r="I196" s="36" t="s">
        <v>33</v>
      </c>
      <c r="J196" s="92">
        <v>44683.0</v>
      </c>
      <c r="K196" s="157">
        <v>165.0</v>
      </c>
      <c r="L196" s="36" t="s">
        <v>1971</v>
      </c>
      <c r="M196" s="191">
        <v>1966.0</v>
      </c>
      <c r="N196" s="36"/>
      <c r="O196" s="192" t="s">
        <v>1324</v>
      </c>
      <c r="P196" s="193" t="s">
        <v>3046</v>
      </c>
      <c r="Q196" s="189"/>
      <c r="R196" s="188"/>
      <c r="S196" s="195">
        <v>6087.0</v>
      </c>
      <c r="T196" s="214" t="s">
        <v>3047</v>
      </c>
      <c r="U196" s="197">
        <v>9.6</v>
      </c>
      <c r="V196" s="133">
        <f t="shared" si="22"/>
        <v>15.84</v>
      </c>
      <c r="W196" s="197">
        <v>21.5</v>
      </c>
      <c r="X196" s="133">
        <f t="shared" si="23"/>
        <v>35.475</v>
      </c>
      <c r="Y196" s="197">
        <v>23.3</v>
      </c>
      <c r="Z196" s="133">
        <f t="shared" si="24"/>
        <v>38.445</v>
      </c>
      <c r="AA196" s="197">
        <v>40.2</v>
      </c>
      <c r="AB196" s="133">
        <f t="shared" si="25"/>
        <v>66.33</v>
      </c>
      <c r="AC196" s="197">
        <v>5.5</v>
      </c>
      <c r="AD196" s="133">
        <f t="shared" si="26"/>
        <v>9.075</v>
      </c>
      <c r="AE196" s="198" t="s">
        <v>3048</v>
      </c>
      <c r="AF196" s="82" t="s">
        <v>3049</v>
      </c>
      <c r="AG196" s="199">
        <v>77319.0</v>
      </c>
      <c r="AH196" s="89">
        <v>2021.0</v>
      </c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</row>
    <row r="197">
      <c r="A197" s="28">
        <f t="shared" si="33"/>
        <v>196</v>
      </c>
      <c r="B197" s="36" t="s">
        <v>3050</v>
      </c>
      <c r="C197" s="36" t="s">
        <v>1969</v>
      </c>
      <c r="D197" s="36" t="s">
        <v>2399</v>
      </c>
      <c r="E197" s="190"/>
      <c r="F197" s="36" t="s">
        <v>3051</v>
      </c>
      <c r="G197" s="36" t="s">
        <v>100</v>
      </c>
      <c r="H197" s="36" t="s">
        <v>43</v>
      </c>
      <c r="I197" s="36" t="s">
        <v>33</v>
      </c>
      <c r="J197" s="92">
        <v>44691.0</v>
      </c>
      <c r="K197" s="157">
        <v>220.0</v>
      </c>
      <c r="L197" s="36" t="s">
        <v>1971</v>
      </c>
      <c r="M197" s="191">
        <v>1961.0</v>
      </c>
      <c r="N197" s="36"/>
      <c r="O197" s="192" t="s">
        <v>1324</v>
      </c>
      <c r="P197" s="193" t="s">
        <v>3052</v>
      </c>
      <c r="Q197" s="189"/>
      <c r="R197" s="188"/>
      <c r="S197" s="195">
        <v>13545.0</v>
      </c>
      <c r="T197" s="214" t="s">
        <v>3053</v>
      </c>
      <c r="U197" s="197">
        <v>9.4</v>
      </c>
      <c r="V197" s="133">
        <f t="shared" si="22"/>
        <v>20.68</v>
      </c>
      <c r="W197" s="197">
        <v>2.2</v>
      </c>
      <c r="X197" s="133">
        <f t="shared" si="23"/>
        <v>4.84</v>
      </c>
      <c r="Y197" s="197">
        <v>6.6</v>
      </c>
      <c r="Z197" s="133">
        <f t="shared" si="24"/>
        <v>14.52</v>
      </c>
      <c r="AA197" s="197">
        <v>81.3</v>
      </c>
      <c r="AB197" s="133">
        <f t="shared" si="25"/>
        <v>178.86</v>
      </c>
      <c r="AC197" s="197">
        <v>0.6</v>
      </c>
      <c r="AD197" s="133">
        <f t="shared" si="26"/>
        <v>1.32</v>
      </c>
      <c r="AE197" s="198" t="s">
        <v>3054</v>
      </c>
      <c r="AF197" s="82" t="s">
        <v>3055</v>
      </c>
      <c r="AG197" s="199">
        <v>126282.0</v>
      </c>
      <c r="AH197" s="89">
        <v>2021.0</v>
      </c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</row>
    <row r="198">
      <c r="A198" s="28">
        <f t="shared" si="33"/>
        <v>197</v>
      </c>
      <c r="B198" s="36" t="s">
        <v>2056</v>
      </c>
      <c r="C198" s="36"/>
      <c r="D198" s="36" t="s">
        <v>2399</v>
      </c>
      <c r="E198" s="190"/>
      <c r="F198" s="36" t="s">
        <v>3056</v>
      </c>
      <c r="G198" s="36" t="s">
        <v>396</v>
      </c>
      <c r="H198" s="36" t="s">
        <v>32</v>
      </c>
      <c r="I198" s="36" t="s">
        <v>33</v>
      </c>
      <c r="J198" s="92">
        <v>44695.0</v>
      </c>
      <c r="K198" s="157">
        <v>50.0</v>
      </c>
      <c r="L198" s="36" t="s">
        <v>1971</v>
      </c>
      <c r="M198" s="191">
        <v>1951.0</v>
      </c>
      <c r="N198" s="36"/>
      <c r="O198" s="192" t="s">
        <v>1324</v>
      </c>
      <c r="P198" s="193" t="s">
        <v>3057</v>
      </c>
      <c r="Q198" s="189"/>
      <c r="R198" s="188"/>
      <c r="S198" s="195">
        <v>3000.0</v>
      </c>
      <c r="T198" s="214" t="s">
        <v>3058</v>
      </c>
      <c r="U198" s="197">
        <v>67.9</v>
      </c>
      <c r="V198" s="133">
        <f t="shared" si="22"/>
        <v>33.95</v>
      </c>
      <c r="W198" s="197">
        <v>29.4</v>
      </c>
      <c r="X198" s="133">
        <f t="shared" si="23"/>
        <v>14.7</v>
      </c>
      <c r="Y198" s="197">
        <v>0.0</v>
      </c>
      <c r="Z198" s="133">
        <f t="shared" si="24"/>
        <v>0</v>
      </c>
      <c r="AA198" s="197">
        <v>0.9</v>
      </c>
      <c r="AB198" s="133">
        <f t="shared" si="25"/>
        <v>0.45</v>
      </c>
      <c r="AC198" s="197">
        <v>1.8</v>
      </c>
      <c r="AD198" s="133">
        <f t="shared" si="26"/>
        <v>0.9</v>
      </c>
      <c r="AE198" s="198" t="s">
        <v>3059</v>
      </c>
      <c r="AF198" s="82" t="s">
        <v>3060</v>
      </c>
      <c r="AG198" s="199">
        <v>22529.0</v>
      </c>
      <c r="AH198" s="89">
        <v>2021.0</v>
      </c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</row>
    <row r="199">
      <c r="A199" s="28">
        <f t="shared" si="33"/>
        <v>198</v>
      </c>
      <c r="B199" s="36" t="s">
        <v>3061</v>
      </c>
      <c r="C199" s="36"/>
      <c r="D199" s="36" t="s">
        <v>2399</v>
      </c>
      <c r="E199" s="190"/>
      <c r="F199" s="36" t="s">
        <v>3062</v>
      </c>
      <c r="G199" s="36" t="s">
        <v>100</v>
      </c>
      <c r="H199" s="36" t="s">
        <v>43</v>
      </c>
      <c r="I199" s="36" t="s">
        <v>33</v>
      </c>
      <c r="J199" s="92">
        <v>44706.0</v>
      </c>
      <c r="K199" s="157">
        <v>66.0</v>
      </c>
      <c r="L199" s="36" t="s">
        <v>1971</v>
      </c>
      <c r="M199" s="191">
        <v>1889.0</v>
      </c>
      <c r="N199" s="36"/>
      <c r="O199" s="192" t="s">
        <v>1324</v>
      </c>
      <c r="P199" s="193" t="s">
        <v>3063</v>
      </c>
      <c r="Q199" s="189"/>
      <c r="R199" s="188"/>
      <c r="S199" s="195">
        <v>4500.0</v>
      </c>
      <c r="T199" s="214" t="s">
        <v>3064</v>
      </c>
      <c r="U199" s="197">
        <v>12.0</v>
      </c>
      <c r="V199" s="133">
        <f t="shared" si="22"/>
        <v>7.92</v>
      </c>
      <c r="W199" s="197">
        <v>7.2</v>
      </c>
      <c r="X199" s="133">
        <f t="shared" si="23"/>
        <v>4.752</v>
      </c>
      <c r="Y199" s="197">
        <v>12.8</v>
      </c>
      <c r="Z199" s="133">
        <f t="shared" si="24"/>
        <v>8.448</v>
      </c>
      <c r="AA199" s="197">
        <v>60.8</v>
      </c>
      <c r="AB199" s="133">
        <f t="shared" si="25"/>
        <v>40.128</v>
      </c>
      <c r="AC199" s="197">
        <v>7.2</v>
      </c>
      <c r="AD199" s="133">
        <f t="shared" si="26"/>
        <v>4.752</v>
      </c>
      <c r="AE199" s="198" t="s">
        <v>3065</v>
      </c>
      <c r="AF199" s="82" t="s">
        <v>3066</v>
      </c>
      <c r="AG199" s="199">
        <v>118752.0</v>
      </c>
      <c r="AH199" s="89">
        <v>2021.0</v>
      </c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</row>
    <row r="200">
      <c r="A200" s="28">
        <f t="shared" si="33"/>
        <v>199</v>
      </c>
      <c r="B200" s="36" t="s">
        <v>3067</v>
      </c>
      <c r="C200" s="36" t="s">
        <v>1969</v>
      </c>
      <c r="D200" s="36" t="s">
        <v>2399</v>
      </c>
      <c r="E200" s="190"/>
      <c r="F200" s="36" t="s">
        <v>3068</v>
      </c>
      <c r="G200" s="36" t="s">
        <v>76</v>
      </c>
      <c r="H200" s="36" t="s">
        <v>43</v>
      </c>
      <c r="I200" s="36" t="s">
        <v>33</v>
      </c>
      <c r="J200" s="92">
        <v>44706.0</v>
      </c>
      <c r="K200" s="157">
        <v>50.0</v>
      </c>
      <c r="L200" s="36" t="s">
        <v>1971</v>
      </c>
      <c r="M200" s="191">
        <v>1905.0</v>
      </c>
      <c r="N200" s="36"/>
      <c r="O200" s="192" t="s">
        <v>1324</v>
      </c>
      <c r="P200" s="193" t="s">
        <v>3069</v>
      </c>
      <c r="Q200" s="189"/>
      <c r="R200" s="188"/>
      <c r="S200" s="195">
        <v>3695.0</v>
      </c>
      <c r="T200" s="214" t="s">
        <v>3070</v>
      </c>
      <c r="U200" s="197">
        <v>4.5</v>
      </c>
      <c r="V200" s="133">
        <f t="shared" si="22"/>
        <v>2.25</v>
      </c>
      <c r="W200" s="197">
        <v>0.0</v>
      </c>
      <c r="X200" s="133">
        <f t="shared" si="23"/>
        <v>0</v>
      </c>
      <c r="Y200" s="197">
        <v>0.0</v>
      </c>
      <c r="Z200" s="133">
        <f t="shared" si="24"/>
        <v>0</v>
      </c>
      <c r="AA200" s="197">
        <v>88.8</v>
      </c>
      <c r="AB200" s="133">
        <f t="shared" si="25"/>
        <v>44.4</v>
      </c>
      <c r="AC200" s="197">
        <v>6.7</v>
      </c>
      <c r="AD200" s="133">
        <f t="shared" si="26"/>
        <v>3.35</v>
      </c>
      <c r="AE200" s="198" t="s">
        <v>3071</v>
      </c>
      <c r="AF200" s="82" t="s">
        <v>3072</v>
      </c>
      <c r="AG200" s="199">
        <v>65361.0</v>
      </c>
      <c r="AH200" s="89">
        <v>2021.0</v>
      </c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</row>
    <row r="201">
      <c r="A201" s="28">
        <f t="shared" si="33"/>
        <v>200</v>
      </c>
      <c r="B201" s="36" t="s">
        <v>3073</v>
      </c>
      <c r="C201" s="36"/>
      <c r="D201" s="36" t="s">
        <v>2399</v>
      </c>
      <c r="E201" s="190"/>
      <c r="F201" s="36" t="s">
        <v>3074</v>
      </c>
      <c r="G201" s="36" t="s">
        <v>713</v>
      </c>
      <c r="H201" s="36" t="s">
        <v>67</v>
      </c>
      <c r="I201" s="36" t="s">
        <v>33</v>
      </c>
      <c r="J201" s="92">
        <v>44727.0</v>
      </c>
      <c r="K201" s="157">
        <v>38.0</v>
      </c>
      <c r="L201" s="36" t="s">
        <v>1971</v>
      </c>
      <c r="M201" s="191">
        <v>1950.0</v>
      </c>
      <c r="N201" s="36"/>
      <c r="O201" s="192" t="s">
        <v>1324</v>
      </c>
      <c r="P201" s="193" t="s">
        <v>3075</v>
      </c>
      <c r="Q201" s="189"/>
      <c r="R201" s="188"/>
      <c r="S201" s="195">
        <v>4175.0</v>
      </c>
      <c r="T201" s="214" t="s">
        <v>3076</v>
      </c>
      <c r="U201" s="197">
        <v>2.0</v>
      </c>
      <c r="V201" s="133">
        <f t="shared" si="22"/>
        <v>0.76</v>
      </c>
      <c r="W201" s="197">
        <v>4.6</v>
      </c>
      <c r="X201" s="133">
        <f t="shared" si="23"/>
        <v>1.748</v>
      </c>
      <c r="Y201" s="197">
        <v>1.3</v>
      </c>
      <c r="Z201" s="133">
        <f t="shared" si="24"/>
        <v>0.494</v>
      </c>
      <c r="AA201" s="197">
        <v>92.1</v>
      </c>
      <c r="AB201" s="133">
        <f t="shared" si="25"/>
        <v>34.998</v>
      </c>
      <c r="AC201" s="197">
        <v>0.0</v>
      </c>
      <c r="AD201" s="133">
        <f t="shared" si="26"/>
        <v>0</v>
      </c>
      <c r="AE201" s="198" t="s">
        <v>3077</v>
      </c>
      <c r="AF201" s="82" t="s">
        <v>3078</v>
      </c>
      <c r="AG201" s="199">
        <v>46072.0</v>
      </c>
      <c r="AH201" s="89">
        <v>2021.0</v>
      </c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</row>
    <row r="202">
      <c r="A202" s="28">
        <f t="shared" si="33"/>
        <v>201</v>
      </c>
      <c r="B202" s="36" t="s">
        <v>3079</v>
      </c>
      <c r="C202" s="36"/>
      <c r="D202" s="36" t="s">
        <v>2399</v>
      </c>
      <c r="E202" s="190"/>
      <c r="F202" s="36" t="s">
        <v>3080</v>
      </c>
      <c r="G202" s="36" t="s">
        <v>702</v>
      </c>
      <c r="H202" s="36" t="s">
        <v>67</v>
      </c>
      <c r="I202" s="36" t="s">
        <v>33</v>
      </c>
      <c r="J202" s="92">
        <v>44736.0</v>
      </c>
      <c r="K202" s="157">
        <v>61.0</v>
      </c>
      <c r="L202" s="36" t="s">
        <v>1971</v>
      </c>
      <c r="M202" s="191">
        <v>1866.0</v>
      </c>
      <c r="N202" s="36"/>
      <c r="O202" s="192" t="s">
        <v>1324</v>
      </c>
      <c r="P202" s="193" t="s">
        <v>3081</v>
      </c>
      <c r="Q202" s="189"/>
      <c r="R202" s="188"/>
      <c r="S202" s="195">
        <v>3900.0</v>
      </c>
      <c r="T202" s="214" t="s">
        <v>3082</v>
      </c>
      <c r="U202" s="197">
        <v>3.6</v>
      </c>
      <c r="V202" s="133">
        <f t="shared" si="22"/>
        <v>2.196</v>
      </c>
      <c r="W202" s="197">
        <v>1.2</v>
      </c>
      <c r="X202" s="133">
        <f t="shared" si="23"/>
        <v>0.732</v>
      </c>
      <c r="Y202" s="197">
        <v>0.0</v>
      </c>
      <c r="Z202" s="133">
        <f t="shared" si="24"/>
        <v>0</v>
      </c>
      <c r="AA202" s="197">
        <v>90.5</v>
      </c>
      <c r="AB202" s="133">
        <f t="shared" si="25"/>
        <v>55.205</v>
      </c>
      <c r="AC202" s="197">
        <v>4.8</v>
      </c>
      <c r="AD202" s="133">
        <f t="shared" si="26"/>
        <v>2.928</v>
      </c>
      <c r="AE202" s="198" t="s">
        <v>3083</v>
      </c>
      <c r="AF202" s="82" t="s">
        <v>3084</v>
      </c>
      <c r="AG202" s="199">
        <v>70037.0</v>
      </c>
      <c r="AH202" s="89">
        <v>2021.0</v>
      </c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</row>
    <row r="203">
      <c r="A203" s="28">
        <f t="shared" si="33"/>
        <v>202</v>
      </c>
      <c r="B203" s="36" t="s">
        <v>3085</v>
      </c>
      <c r="C203" s="36"/>
      <c r="D203" s="36" t="s">
        <v>2399</v>
      </c>
      <c r="E203" s="190"/>
      <c r="F203" s="36" t="s">
        <v>3086</v>
      </c>
      <c r="G203" s="36" t="s">
        <v>436</v>
      </c>
      <c r="H203" s="36" t="s">
        <v>32</v>
      </c>
      <c r="I203" s="36" t="s">
        <v>33</v>
      </c>
      <c r="J203" s="92">
        <v>44739.0</v>
      </c>
      <c r="K203" s="157">
        <v>204.0</v>
      </c>
      <c r="L203" s="36" t="s">
        <v>2681</v>
      </c>
      <c r="M203" s="191">
        <v>1968.0</v>
      </c>
      <c r="N203" s="36"/>
      <c r="O203" s="192"/>
      <c r="P203" s="193" t="s">
        <v>3087</v>
      </c>
      <c r="Q203" s="189"/>
      <c r="R203" s="188"/>
      <c r="S203" s="195">
        <v>6150.0</v>
      </c>
      <c r="T203" s="214" t="s">
        <v>3088</v>
      </c>
      <c r="U203" s="197">
        <v>21.6</v>
      </c>
      <c r="V203" s="133">
        <f t="shared" si="22"/>
        <v>44.064</v>
      </c>
      <c r="W203" s="197">
        <v>77.9</v>
      </c>
      <c r="X203" s="133">
        <f t="shared" si="23"/>
        <v>158.916</v>
      </c>
      <c r="Y203" s="197">
        <v>0.0</v>
      </c>
      <c r="Z203" s="133">
        <f t="shared" si="24"/>
        <v>0</v>
      </c>
      <c r="AA203" s="197">
        <v>0.5</v>
      </c>
      <c r="AB203" s="133">
        <f t="shared" si="25"/>
        <v>1.02</v>
      </c>
      <c r="AC203" s="197">
        <v>0.0</v>
      </c>
      <c r="AD203" s="133">
        <f t="shared" si="26"/>
        <v>0</v>
      </c>
      <c r="AE203" s="198" t="s">
        <v>3089</v>
      </c>
      <c r="AF203" s="82" t="s">
        <v>3090</v>
      </c>
      <c r="AG203" s="199">
        <v>32672.0</v>
      </c>
      <c r="AH203" s="89">
        <v>2021.0</v>
      </c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</row>
    <row r="204">
      <c r="A204" s="28">
        <f t="shared" si="33"/>
        <v>203</v>
      </c>
      <c r="B204" s="36" t="s">
        <v>1081</v>
      </c>
      <c r="C204" s="36"/>
      <c r="D204" s="36" t="s">
        <v>2399</v>
      </c>
      <c r="E204" s="190"/>
      <c r="F204" s="36" t="s">
        <v>3091</v>
      </c>
      <c r="G204" s="36" t="s">
        <v>21</v>
      </c>
      <c r="H204" s="36" t="s">
        <v>22</v>
      </c>
      <c r="I204" s="36" t="s">
        <v>33</v>
      </c>
      <c r="J204" s="92">
        <v>44742.0</v>
      </c>
      <c r="K204" s="157">
        <v>255.0</v>
      </c>
      <c r="L204" s="36" t="s">
        <v>2681</v>
      </c>
      <c r="M204" s="191">
        <v>1963.0</v>
      </c>
      <c r="N204" s="36"/>
      <c r="O204" s="192" t="s">
        <v>1324</v>
      </c>
      <c r="P204" s="193" t="s">
        <v>3092</v>
      </c>
      <c r="Q204" s="189"/>
      <c r="R204" s="188"/>
      <c r="S204" s="195">
        <v>6300.0</v>
      </c>
      <c r="T204" s="214" t="s">
        <v>3093</v>
      </c>
      <c r="U204" s="197">
        <v>0.0</v>
      </c>
      <c r="V204" s="133">
        <f t="shared" si="22"/>
        <v>0</v>
      </c>
      <c r="W204" s="197">
        <v>7.0</v>
      </c>
      <c r="X204" s="133">
        <f t="shared" si="23"/>
        <v>17.85</v>
      </c>
      <c r="Y204" s="197">
        <v>5.0</v>
      </c>
      <c r="Z204" s="133">
        <f t="shared" si="24"/>
        <v>12.75</v>
      </c>
      <c r="AA204" s="197">
        <v>60.0</v>
      </c>
      <c r="AB204" s="133">
        <f t="shared" si="25"/>
        <v>153</v>
      </c>
      <c r="AC204" s="197">
        <v>28.0</v>
      </c>
      <c r="AD204" s="133">
        <f t="shared" si="26"/>
        <v>71.4</v>
      </c>
      <c r="AE204" s="214" t="s">
        <v>3093</v>
      </c>
      <c r="AF204" s="82" t="s">
        <v>3094</v>
      </c>
      <c r="AG204" s="199">
        <v>121803.0</v>
      </c>
      <c r="AH204" s="89">
        <v>2021.0</v>
      </c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</row>
    <row r="205">
      <c r="A205" s="28">
        <f t="shared" si="33"/>
        <v>204</v>
      </c>
      <c r="B205" s="36" t="s">
        <v>3095</v>
      </c>
      <c r="C205" s="36"/>
      <c r="D205" s="36" t="s">
        <v>2399</v>
      </c>
      <c r="E205" s="190"/>
      <c r="F205" s="36" t="s">
        <v>1199</v>
      </c>
      <c r="G205" s="36" t="s">
        <v>42</v>
      </c>
      <c r="H205" s="36" t="s">
        <v>43</v>
      </c>
      <c r="I205" s="36" t="s">
        <v>33</v>
      </c>
      <c r="J205" s="92">
        <v>44741.0</v>
      </c>
      <c r="K205" s="157">
        <v>155.0</v>
      </c>
      <c r="L205" s="36" t="s">
        <v>2681</v>
      </c>
      <c r="M205" s="191">
        <v>1962.0</v>
      </c>
      <c r="N205" s="36"/>
      <c r="O205" s="192" t="s">
        <v>1324</v>
      </c>
      <c r="P205" s="193" t="s">
        <v>3096</v>
      </c>
      <c r="Q205" s="189"/>
      <c r="R205" s="188"/>
      <c r="S205" s="195">
        <v>7840.0</v>
      </c>
      <c r="T205" s="214" t="s">
        <v>3097</v>
      </c>
      <c r="U205" s="197">
        <v>0.0</v>
      </c>
      <c r="V205" s="133">
        <f t="shared" si="22"/>
        <v>0</v>
      </c>
      <c r="W205" s="197">
        <v>5.0</v>
      </c>
      <c r="X205" s="133">
        <f t="shared" si="23"/>
        <v>7.75</v>
      </c>
      <c r="Y205" s="197">
        <v>0.0</v>
      </c>
      <c r="Z205" s="133">
        <f t="shared" si="24"/>
        <v>0</v>
      </c>
      <c r="AA205" s="197">
        <v>88.0</v>
      </c>
      <c r="AB205" s="133">
        <f t="shared" si="25"/>
        <v>136.4</v>
      </c>
      <c r="AC205" s="197">
        <v>5.0</v>
      </c>
      <c r="AD205" s="133">
        <f t="shared" si="26"/>
        <v>7.75</v>
      </c>
      <c r="AE205" s="214" t="s">
        <v>3098</v>
      </c>
      <c r="AF205" s="82" t="s">
        <v>3099</v>
      </c>
      <c r="AG205" s="199">
        <v>230151.0</v>
      </c>
      <c r="AH205" s="89">
        <v>2021.0</v>
      </c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</row>
    <row r="206">
      <c r="A206" s="28">
        <f t="shared" si="33"/>
        <v>205</v>
      </c>
      <c r="B206" s="36" t="s">
        <v>3100</v>
      </c>
      <c r="C206" s="36"/>
      <c r="D206" s="36" t="s">
        <v>2399</v>
      </c>
      <c r="E206" s="190"/>
      <c r="F206" s="36" t="s">
        <v>3101</v>
      </c>
      <c r="G206" s="36" t="s">
        <v>260</v>
      </c>
      <c r="H206" s="36" t="s">
        <v>32</v>
      </c>
      <c r="I206" s="36" t="s">
        <v>23</v>
      </c>
      <c r="J206" s="92">
        <v>44762.0</v>
      </c>
      <c r="K206" s="157">
        <v>18.0</v>
      </c>
      <c r="L206" s="36" t="s">
        <v>2681</v>
      </c>
      <c r="M206" s="191">
        <v>1998.0</v>
      </c>
      <c r="N206" s="36" t="s">
        <v>3102</v>
      </c>
      <c r="O206" s="192" t="s">
        <v>2399</v>
      </c>
      <c r="P206" s="193" t="s">
        <v>3103</v>
      </c>
      <c r="Q206" s="189"/>
      <c r="R206" s="188"/>
      <c r="S206" s="195">
        <v>8900.0</v>
      </c>
      <c r="T206" s="214" t="s">
        <v>3104</v>
      </c>
      <c r="U206" s="197">
        <v>33.3</v>
      </c>
      <c r="V206" s="133">
        <f t="shared" si="22"/>
        <v>5.994</v>
      </c>
      <c r="W206" s="197">
        <v>22.2</v>
      </c>
      <c r="X206" s="133">
        <f t="shared" si="23"/>
        <v>3.996</v>
      </c>
      <c r="Y206" s="197">
        <v>5.6</v>
      </c>
      <c r="Z206" s="133">
        <f t="shared" si="24"/>
        <v>1.008</v>
      </c>
      <c r="AA206" s="197">
        <v>38.9</v>
      </c>
      <c r="AB206" s="133">
        <f t="shared" si="25"/>
        <v>7.002</v>
      </c>
      <c r="AC206" s="197">
        <v>0.0</v>
      </c>
      <c r="AD206" s="133">
        <f t="shared" si="26"/>
        <v>0</v>
      </c>
      <c r="AE206" s="214" t="s">
        <v>3105</v>
      </c>
      <c r="AF206" s="82" t="s">
        <v>3106</v>
      </c>
      <c r="AG206" s="199">
        <v>143025.0</v>
      </c>
      <c r="AH206" s="89">
        <v>2021.0</v>
      </c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</row>
    <row r="207">
      <c r="A207" s="28">
        <f t="shared" si="33"/>
        <v>206</v>
      </c>
      <c r="B207" s="36" t="s">
        <v>3107</v>
      </c>
      <c r="C207" s="36"/>
      <c r="D207" s="36" t="s">
        <v>2399</v>
      </c>
      <c r="E207" s="190"/>
      <c r="F207" s="36" t="s">
        <v>3108</v>
      </c>
      <c r="G207" s="36" t="s">
        <v>122</v>
      </c>
      <c r="H207" s="36" t="s">
        <v>32</v>
      </c>
      <c r="I207" s="36" t="s">
        <v>33</v>
      </c>
      <c r="J207" s="92">
        <v>44761.0</v>
      </c>
      <c r="K207" s="157">
        <v>35.0</v>
      </c>
      <c r="L207" s="36" t="s">
        <v>1971</v>
      </c>
      <c r="M207" s="191">
        <v>1927.0</v>
      </c>
      <c r="N207" s="36"/>
      <c r="O207" s="192" t="s">
        <v>1324</v>
      </c>
      <c r="P207" s="193" t="s">
        <v>3109</v>
      </c>
      <c r="Q207" s="189"/>
      <c r="R207" s="188"/>
      <c r="S207" s="195">
        <v>6300.0</v>
      </c>
      <c r="T207" s="214" t="s">
        <v>3110</v>
      </c>
      <c r="U207" s="197">
        <v>4.3</v>
      </c>
      <c r="V207" s="133">
        <f t="shared" si="22"/>
        <v>1.505</v>
      </c>
      <c r="W207" s="197">
        <v>91.5</v>
      </c>
      <c r="X207" s="133">
        <f t="shared" si="23"/>
        <v>32.025</v>
      </c>
      <c r="Y207" s="197">
        <v>0.0</v>
      </c>
      <c r="Z207" s="133">
        <f t="shared" si="24"/>
        <v>0</v>
      </c>
      <c r="AA207" s="197">
        <v>4.3</v>
      </c>
      <c r="AB207" s="133">
        <f t="shared" si="25"/>
        <v>1.505</v>
      </c>
      <c r="AC207" s="197">
        <v>0.0</v>
      </c>
      <c r="AD207" s="133">
        <f t="shared" si="26"/>
        <v>0</v>
      </c>
      <c r="AE207" s="214" t="s">
        <v>3111</v>
      </c>
      <c r="AF207" s="82" t="s">
        <v>3112</v>
      </c>
      <c r="AG207" s="199">
        <v>35890.0</v>
      </c>
      <c r="AH207" s="89">
        <v>2021.0</v>
      </c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</row>
    <row r="208">
      <c r="A208" s="28">
        <f t="shared" si="33"/>
        <v>207</v>
      </c>
      <c r="B208" s="36" t="s">
        <v>3113</v>
      </c>
      <c r="C208" s="36"/>
      <c r="D208" s="36" t="s">
        <v>2399</v>
      </c>
      <c r="E208" s="190"/>
      <c r="F208" s="36"/>
      <c r="G208" s="36"/>
      <c r="H208" s="36"/>
      <c r="I208" s="36" t="s">
        <v>33</v>
      </c>
      <c r="J208" s="92">
        <v>44761.0</v>
      </c>
      <c r="K208" s="157">
        <v>50.0</v>
      </c>
      <c r="L208" s="36" t="s">
        <v>1971</v>
      </c>
      <c r="M208" s="191">
        <v>2020.0</v>
      </c>
      <c r="N208" s="36" t="s">
        <v>3114</v>
      </c>
      <c r="O208" s="192"/>
      <c r="P208" s="193" t="s">
        <v>3115</v>
      </c>
      <c r="Q208" s="189"/>
      <c r="R208" s="188"/>
      <c r="S208" s="195">
        <v>6500.0</v>
      </c>
      <c r="T208" s="214" t="s">
        <v>3116</v>
      </c>
      <c r="U208" s="197"/>
      <c r="V208" s="133" t="str">
        <f t="shared" si="22"/>
        <v/>
      </c>
      <c r="W208" s="197"/>
      <c r="X208" s="133" t="str">
        <f t="shared" si="23"/>
        <v/>
      </c>
      <c r="Y208" s="197"/>
      <c r="Z208" s="133" t="str">
        <f t="shared" si="24"/>
        <v/>
      </c>
      <c r="AA208" s="197"/>
      <c r="AB208" s="133" t="str">
        <f t="shared" si="25"/>
        <v/>
      </c>
      <c r="AC208" s="197"/>
      <c r="AD208" s="133" t="str">
        <f t="shared" si="26"/>
        <v/>
      </c>
      <c r="AE208" s="214"/>
      <c r="AF208" s="82" t="s">
        <v>3117</v>
      </c>
      <c r="AG208" s="199"/>
      <c r="AH208" s="89">
        <v>2021.0</v>
      </c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</row>
    <row r="209">
      <c r="A209" s="28">
        <f t="shared" si="33"/>
        <v>208</v>
      </c>
      <c r="B209" s="36" t="s">
        <v>3118</v>
      </c>
      <c r="C209" s="36"/>
      <c r="D209" s="36" t="s">
        <v>2399</v>
      </c>
      <c r="E209" s="190"/>
      <c r="F209" s="36" t="s">
        <v>3119</v>
      </c>
      <c r="G209" s="36" t="s">
        <v>66</v>
      </c>
      <c r="H209" s="36" t="s">
        <v>67</v>
      </c>
      <c r="I209" s="36" t="s">
        <v>68</v>
      </c>
      <c r="J209" s="92">
        <v>44714.0</v>
      </c>
      <c r="K209" s="157">
        <v>20.0</v>
      </c>
      <c r="L209" s="36" t="s">
        <v>1971</v>
      </c>
      <c r="M209" s="191">
        <v>2004.0</v>
      </c>
      <c r="N209" s="36" t="s">
        <v>3120</v>
      </c>
      <c r="O209" s="192"/>
      <c r="P209" s="193" t="s">
        <v>3121</v>
      </c>
      <c r="Q209" s="189"/>
      <c r="R209" s="188"/>
      <c r="S209" s="195">
        <v>28800.0</v>
      </c>
      <c r="T209" s="217" t="s">
        <v>3122</v>
      </c>
      <c r="U209" s="197">
        <v>5.6</v>
      </c>
      <c r="V209" s="133">
        <f t="shared" si="22"/>
        <v>1.12</v>
      </c>
      <c r="W209" s="197">
        <v>16.7</v>
      </c>
      <c r="X209" s="133">
        <f t="shared" si="23"/>
        <v>3.34</v>
      </c>
      <c r="Y209" s="197">
        <v>5.6</v>
      </c>
      <c r="Z209" s="133">
        <f t="shared" si="24"/>
        <v>1.12</v>
      </c>
      <c r="AA209" s="197">
        <v>61.1</v>
      </c>
      <c r="AB209" s="133">
        <f t="shared" si="25"/>
        <v>12.22</v>
      </c>
      <c r="AC209" s="197">
        <v>11.2</v>
      </c>
      <c r="AD209" s="133">
        <f t="shared" si="26"/>
        <v>2.24</v>
      </c>
      <c r="AE209" s="214" t="s">
        <v>3123</v>
      </c>
      <c r="AF209" s="82" t="s">
        <v>3124</v>
      </c>
      <c r="AG209" s="199">
        <v>51394.0</v>
      </c>
      <c r="AH209" s="89">
        <v>2021.0</v>
      </c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</row>
    <row r="210">
      <c r="A210" s="28">
        <f t="shared" si="33"/>
        <v>209</v>
      </c>
      <c r="B210" s="36" t="s">
        <v>3125</v>
      </c>
      <c r="C210" s="36"/>
      <c r="D210" s="36" t="s">
        <v>2399</v>
      </c>
      <c r="E210" s="190"/>
      <c r="F210" s="36" t="s">
        <v>3126</v>
      </c>
      <c r="G210" s="36" t="s">
        <v>1062</v>
      </c>
      <c r="H210" s="36" t="s">
        <v>67</v>
      </c>
      <c r="I210" s="36" t="s">
        <v>33</v>
      </c>
      <c r="J210" s="92">
        <v>44778.0</v>
      </c>
      <c r="K210" s="157">
        <v>81.0</v>
      </c>
      <c r="L210" s="36" t="s">
        <v>2681</v>
      </c>
      <c r="M210" s="191">
        <v>1853.0</v>
      </c>
      <c r="N210" s="36" t="s">
        <v>3127</v>
      </c>
      <c r="O210" s="192"/>
      <c r="P210" s="193" t="s">
        <v>3128</v>
      </c>
      <c r="Q210" s="189"/>
      <c r="R210" s="188"/>
      <c r="S210" s="195">
        <v>1950.0</v>
      </c>
      <c r="T210" s="218" t="s">
        <v>3129</v>
      </c>
      <c r="U210" s="197">
        <v>0.0</v>
      </c>
      <c r="V210" s="133">
        <f t="shared" si="22"/>
        <v>0</v>
      </c>
      <c r="W210" s="197">
        <v>1.2</v>
      </c>
      <c r="X210" s="133">
        <f t="shared" si="23"/>
        <v>0.972</v>
      </c>
      <c r="Y210" s="197">
        <v>1.2</v>
      </c>
      <c r="Z210" s="133">
        <f t="shared" si="24"/>
        <v>0.972</v>
      </c>
      <c r="AA210" s="197">
        <v>97.5</v>
      </c>
      <c r="AB210" s="133">
        <f t="shared" si="25"/>
        <v>78.975</v>
      </c>
      <c r="AC210" s="197">
        <v>0.0</v>
      </c>
      <c r="AD210" s="133">
        <f t="shared" si="26"/>
        <v>0</v>
      </c>
      <c r="AE210" s="214" t="s">
        <v>3130</v>
      </c>
      <c r="AF210" s="82" t="s">
        <v>3131</v>
      </c>
      <c r="AG210" s="199">
        <v>61434.0</v>
      </c>
      <c r="AH210" s="89">
        <v>2021.0</v>
      </c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</row>
    <row r="211">
      <c r="A211" s="28">
        <f t="shared" si="33"/>
        <v>210</v>
      </c>
      <c r="B211" s="36" t="s">
        <v>1342</v>
      </c>
      <c r="C211" s="36"/>
      <c r="D211" s="36" t="s">
        <v>2399</v>
      </c>
      <c r="E211" s="190"/>
      <c r="F211" s="36" t="s">
        <v>1344</v>
      </c>
      <c r="G211" s="36" t="s">
        <v>662</v>
      </c>
      <c r="H211" s="36" t="s">
        <v>22</v>
      </c>
      <c r="I211" s="36" t="s">
        <v>33</v>
      </c>
      <c r="J211" s="92">
        <v>44788.0</v>
      </c>
      <c r="K211" s="157">
        <v>45.0</v>
      </c>
      <c r="L211" s="36" t="s">
        <v>1971</v>
      </c>
      <c r="M211" s="191">
        <v>1864.0</v>
      </c>
      <c r="N211" s="36" t="s">
        <v>3132</v>
      </c>
      <c r="O211" s="192"/>
      <c r="P211" s="193" t="s">
        <v>3133</v>
      </c>
      <c r="Q211" s="189"/>
      <c r="R211" s="188"/>
      <c r="S211" s="195">
        <v>11300.0</v>
      </c>
      <c r="T211" s="218" t="s">
        <v>3134</v>
      </c>
      <c r="U211" s="197">
        <v>0.0</v>
      </c>
      <c r="V211" s="133">
        <f t="shared" si="22"/>
        <v>0</v>
      </c>
      <c r="W211" s="197">
        <v>13.5</v>
      </c>
      <c r="X211" s="133">
        <f t="shared" si="23"/>
        <v>6.075</v>
      </c>
      <c r="Y211" s="197">
        <v>0.0</v>
      </c>
      <c r="Z211" s="133">
        <f t="shared" si="24"/>
        <v>0</v>
      </c>
      <c r="AA211" s="197">
        <v>3.4</v>
      </c>
      <c r="AB211" s="133">
        <f t="shared" si="25"/>
        <v>1.53</v>
      </c>
      <c r="AC211" s="197">
        <v>83.1</v>
      </c>
      <c r="AD211" s="133">
        <f t="shared" si="26"/>
        <v>37.395</v>
      </c>
      <c r="AE211" s="214" t="s">
        <v>3135</v>
      </c>
      <c r="AF211" s="82" t="s">
        <v>3136</v>
      </c>
      <c r="AG211" s="199">
        <v>43047.0</v>
      </c>
      <c r="AH211" s="89">
        <v>2021.0</v>
      </c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</row>
    <row r="212">
      <c r="A212" s="28">
        <f t="shared" si="33"/>
        <v>211</v>
      </c>
      <c r="B212" s="31" t="s">
        <v>3137</v>
      </c>
      <c r="C212" s="31"/>
      <c r="D212" s="31" t="s">
        <v>2399</v>
      </c>
      <c r="E212" s="32"/>
      <c r="F212" s="31" t="s">
        <v>3138</v>
      </c>
      <c r="G212" s="31" t="s">
        <v>3139</v>
      </c>
      <c r="H212" s="31" t="s">
        <v>43</v>
      </c>
      <c r="I212" s="31" t="s">
        <v>23</v>
      </c>
      <c r="J212" s="92">
        <v>44608.0</v>
      </c>
      <c r="K212" s="31">
        <v>12.0</v>
      </c>
      <c r="L212" s="31" t="s">
        <v>1971</v>
      </c>
      <c r="M212" s="157">
        <v>2012.0</v>
      </c>
      <c r="N212" s="31" t="s">
        <v>3140</v>
      </c>
      <c r="O212" s="31" t="s">
        <v>3141</v>
      </c>
      <c r="P212" s="33" t="s">
        <v>3142</v>
      </c>
      <c r="Q212" s="175" t="s">
        <v>721</v>
      </c>
      <c r="R212" s="47" t="s">
        <v>3143</v>
      </c>
      <c r="S212" s="132" t="s">
        <v>3144</v>
      </c>
      <c r="T212" s="131"/>
      <c r="U212" s="168">
        <v>8.3</v>
      </c>
      <c r="V212" s="163">
        <f>0.083*12</f>
        <v>0.996</v>
      </c>
      <c r="W212" s="163"/>
      <c r="X212" s="163"/>
      <c r="Y212" s="168">
        <v>25.0</v>
      </c>
      <c r="Z212" s="163">
        <f>0.25*12</f>
        <v>3</v>
      </c>
      <c r="AA212" s="168">
        <v>58.3</v>
      </c>
      <c r="AB212" s="163">
        <f>0.583*12</f>
        <v>6.996</v>
      </c>
      <c r="AC212" s="163">
        <f>100-AA212-Y212-U212</f>
        <v>8.4</v>
      </c>
      <c r="AD212" s="168">
        <v>1.0</v>
      </c>
      <c r="AE212" s="33" t="s">
        <v>3145</v>
      </c>
      <c r="AF212" s="20" t="s">
        <v>3146</v>
      </c>
      <c r="AG212" s="26">
        <v>109962.0</v>
      </c>
      <c r="AH212" s="20">
        <v>2022.0</v>
      </c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</row>
    <row r="213">
      <c r="A213" s="28">
        <f t="shared" si="33"/>
        <v>212</v>
      </c>
      <c r="B213" s="31" t="s">
        <v>3147</v>
      </c>
      <c r="C213" s="31" t="s">
        <v>1969</v>
      </c>
      <c r="D213" s="31" t="s">
        <v>2399</v>
      </c>
      <c r="E213" s="32"/>
      <c r="F213" s="31" t="s">
        <v>3148</v>
      </c>
      <c r="G213" s="31" t="s">
        <v>1628</v>
      </c>
      <c r="H213" s="31" t="s">
        <v>43</v>
      </c>
      <c r="I213" s="31" t="s">
        <v>23</v>
      </c>
      <c r="J213" s="92">
        <v>44869.0</v>
      </c>
      <c r="K213" s="31">
        <v>44.0</v>
      </c>
      <c r="L213" s="31" t="s">
        <v>1971</v>
      </c>
      <c r="M213" s="157">
        <v>2014.0</v>
      </c>
      <c r="N213" s="31" t="s">
        <v>3149</v>
      </c>
      <c r="O213" s="31" t="s">
        <v>3150</v>
      </c>
      <c r="P213" s="33" t="s">
        <v>3151</v>
      </c>
      <c r="Q213" s="134"/>
      <c r="R213" s="32"/>
      <c r="S213" s="132">
        <v>13100.0</v>
      </c>
      <c r="T213" s="25" t="s">
        <v>3152</v>
      </c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32"/>
      <c r="AF213" s="20" t="s">
        <v>3153</v>
      </c>
      <c r="AG213" s="48">
        <v>78092.0</v>
      </c>
      <c r="AH213" s="20">
        <v>2022.0</v>
      </c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</row>
    <row r="214">
      <c r="A214" s="28">
        <f t="shared" si="33"/>
        <v>213</v>
      </c>
      <c r="B214" s="31" t="s">
        <v>3154</v>
      </c>
      <c r="C214" s="31"/>
      <c r="D214" s="31" t="s">
        <v>2399</v>
      </c>
      <c r="E214" s="32"/>
      <c r="F214" s="31" t="s">
        <v>1503</v>
      </c>
      <c r="G214" s="31" t="s">
        <v>76</v>
      </c>
      <c r="H214" s="31" t="s">
        <v>43</v>
      </c>
      <c r="I214" s="31" t="s">
        <v>23</v>
      </c>
      <c r="J214" s="92">
        <v>44835.0</v>
      </c>
      <c r="K214" s="31">
        <v>260.0</v>
      </c>
      <c r="L214" s="180" t="s">
        <v>3155</v>
      </c>
      <c r="M214" s="157">
        <v>2010.0</v>
      </c>
      <c r="N214" s="32"/>
      <c r="O214" s="31" t="s">
        <v>3150</v>
      </c>
      <c r="P214" s="33" t="s">
        <v>3156</v>
      </c>
      <c r="Q214" s="175">
        <v>30.0</v>
      </c>
      <c r="R214" s="33" t="s">
        <v>3157</v>
      </c>
      <c r="S214" s="132">
        <v>55000.0</v>
      </c>
      <c r="T214" s="152" t="s">
        <v>3158</v>
      </c>
      <c r="U214" s="168">
        <v>8.8</v>
      </c>
      <c r="V214" s="163">
        <f>(U214*$K214)/100</f>
        <v>22.88</v>
      </c>
      <c r="W214" s="168">
        <v>7.7</v>
      </c>
      <c r="X214" s="163">
        <f>(W214*$K214)/100</f>
        <v>20.02</v>
      </c>
      <c r="Y214" s="168">
        <v>3.6</v>
      </c>
      <c r="Z214" s="163">
        <f>(Y214*$K214)/100</f>
        <v>9.36</v>
      </c>
      <c r="AA214" s="168">
        <v>48.8</v>
      </c>
      <c r="AB214" s="163">
        <f>(AA214*$K214)/100</f>
        <v>126.88</v>
      </c>
      <c r="AC214" s="168">
        <v>19.2</v>
      </c>
      <c r="AD214" s="163">
        <f>(AC214*$K214)/100</f>
        <v>49.92</v>
      </c>
      <c r="AE214" s="180" t="s">
        <v>3159</v>
      </c>
      <c r="AF214" s="20" t="s">
        <v>3160</v>
      </c>
      <c r="AG214" s="48">
        <v>177408.0</v>
      </c>
      <c r="AH214" s="20">
        <v>2022.0</v>
      </c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</row>
    <row r="215" ht="57.75" customHeight="1">
      <c r="A215" s="28">
        <f t="shared" si="33"/>
        <v>214</v>
      </c>
      <c r="B215" s="31" t="s">
        <v>3161</v>
      </c>
      <c r="C215" s="32"/>
      <c r="D215" s="31" t="s">
        <v>2399</v>
      </c>
      <c r="E215" s="32"/>
      <c r="F215" s="31" t="s">
        <v>1241</v>
      </c>
      <c r="G215" s="31" t="s">
        <v>436</v>
      </c>
      <c r="H215" s="31" t="s">
        <v>32</v>
      </c>
      <c r="I215" s="31" t="s">
        <v>23</v>
      </c>
      <c r="J215" s="92">
        <v>44935.0</v>
      </c>
      <c r="K215" s="31">
        <v>150.0</v>
      </c>
      <c r="L215" s="33" t="s">
        <v>3162</v>
      </c>
      <c r="M215" s="156"/>
      <c r="N215" s="31" t="s">
        <v>3163</v>
      </c>
      <c r="O215" s="32"/>
      <c r="P215" s="32"/>
      <c r="Q215" s="134"/>
      <c r="R215" s="32"/>
      <c r="S215" s="135"/>
      <c r="T215" s="131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32"/>
      <c r="AF215" s="27"/>
      <c r="AG215" s="85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</row>
    <row r="216" ht="57.75" customHeight="1">
      <c r="A216" s="28">
        <f t="shared" si="33"/>
        <v>215</v>
      </c>
      <c r="B216" s="31" t="s">
        <v>3164</v>
      </c>
      <c r="C216" s="32"/>
      <c r="D216" s="31" t="s">
        <v>2399</v>
      </c>
      <c r="E216" s="32"/>
      <c r="F216" s="31" t="s">
        <v>3119</v>
      </c>
      <c r="G216" s="31" t="s">
        <v>66</v>
      </c>
      <c r="H216" s="31" t="s">
        <v>67</v>
      </c>
      <c r="I216" s="31" t="s">
        <v>68</v>
      </c>
      <c r="J216" s="92">
        <v>44937.0</v>
      </c>
      <c r="K216" s="31">
        <v>25.0</v>
      </c>
      <c r="L216" s="31" t="s">
        <v>3165</v>
      </c>
      <c r="M216" s="157">
        <v>1996.0</v>
      </c>
      <c r="N216" s="31" t="s">
        <v>3166</v>
      </c>
      <c r="O216" s="32"/>
      <c r="P216" s="32"/>
      <c r="Q216" s="134"/>
      <c r="R216" s="32"/>
      <c r="S216" s="135"/>
      <c r="T216" s="131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32"/>
      <c r="AF216" s="20" t="s">
        <v>3167</v>
      </c>
      <c r="AG216" s="26">
        <v>52381.0</v>
      </c>
      <c r="AH216" s="27"/>
      <c r="AI216" s="27"/>
      <c r="AJ216" s="27"/>
      <c r="AK216" s="27"/>
      <c r="AL216" s="27"/>
      <c r="AM216" s="27"/>
      <c r="AN216" s="27"/>
      <c r="AO216" s="27"/>
      <c r="AP216" s="27"/>
      <c r="AQ216" s="20" t="s">
        <v>3168</v>
      </c>
      <c r="AR216" s="20"/>
      <c r="AS216" s="20"/>
    </row>
    <row r="217">
      <c r="A217" s="28">
        <f t="shared" si="33"/>
        <v>216</v>
      </c>
      <c r="B217" s="31" t="s">
        <v>2844</v>
      </c>
      <c r="C217" s="32"/>
      <c r="D217" s="31" t="s">
        <v>2399</v>
      </c>
      <c r="E217" s="32"/>
      <c r="F217" s="31" t="s">
        <v>819</v>
      </c>
      <c r="G217" s="31" t="s">
        <v>21</v>
      </c>
      <c r="H217" s="31" t="s">
        <v>22</v>
      </c>
      <c r="I217" s="31" t="s">
        <v>33</v>
      </c>
      <c r="J217" s="92">
        <v>44935.0</v>
      </c>
      <c r="K217" s="31">
        <v>331.0</v>
      </c>
      <c r="L217" s="33" t="s">
        <v>3169</v>
      </c>
      <c r="M217" s="157">
        <v>1948.0</v>
      </c>
      <c r="N217" s="31" t="s">
        <v>3170</v>
      </c>
      <c r="O217" s="31" t="s">
        <v>1324</v>
      </c>
      <c r="P217" s="33" t="s">
        <v>3171</v>
      </c>
      <c r="Q217" s="134"/>
      <c r="R217" s="32"/>
      <c r="S217" s="132">
        <v>10180.0</v>
      </c>
      <c r="T217" s="152" t="s">
        <v>3172</v>
      </c>
      <c r="U217" s="168">
        <v>1.4</v>
      </c>
      <c r="V217" s="163">
        <f t="shared" ref="V217:V222" si="34">(U217*$K217)/100</f>
        <v>4.634</v>
      </c>
      <c r="W217" s="168">
        <v>7.2</v>
      </c>
      <c r="X217" s="163">
        <f t="shared" ref="X217:X222" si="35">(W217*$K217)/100</f>
        <v>23.832</v>
      </c>
      <c r="Y217" s="168">
        <v>53.2</v>
      </c>
      <c r="Z217" s="163">
        <f t="shared" ref="Z217:Z222" si="36">(Y217*$K217)/100</f>
        <v>176.092</v>
      </c>
      <c r="AA217" s="168">
        <v>19.8</v>
      </c>
      <c r="AB217" s="163">
        <f t="shared" ref="AB217:AB222" si="37">(AA217*$K217)/100</f>
        <v>65.538</v>
      </c>
      <c r="AC217" s="163">
        <f t="shared" ref="AC217:AC222" si="38">100-(U217+W217+Y217+AA217)</f>
        <v>18.4</v>
      </c>
      <c r="AD217" s="163">
        <f t="shared" ref="AD217:AD222" si="39">(AC217*$K217)/100</f>
        <v>60.904</v>
      </c>
      <c r="AE217" s="33" t="s">
        <v>3173</v>
      </c>
      <c r="AF217" s="20" t="s">
        <v>3174</v>
      </c>
      <c r="AG217" s="26">
        <v>173416.0</v>
      </c>
      <c r="AH217" s="20">
        <v>2022.0</v>
      </c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</row>
    <row r="218">
      <c r="A218" s="28">
        <f t="shared" si="33"/>
        <v>217</v>
      </c>
      <c r="B218" s="31" t="s">
        <v>3175</v>
      </c>
      <c r="C218" s="32"/>
      <c r="D218" s="31" t="s">
        <v>2399</v>
      </c>
      <c r="E218" s="32"/>
      <c r="F218" s="31" t="s">
        <v>2265</v>
      </c>
      <c r="G218" s="31" t="s">
        <v>83</v>
      </c>
      <c r="H218" s="31" t="s">
        <v>43</v>
      </c>
      <c r="I218" s="31" t="s">
        <v>33</v>
      </c>
      <c r="J218" s="92">
        <v>44939.0</v>
      </c>
      <c r="K218" s="31">
        <v>361.0</v>
      </c>
      <c r="L218" s="33" t="s">
        <v>3176</v>
      </c>
      <c r="M218" s="157">
        <v>1910.0</v>
      </c>
      <c r="N218" s="180" t="s">
        <v>3177</v>
      </c>
      <c r="O218" s="31" t="s">
        <v>1324</v>
      </c>
      <c r="P218" s="45" t="s">
        <v>3178</v>
      </c>
      <c r="Q218" s="134"/>
      <c r="R218" s="31" t="s">
        <v>3179</v>
      </c>
      <c r="S218" s="132">
        <v>6300.0</v>
      </c>
      <c r="T218" s="152" t="s">
        <v>3180</v>
      </c>
      <c r="U218" s="168">
        <v>14.7</v>
      </c>
      <c r="V218" s="163">
        <f t="shared" si="34"/>
        <v>53.067</v>
      </c>
      <c r="W218" s="168">
        <v>9.2</v>
      </c>
      <c r="X218" s="163">
        <f t="shared" si="35"/>
        <v>33.212</v>
      </c>
      <c r="Y218" s="168">
        <v>22.7</v>
      </c>
      <c r="Z218" s="163">
        <f t="shared" si="36"/>
        <v>81.947</v>
      </c>
      <c r="AA218" s="168">
        <v>49.4</v>
      </c>
      <c r="AB218" s="163">
        <f t="shared" si="37"/>
        <v>178.334</v>
      </c>
      <c r="AC218" s="163">
        <f t="shared" si="38"/>
        <v>4</v>
      </c>
      <c r="AD218" s="163">
        <f t="shared" si="39"/>
        <v>14.44</v>
      </c>
      <c r="AE218" s="45" t="s">
        <v>3181</v>
      </c>
      <c r="AF218" s="20" t="s">
        <v>3182</v>
      </c>
      <c r="AG218" s="26">
        <v>95578.0</v>
      </c>
      <c r="AH218" s="20">
        <v>2022.0</v>
      </c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</row>
    <row r="219">
      <c r="A219" s="28">
        <f t="shared" si="33"/>
        <v>218</v>
      </c>
      <c r="B219" s="31" t="s">
        <v>3183</v>
      </c>
      <c r="C219" s="32"/>
      <c r="D219" s="31" t="s">
        <v>2399</v>
      </c>
      <c r="E219" s="32"/>
      <c r="F219" s="31" t="s">
        <v>2824</v>
      </c>
      <c r="G219" s="31" t="s">
        <v>66</v>
      </c>
      <c r="H219" s="31" t="s">
        <v>67</v>
      </c>
      <c r="I219" s="31" t="s">
        <v>33</v>
      </c>
      <c r="J219" s="92">
        <v>44948.0</v>
      </c>
      <c r="K219" s="31">
        <v>101.0</v>
      </c>
      <c r="L219" s="45" t="s">
        <v>3184</v>
      </c>
      <c r="M219" s="157">
        <v>2003.0</v>
      </c>
      <c r="N219" s="31" t="s">
        <v>3185</v>
      </c>
      <c r="O219" s="31" t="s">
        <v>1324</v>
      </c>
      <c r="P219" s="31" t="s">
        <v>3186</v>
      </c>
      <c r="Q219" s="134"/>
      <c r="R219" s="32"/>
      <c r="S219" s="132">
        <v>6024.0</v>
      </c>
      <c r="T219" s="45" t="s">
        <v>3187</v>
      </c>
      <c r="U219" s="163"/>
      <c r="V219" s="163">
        <f t="shared" si="34"/>
        <v>0</v>
      </c>
      <c r="W219" s="168">
        <v>6.0</v>
      </c>
      <c r="X219" s="163">
        <f t="shared" si="35"/>
        <v>6.06</v>
      </c>
      <c r="Y219" s="168">
        <v>6.5</v>
      </c>
      <c r="Z219" s="163">
        <f t="shared" si="36"/>
        <v>6.565</v>
      </c>
      <c r="AA219" s="168">
        <v>84.5</v>
      </c>
      <c r="AB219" s="163">
        <f t="shared" si="37"/>
        <v>85.345</v>
      </c>
      <c r="AC219" s="163">
        <f t="shared" si="38"/>
        <v>3</v>
      </c>
      <c r="AD219" s="163">
        <f t="shared" si="39"/>
        <v>3.03</v>
      </c>
      <c r="AE219" s="45" t="s">
        <v>3188</v>
      </c>
      <c r="AF219" s="20" t="s">
        <v>3189</v>
      </c>
      <c r="AG219" s="26">
        <v>81370.0</v>
      </c>
      <c r="AH219" s="20">
        <v>2022.0</v>
      </c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</row>
    <row r="220">
      <c r="A220" s="28">
        <f t="shared" si="33"/>
        <v>219</v>
      </c>
      <c r="B220" s="31" t="s">
        <v>3190</v>
      </c>
      <c r="C220" s="32"/>
      <c r="D220" s="31" t="s">
        <v>2399</v>
      </c>
      <c r="E220" s="32"/>
      <c r="F220" s="31" t="s">
        <v>639</v>
      </c>
      <c r="G220" s="31" t="s">
        <v>122</v>
      </c>
      <c r="H220" s="31" t="s">
        <v>32</v>
      </c>
      <c r="I220" s="31" t="s">
        <v>33</v>
      </c>
      <c r="J220" s="92">
        <v>44946.0</v>
      </c>
      <c r="K220" s="31">
        <v>177.0</v>
      </c>
      <c r="L220" s="45" t="s">
        <v>3191</v>
      </c>
      <c r="M220" s="157">
        <v>1853.0</v>
      </c>
      <c r="N220" s="31" t="s">
        <v>3192</v>
      </c>
      <c r="O220" s="31" t="s">
        <v>1324</v>
      </c>
      <c r="P220" s="33" t="s">
        <v>3193</v>
      </c>
      <c r="Q220" s="175">
        <v>30.0</v>
      </c>
      <c r="R220" s="45" t="s">
        <v>3194</v>
      </c>
      <c r="S220" s="132">
        <v>5390.0</v>
      </c>
      <c r="T220" s="152" t="s">
        <v>3195</v>
      </c>
      <c r="U220" s="168">
        <v>0.0</v>
      </c>
      <c r="V220" s="163">
        <f t="shared" si="34"/>
        <v>0</v>
      </c>
      <c r="W220" s="168">
        <v>98.2</v>
      </c>
      <c r="X220" s="163">
        <f t="shared" si="35"/>
        <v>173.814</v>
      </c>
      <c r="Y220" s="168">
        <v>0.0</v>
      </c>
      <c r="Z220" s="163">
        <f t="shared" si="36"/>
        <v>0</v>
      </c>
      <c r="AA220" s="168">
        <v>1.8</v>
      </c>
      <c r="AB220" s="163">
        <f t="shared" si="37"/>
        <v>3.186</v>
      </c>
      <c r="AC220" s="163">
        <f t="shared" si="38"/>
        <v>0</v>
      </c>
      <c r="AD220" s="163">
        <f t="shared" si="39"/>
        <v>0</v>
      </c>
      <c r="AE220" s="33" t="s">
        <v>3191</v>
      </c>
      <c r="AF220" s="20" t="s">
        <v>3196</v>
      </c>
      <c r="AG220" s="26">
        <v>59091.0</v>
      </c>
      <c r="AH220" s="20">
        <v>2022.0</v>
      </c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</row>
    <row r="221">
      <c r="A221" s="28">
        <f t="shared" si="33"/>
        <v>220</v>
      </c>
      <c r="B221" s="31" t="s">
        <v>3197</v>
      </c>
      <c r="C221" s="32"/>
      <c r="D221" s="31" t="s">
        <v>3198</v>
      </c>
      <c r="E221" s="31" t="s">
        <v>3199</v>
      </c>
      <c r="F221" s="31" t="s">
        <v>1698</v>
      </c>
      <c r="G221" s="31" t="s">
        <v>1162</v>
      </c>
      <c r="H221" s="31" t="s">
        <v>67</v>
      </c>
      <c r="I221" s="31" t="s">
        <v>33</v>
      </c>
      <c r="J221" s="92">
        <v>44945.0</v>
      </c>
      <c r="K221" s="31">
        <v>260.0</v>
      </c>
      <c r="L221" s="33" t="s">
        <v>3200</v>
      </c>
      <c r="M221" s="157">
        <v>1921.0</v>
      </c>
      <c r="N221" s="31" t="s">
        <v>3185</v>
      </c>
      <c r="O221" s="32"/>
      <c r="P221" s="32"/>
      <c r="Q221" s="134"/>
      <c r="R221" s="32"/>
      <c r="S221" s="132">
        <v>5615.0</v>
      </c>
      <c r="T221" s="45" t="s">
        <v>3201</v>
      </c>
      <c r="U221" s="168">
        <v>2.0</v>
      </c>
      <c r="V221" s="163">
        <f t="shared" si="34"/>
        <v>5.2</v>
      </c>
      <c r="W221" s="168">
        <v>60.0</v>
      </c>
      <c r="X221" s="163">
        <f t="shared" si="35"/>
        <v>156</v>
      </c>
      <c r="Y221" s="168">
        <v>12.2</v>
      </c>
      <c r="Z221" s="163">
        <f t="shared" si="36"/>
        <v>31.72</v>
      </c>
      <c r="AA221" s="168">
        <v>20.0</v>
      </c>
      <c r="AB221" s="163">
        <f t="shared" si="37"/>
        <v>52</v>
      </c>
      <c r="AC221" s="163">
        <f t="shared" si="38"/>
        <v>5.8</v>
      </c>
      <c r="AD221" s="163">
        <f t="shared" si="39"/>
        <v>15.08</v>
      </c>
      <c r="AE221" s="45" t="s">
        <v>3200</v>
      </c>
      <c r="AF221" s="20" t="s">
        <v>3202</v>
      </c>
      <c r="AG221" s="26">
        <v>89147.0</v>
      </c>
      <c r="AH221" s="20">
        <v>2022.0</v>
      </c>
      <c r="AI221" s="27"/>
      <c r="AJ221" s="27"/>
      <c r="AK221" s="27"/>
      <c r="AL221" s="27"/>
      <c r="AM221" s="27"/>
      <c r="AN221" s="27"/>
      <c r="AO221" s="27"/>
      <c r="AP221" s="27"/>
      <c r="AQ221" s="20"/>
      <c r="AR221" s="20"/>
      <c r="AS221" s="20"/>
    </row>
    <row r="222">
      <c r="A222" s="28">
        <f t="shared" si="33"/>
        <v>221</v>
      </c>
      <c r="B222" s="31" t="s">
        <v>3203</v>
      </c>
      <c r="C222" s="32"/>
      <c r="D222" s="31" t="s">
        <v>2399</v>
      </c>
      <c r="E222" s="32"/>
      <c r="F222" s="31" t="s">
        <v>3204</v>
      </c>
      <c r="G222" s="31" t="s">
        <v>702</v>
      </c>
      <c r="H222" s="31" t="s">
        <v>67</v>
      </c>
      <c r="I222" s="31" t="s">
        <v>33</v>
      </c>
      <c r="J222" s="92">
        <v>44945.0</v>
      </c>
      <c r="K222" s="31">
        <v>122.0</v>
      </c>
      <c r="L222" s="45" t="s">
        <v>3205</v>
      </c>
      <c r="M222" s="157">
        <v>1908.0</v>
      </c>
      <c r="N222" s="31" t="s">
        <v>3185</v>
      </c>
      <c r="O222" s="31" t="s">
        <v>3198</v>
      </c>
      <c r="P222" s="33" t="s">
        <v>3206</v>
      </c>
      <c r="Q222" s="134"/>
      <c r="R222" s="32"/>
      <c r="S222" s="132" t="s">
        <v>3207</v>
      </c>
      <c r="T222" s="45" t="s">
        <v>3208</v>
      </c>
      <c r="U222" s="168">
        <v>0.0</v>
      </c>
      <c r="V222" s="163">
        <f t="shared" si="34"/>
        <v>0</v>
      </c>
      <c r="W222" s="168">
        <v>1.0</v>
      </c>
      <c r="X222" s="163">
        <f t="shared" si="35"/>
        <v>1.22</v>
      </c>
      <c r="Y222" s="168">
        <v>0.0</v>
      </c>
      <c r="Z222" s="163">
        <f t="shared" si="36"/>
        <v>0</v>
      </c>
      <c r="AA222" s="168">
        <v>92.0</v>
      </c>
      <c r="AB222" s="163">
        <f t="shared" si="37"/>
        <v>112.24</v>
      </c>
      <c r="AC222" s="163">
        <f t="shared" si="38"/>
        <v>7</v>
      </c>
      <c r="AD222" s="163">
        <f t="shared" si="39"/>
        <v>8.54</v>
      </c>
      <c r="AE222" s="45" t="s">
        <v>3205</v>
      </c>
      <c r="AF222" s="20" t="s">
        <v>3209</v>
      </c>
      <c r="AG222" s="26">
        <v>71956.0</v>
      </c>
      <c r="AH222" s="20">
        <v>2022.0</v>
      </c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</row>
    <row r="223">
      <c r="A223" s="28">
        <f t="shared" si="33"/>
        <v>222</v>
      </c>
      <c r="B223" s="31" t="s">
        <v>3210</v>
      </c>
      <c r="C223" s="32"/>
      <c r="D223" s="31" t="s">
        <v>2399</v>
      </c>
      <c r="E223" s="32"/>
      <c r="F223" s="219" t="s">
        <v>3211</v>
      </c>
      <c r="G223" s="31" t="s">
        <v>66</v>
      </c>
      <c r="H223" s="31" t="s">
        <v>67</v>
      </c>
      <c r="I223" s="31" t="s">
        <v>23</v>
      </c>
      <c r="J223" s="92">
        <v>44963.0</v>
      </c>
      <c r="K223" s="31">
        <v>100.0</v>
      </c>
      <c r="L223" s="45" t="s">
        <v>3212</v>
      </c>
      <c r="M223" s="157">
        <v>2014.0</v>
      </c>
      <c r="N223" s="31" t="s">
        <v>3213</v>
      </c>
      <c r="O223" s="32"/>
      <c r="P223" s="32"/>
      <c r="Q223" s="134"/>
      <c r="R223" s="32"/>
      <c r="S223" s="132">
        <v>0.0</v>
      </c>
      <c r="T223" s="131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32"/>
      <c r="AF223" s="20" t="s">
        <v>3214</v>
      </c>
      <c r="AG223" s="26">
        <v>32197.0</v>
      </c>
      <c r="AH223" s="20">
        <v>2022.0</v>
      </c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</row>
    <row r="224">
      <c r="A224" s="28">
        <f t="shared" si="33"/>
        <v>223</v>
      </c>
      <c r="B224" s="220" t="s">
        <v>3215</v>
      </c>
      <c r="C224" s="31" t="s">
        <v>1969</v>
      </c>
      <c r="D224" s="31" t="s">
        <v>2399</v>
      </c>
      <c r="E224" s="32"/>
      <c r="F224" s="31" t="s">
        <v>1337</v>
      </c>
      <c r="G224" s="221" t="s">
        <v>76</v>
      </c>
      <c r="H224" s="221" t="s">
        <v>43</v>
      </c>
      <c r="I224" s="221" t="s">
        <v>33</v>
      </c>
      <c r="J224" s="222">
        <v>44972.0</v>
      </c>
      <c r="K224" s="223">
        <v>240.0</v>
      </c>
      <c r="L224" s="224" t="s">
        <v>3216</v>
      </c>
      <c r="M224" s="223">
        <v>1870.0</v>
      </c>
      <c r="N224" s="32"/>
      <c r="O224" s="31" t="s">
        <v>3198</v>
      </c>
      <c r="P224" s="32"/>
      <c r="Q224" s="175">
        <v>65.0</v>
      </c>
      <c r="R224" s="139"/>
      <c r="S224" s="225">
        <v>4500.0</v>
      </c>
      <c r="T224" s="226"/>
      <c r="U224" s="227">
        <v>24.2</v>
      </c>
      <c r="V224" s="228">
        <f t="shared" ref="V224:V233" si="40">(U224*$K224)/100</f>
        <v>58.08</v>
      </c>
      <c r="W224" s="227">
        <v>53.5</v>
      </c>
      <c r="X224" s="228">
        <f t="shared" ref="X224:X235" si="41">(W224*$K224)/100</f>
        <v>128.4</v>
      </c>
      <c r="Y224" s="227">
        <v>2.6</v>
      </c>
      <c r="Z224" s="228">
        <f t="shared" ref="Z224:Z235" si="42">(Y224*$K224)/100</f>
        <v>6.24</v>
      </c>
      <c r="AA224" s="227">
        <v>0.6</v>
      </c>
      <c r="AB224" s="163">
        <f t="shared" ref="AB224:AB240" si="43">(AA224*$K224)/100</f>
        <v>1.44</v>
      </c>
      <c r="AC224" s="228">
        <f t="shared" ref="AC224:AC233" si="44">100-(U224+W224+Y224+AA224)</f>
        <v>19.1</v>
      </c>
      <c r="AD224" s="228">
        <f t="shared" ref="AD224:AD235" si="45">(AC224*$K224)/100</f>
        <v>45.84</v>
      </c>
      <c r="AE224" s="226"/>
      <c r="AF224" s="20" t="s">
        <v>3217</v>
      </c>
      <c r="AG224" s="26">
        <v>45530.0</v>
      </c>
      <c r="AH224" s="223">
        <v>2022.0</v>
      </c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</row>
    <row r="225">
      <c r="A225" s="28">
        <f t="shared" si="33"/>
        <v>224</v>
      </c>
      <c r="B225" s="220" t="s">
        <v>3218</v>
      </c>
      <c r="C225" s="31" t="s">
        <v>1969</v>
      </c>
      <c r="D225" s="31" t="s">
        <v>2399</v>
      </c>
      <c r="E225" s="32"/>
      <c r="F225" s="31" t="s">
        <v>1337</v>
      </c>
      <c r="G225" s="221" t="s">
        <v>76</v>
      </c>
      <c r="H225" s="221" t="s">
        <v>43</v>
      </c>
      <c r="I225" s="221" t="s">
        <v>33</v>
      </c>
      <c r="J225" s="222">
        <v>44972.0</v>
      </c>
      <c r="K225" s="223">
        <v>292.0</v>
      </c>
      <c r="L225" s="224" t="s">
        <v>3219</v>
      </c>
      <c r="M225" s="223">
        <v>1885.0</v>
      </c>
      <c r="N225" s="32"/>
      <c r="O225" s="31" t="s">
        <v>3198</v>
      </c>
      <c r="P225" s="32"/>
      <c r="Q225" s="134"/>
      <c r="R225" s="139"/>
      <c r="S225" s="229">
        <v>7200.0</v>
      </c>
      <c r="T225" s="226"/>
      <c r="U225" s="227">
        <v>11.1</v>
      </c>
      <c r="V225" s="228">
        <f t="shared" si="40"/>
        <v>32.412</v>
      </c>
      <c r="W225" s="227">
        <v>55.3</v>
      </c>
      <c r="X225" s="228">
        <f t="shared" si="41"/>
        <v>161.476</v>
      </c>
      <c r="Y225" s="227">
        <v>3.2</v>
      </c>
      <c r="Z225" s="228">
        <f t="shared" si="42"/>
        <v>9.344</v>
      </c>
      <c r="AA225" s="227">
        <v>22.6</v>
      </c>
      <c r="AB225" s="163">
        <f t="shared" si="43"/>
        <v>65.992</v>
      </c>
      <c r="AC225" s="228">
        <f t="shared" si="44"/>
        <v>7.8</v>
      </c>
      <c r="AD225" s="228">
        <f t="shared" si="45"/>
        <v>22.776</v>
      </c>
      <c r="AE225" s="226"/>
      <c r="AF225" s="20" t="s">
        <v>3220</v>
      </c>
      <c r="AG225" s="26">
        <v>147678.0</v>
      </c>
      <c r="AH225" s="223">
        <v>2022.0</v>
      </c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</row>
    <row r="226">
      <c r="A226" s="28">
        <f t="shared" si="33"/>
        <v>225</v>
      </c>
      <c r="B226" s="220" t="s">
        <v>3221</v>
      </c>
      <c r="C226" s="31" t="s">
        <v>1969</v>
      </c>
      <c r="D226" s="31" t="s">
        <v>2399</v>
      </c>
      <c r="E226" s="32"/>
      <c r="F226" s="31" t="s">
        <v>1337</v>
      </c>
      <c r="G226" s="221" t="s">
        <v>76</v>
      </c>
      <c r="H226" s="221" t="s">
        <v>43</v>
      </c>
      <c r="I226" s="221" t="s">
        <v>33</v>
      </c>
      <c r="J226" s="222">
        <v>44972.0</v>
      </c>
      <c r="K226" s="223">
        <v>234.0</v>
      </c>
      <c r="L226" s="224" t="s">
        <v>3222</v>
      </c>
      <c r="M226" s="223">
        <v>1911.0</v>
      </c>
      <c r="N226" s="32"/>
      <c r="O226" s="31" t="s">
        <v>3198</v>
      </c>
      <c r="P226" s="32"/>
      <c r="Q226" s="134"/>
      <c r="R226" s="139"/>
      <c r="S226" s="225">
        <v>5750.0</v>
      </c>
      <c r="T226" s="226"/>
      <c r="U226" s="227">
        <v>28.9</v>
      </c>
      <c r="V226" s="228">
        <f t="shared" si="40"/>
        <v>67.626</v>
      </c>
      <c r="W226" s="227">
        <v>57.8</v>
      </c>
      <c r="X226" s="228">
        <f t="shared" si="41"/>
        <v>135.252</v>
      </c>
      <c r="Y226" s="227">
        <v>1.9</v>
      </c>
      <c r="Z226" s="228">
        <f t="shared" si="42"/>
        <v>4.446</v>
      </c>
      <c r="AA226" s="227">
        <v>8.5</v>
      </c>
      <c r="AB226" s="163">
        <f t="shared" si="43"/>
        <v>19.89</v>
      </c>
      <c r="AC226" s="228">
        <f t="shared" si="44"/>
        <v>2.9</v>
      </c>
      <c r="AD226" s="228">
        <f t="shared" si="45"/>
        <v>6.786</v>
      </c>
      <c r="AE226" s="226"/>
      <c r="AF226" s="20" t="s">
        <v>3223</v>
      </c>
      <c r="AG226" s="26">
        <v>289526.0</v>
      </c>
      <c r="AH226" s="223">
        <v>2022.0</v>
      </c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</row>
    <row r="227">
      <c r="A227" s="28">
        <f t="shared" si="33"/>
        <v>226</v>
      </c>
      <c r="B227" s="220" t="s">
        <v>3224</v>
      </c>
      <c r="C227" s="31" t="s">
        <v>1969</v>
      </c>
      <c r="D227" s="31" t="s">
        <v>2399</v>
      </c>
      <c r="E227" s="32"/>
      <c r="F227" s="31" t="s">
        <v>3225</v>
      </c>
      <c r="G227" s="221" t="s">
        <v>76</v>
      </c>
      <c r="H227" s="221" t="s">
        <v>43</v>
      </c>
      <c r="I227" s="221" t="s">
        <v>33</v>
      </c>
      <c r="J227" s="222">
        <v>44972.0</v>
      </c>
      <c r="K227" s="223">
        <v>329.0</v>
      </c>
      <c r="L227" s="224" t="s">
        <v>3226</v>
      </c>
      <c r="M227" s="230"/>
      <c r="N227" s="32"/>
      <c r="O227" s="31" t="s">
        <v>3198</v>
      </c>
      <c r="P227" s="32"/>
      <c r="Q227" s="134"/>
      <c r="R227" s="139"/>
      <c r="S227" s="225">
        <v>6400.0</v>
      </c>
      <c r="T227" s="226"/>
      <c r="U227" s="227">
        <v>21.9</v>
      </c>
      <c r="V227" s="228">
        <f t="shared" si="40"/>
        <v>72.051</v>
      </c>
      <c r="W227" s="227">
        <v>68.4</v>
      </c>
      <c r="X227" s="228">
        <f t="shared" si="41"/>
        <v>225.036</v>
      </c>
      <c r="Y227" s="227">
        <v>7.2</v>
      </c>
      <c r="Z227" s="228">
        <f t="shared" si="42"/>
        <v>23.688</v>
      </c>
      <c r="AA227" s="227">
        <v>0.4</v>
      </c>
      <c r="AB227" s="163">
        <f t="shared" si="43"/>
        <v>1.316</v>
      </c>
      <c r="AC227" s="228">
        <f t="shared" si="44"/>
        <v>2.1</v>
      </c>
      <c r="AD227" s="228">
        <f t="shared" si="45"/>
        <v>6.909</v>
      </c>
      <c r="AE227" s="226"/>
      <c r="AF227" s="20" t="s">
        <v>3227</v>
      </c>
      <c r="AG227" s="26">
        <v>84368.0</v>
      </c>
      <c r="AH227" s="223">
        <v>2022.0</v>
      </c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</row>
    <row r="228">
      <c r="A228" s="28">
        <f t="shared" si="33"/>
        <v>227</v>
      </c>
      <c r="B228" s="220" t="s">
        <v>3228</v>
      </c>
      <c r="C228" s="31" t="s">
        <v>1969</v>
      </c>
      <c r="D228" s="31" t="s">
        <v>2399</v>
      </c>
      <c r="E228" s="32"/>
      <c r="F228" s="31" t="s">
        <v>1337</v>
      </c>
      <c r="G228" s="221" t="s">
        <v>76</v>
      </c>
      <c r="H228" s="221" t="s">
        <v>43</v>
      </c>
      <c r="I228" s="221" t="s">
        <v>33</v>
      </c>
      <c r="J228" s="222">
        <v>44972.0</v>
      </c>
      <c r="K228" s="223">
        <v>248.0</v>
      </c>
      <c r="L228" s="224" t="s">
        <v>3229</v>
      </c>
      <c r="M228" s="230"/>
      <c r="N228" s="32"/>
      <c r="O228" s="31" t="s">
        <v>3198</v>
      </c>
      <c r="P228" s="32"/>
      <c r="Q228" s="134"/>
      <c r="R228" s="139"/>
      <c r="S228" s="225">
        <v>6370.0</v>
      </c>
      <c r="T228" s="226"/>
      <c r="U228" s="227">
        <v>15.2</v>
      </c>
      <c r="V228" s="228">
        <f t="shared" si="40"/>
        <v>37.696</v>
      </c>
      <c r="W228" s="227">
        <v>38.2</v>
      </c>
      <c r="X228" s="228">
        <f t="shared" si="41"/>
        <v>94.736</v>
      </c>
      <c r="Y228" s="227">
        <v>17.2</v>
      </c>
      <c r="Z228" s="228">
        <f t="shared" si="42"/>
        <v>42.656</v>
      </c>
      <c r="AA228" s="227">
        <v>13.7</v>
      </c>
      <c r="AB228" s="163">
        <f t="shared" si="43"/>
        <v>33.976</v>
      </c>
      <c r="AC228" s="228">
        <f t="shared" si="44"/>
        <v>15.7</v>
      </c>
      <c r="AD228" s="228">
        <f t="shared" si="45"/>
        <v>38.936</v>
      </c>
      <c r="AE228" s="226"/>
      <c r="AF228" s="20" t="s">
        <v>3230</v>
      </c>
      <c r="AG228" s="26">
        <v>98297.0</v>
      </c>
      <c r="AH228" s="223">
        <v>2022.0</v>
      </c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</row>
    <row r="229">
      <c r="A229" s="28">
        <f t="shared" si="33"/>
        <v>228</v>
      </c>
      <c r="B229" s="231" t="s">
        <v>3231</v>
      </c>
      <c r="C229" s="31" t="s">
        <v>1969</v>
      </c>
      <c r="D229" s="31" t="s">
        <v>2399</v>
      </c>
      <c r="E229" s="32"/>
      <c r="F229" s="31" t="s">
        <v>3225</v>
      </c>
      <c r="G229" s="221" t="s">
        <v>76</v>
      </c>
      <c r="H229" s="221" t="s">
        <v>43</v>
      </c>
      <c r="I229" s="221" t="s">
        <v>33</v>
      </c>
      <c r="J229" s="222">
        <v>44972.0</v>
      </c>
      <c r="K229" s="223">
        <v>340.0</v>
      </c>
      <c r="L229" s="224" t="s">
        <v>3232</v>
      </c>
      <c r="M229" s="230"/>
      <c r="N229" s="32"/>
      <c r="O229" s="31" t="s">
        <v>3198</v>
      </c>
      <c r="P229" s="32"/>
      <c r="Q229" s="134"/>
      <c r="R229" s="139"/>
      <c r="S229" s="225">
        <v>6400.0</v>
      </c>
      <c r="T229" s="226"/>
      <c r="U229" s="227">
        <v>71.9</v>
      </c>
      <c r="V229" s="228">
        <f t="shared" si="40"/>
        <v>244.46</v>
      </c>
      <c r="W229" s="227">
        <v>19.2</v>
      </c>
      <c r="X229" s="228">
        <f t="shared" si="41"/>
        <v>65.28</v>
      </c>
      <c r="Y229" s="227">
        <v>1.4</v>
      </c>
      <c r="Z229" s="228">
        <f t="shared" si="42"/>
        <v>4.76</v>
      </c>
      <c r="AA229" s="227">
        <v>0.0</v>
      </c>
      <c r="AB229" s="163">
        <f t="shared" si="43"/>
        <v>0</v>
      </c>
      <c r="AC229" s="228">
        <f t="shared" si="44"/>
        <v>7.5</v>
      </c>
      <c r="AD229" s="228">
        <f t="shared" si="45"/>
        <v>25.5</v>
      </c>
      <c r="AE229" s="226"/>
      <c r="AF229" s="20" t="s">
        <v>3233</v>
      </c>
      <c r="AG229" s="26">
        <v>73884.0</v>
      </c>
      <c r="AH229" s="223">
        <v>2022.0</v>
      </c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</row>
    <row r="230">
      <c r="A230" s="28">
        <f t="shared" si="33"/>
        <v>229</v>
      </c>
      <c r="B230" s="220" t="s">
        <v>3234</v>
      </c>
      <c r="C230" s="31" t="s">
        <v>1969</v>
      </c>
      <c r="D230" s="31" t="s">
        <v>2399</v>
      </c>
      <c r="E230" s="32"/>
      <c r="F230" s="31" t="s">
        <v>1337</v>
      </c>
      <c r="G230" s="221" t="s">
        <v>76</v>
      </c>
      <c r="H230" s="221" t="s">
        <v>43</v>
      </c>
      <c r="I230" s="221" t="s">
        <v>33</v>
      </c>
      <c r="J230" s="222">
        <v>44972.0</v>
      </c>
      <c r="K230" s="223">
        <v>291.0</v>
      </c>
      <c r="L230" s="224" t="s">
        <v>3235</v>
      </c>
      <c r="M230" s="230"/>
      <c r="N230" s="32"/>
      <c r="O230" s="31" t="s">
        <v>3198</v>
      </c>
      <c r="P230" s="32"/>
      <c r="Q230" s="134"/>
      <c r="R230" s="139"/>
      <c r="S230" s="221"/>
      <c r="T230" s="221"/>
      <c r="U230" s="227">
        <v>1.6</v>
      </c>
      <c r="V230" s="228">
        <f t="shared" si="40"/>
        <v>4.656</v>
      </c>
      <c r="W230" s="227">
        <v>86.0</v>
      </c>
      <c r="X230" s="228">
        <f t="shared" si="41"/>
        <v>250.26</v>
      </c>
      <c r="Y230" s="227">
        <v>0.5</v>
      </c>
      <c r="Z230" s="228">
        <f t="shared" si="42"/>
        <v>1.455</v>
      </c>
      <c r="AA230" s="227">
        <v>1.6</v>
      </c>
      <c r="AB230" s="163">
        <f t="shared" si="43"/>
        <v>4.656</v>
      </c>
      <c r="AC230" s="228">
        <f t="shared" si="44"/>
        <v>10.3</v>
      </c>
      <c r="AD230" s="228">
        <f t="shared" si="45"/>
        <v>29.973</v>
      </c>
      <c r="AE230" s="226"/>
      <c r="AF230" s="20" t="s">
        <v>3236</v>
      </c>
      <c r="AG230" s="26">
        <v>87080.0</v>
      </c>
      <c r="AH230" s="223">
        <v>2022.0</v>
      </c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</row>
    <row r="231">
      <c r="A231" s="28">
        <f t="shared" si="33"/>
        <v>230</v>
      </c>
      <c r="B231" s="220" t="s">
        <v>3237</v>
      </c>
      <c r="C231" s="31" t="s">
        <v>1969</v>
      </c>
      <c r="D231" s="31" t="s">
        <v>2399</v>
      </c>
      <c r="E231" s="32"/>
      <c r="F231" s="31" t="s">
        <v>3225</v>
      </c>
      <c r="G231" s="221" t="s">
        <v>76</v>
      </c>
      <c r="H231" s="221" t="s">
        <v>43</v>
      </c>
      <c r="I231" s="221" t="s">
        <v>33</v>
      </c>
      <c r="J231" s="222">
        <v>44972.0</v>
      </c>
      <c r="K231" s="223">
        <v>274.0</v>
      </c>
      <c r="L231" s="224" t="s">
        <v>3238</v>
      </c>
      <c r="M231" s="230"/>
      <c r="N231" s="32"/>
      <c r="O231" s="31" t="s">
        <v>3198</v>
      </c>
      <c r="P231" s="32"/>
      <c r="Q231" s="134"/>
      <c r="R231" s="139"/>
      <c r="S231" s="225">
        <v>6300.0</v>
      </c>
      <c r="T231" s="226"/>
      <c r="U231" s="227">
        <v>10.2</v>
      </c>
      <c r="V231" s="228">
        <f t="shared" si="40"/>
        <v>27.948</v>
      </c>
      <c r="W231" s="227">
        <v>74.5</v>
      </c>
      <c r="X231" s="228">
        <f t="shared" si="41"/>
        <v>204.13</v>
      </c>
      <c r="Y231" s="227">
        <v>10.6</v>
      </c>
      <c r="Z231" s="228">
        <f t="shared" si="42"/>
        <v>29.044</v>
      </c>
      <c r="AA231" s="227">
        <v>3.3</v>
      </c>
      <c r="AB231" s="163">
        <f t="shared" si="43"/>
        <v>9.042</v>
      </c>
      <c r="AC231" s="228">
        <f t="shared" si="44"/>
        <v>1.4</v>
      </c>
      <c r="AD231" s="228">
        <f t="shared" si="45"/>
        <v>3.836</v>
      </c>
      <c r="AE231" s="226"/>
      <c r="AF231" s="20" t="s">
        <v>3239</v>
      </c>
      <c r="AG231" s="26">
        <v>60687.0</v>
      </c>
      <c r="AH231" s="223">
        <v>2022.0</v>
      </c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</row>
    <row r="232">
      <c r="A232" s="28">
        <f t="shared" si="33"/>
        <v>231</v>
      </c>
      <c r="B232" s="220" t="s">
        <v>3240</v>
      </c>
      <c r="C232" s="31" t="s">
        <v>1969</v>
      </c>
      <c r="D232" s="31" t="s">
        <v>2399</v>
      </c>
      <c r="E232" s="32"/>
      <c r="F232" s="31" t="s">
        <v>3225</v>
      </c>
      <c r="G232" s="221" t="s">
        <v>76</v>
      </c>
      <c r="H232" s="221" t="s">
        <v>43</v>
      </c>
      <c r="I232" s="221" t="s">
        <v>33</v>
      </c>
      <c r="J232" s="222">
        <v>44972.0</v>
      </c>
      <c r="K232" s="223">
        <v>297.0</v>
      </c>
      <c r="L232" s="224" t="s">
        <v>3241</v>
      </c>
      <c r="M232" s="223">
        <v>1904.0</v>
      </c>
      <c r="N232" s="32"/>
      <c r="O232" s="31" t="s">
        <v>3198</v>
      </c>
      <c r="P232" s="32"/>
      <c r="Q232" s="134"/>
      <c r="R232" s="139"/>
      <c r="S232" s="225">
        <v>5400.0</v>
      </c>
      <c r="T232" s="226"/>
      <c r="U232" s="227">
        <v>46.7</v>
      </c>
      <c r="V232" s="228">
        <f t="shared" si="40"/>
        <v>138.699</v>
      </c>
      <c r="W232" s="227">
        <v>46.2</v>
      </c>
      <c r="X232" s="228">
        <f t="shared" si="41"/>
        <v>137.214</v>
      </c>
      <c r="Y232" s="227">
        <v>0.0</v>
      </c>
      <c r="Z232" s="228">
        <f t="shared" si="42"/>
        <v>0</v>
      </c>
      <c r="AA232" s="227">
        <v>0.9</v>
      </c>
      <c r="AB232" s="163">
        <f t="shared" si="43"/>
        <v>2.673</v>
      </c>
      <c r="AC232" s="228">
        <f t="shared" si="44"/>
        <v>6.2</v>
      </c>
      <c r="AD232" s="228">
        <f t="shared" si="45"/>
        <v>18.414</v>
      </c>
      <c r="AE232" s="226"/>
      <c r="AF232" s="20" t="s">
        <v>3242</v>
      </c>
      <c r="AG232" s="26">
        <v>49936.0</v>
      </c>
      <c r="AH232" s="223">
        <v>2022.0</v>
      </c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</row>
    <row r="233">
      <c r="A233" s="28">
        <f t="shared" si="33"/>
        <v>232</v>
      </c>
      <c r="B233" s="220" t="s">
        <v>3243</v>
      </c>
      <c r="C233" s="31" t="s">
        <v>1969</v>
      </c>
      <c r="D233" s="31" t="s">
        <v>2399</v>
      </c>
      <c r="E233" s="32"/>
      <c r="F233" s="31" t="s">
        <v>3225</v>
      </c>
      <c r="G233" s="221" t="s">
        <v>76</v>
      </c>
      <c r="H233" s="221" t="s">
        <v>43</v>
      </c>
      <c r="I233" s="221" t="s">
        <v>33</v>
      </c>
      <c r="J233" s="222">
        <v>44972.0</v>
      </c>
      <c r="K233" s="223">
        <v>250.0</v>
      </c>
      <c r="L233" s="224" t="s">
        <v>3244</v>
      </c>
      <c r="M233" s="230"/>
      <c r="N233" s="32"/>
      <c r="O233" s="31" t="s">
        <v>3198</v>
      </c>
      <c r="P233" s="32"/>
      <c r="Q233" s="134"/>
      <c r="R233" s="139"/>
      <c r="S233" s="225">
        <v>6550.0</v>
      </c>
      <c r="T233" s="226"/>
      <c r="U233" s="227">
        <v>16.0</v>
      </c>
      <c r="V233" s="228">
        <f t="shared" si="40"/>
        <v>40</v>
      </c>
      <c r="W233" s="227">
        <v>59.0</v>
      </c>
      <c r="X233" s="228">
        <f t="shared" si="41"/>
        <v>147.5</v>
      </c>
      <c r="Y233" s="227">
        <v>4.0</v>
      </c>
      <c r="Z233" s="228">
        <f t="shared" si="42"/>
        <v>10</v>
      </c>
      <c r="AA233" s="227">
        <v>12.0</v>
      </c>
      <c r="AB233" s="163">
        <f t="shared" si="43"/>
        <v>30</v>
      </c>
      <c r="AC233" s="228">
        <f t="shared" si="44"/>
        <v>9</v>
      </c>
      <c r="AD233" s="228">
        <f t="shared" si="45"/>
        <v>22.5</v>
      </c>
      <c r="AE233" s="226"/>
      <c r="AF233" s="20" t="s">
        <v>3245</v>
      </c>
      <c r="AG233" s="26">
        <v>56371.0</v>
      </c>
      <c r="AH233" s="223">
        <v>2022.0</v>
      </c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</row>
    <row r="234">
      <c r="A234" s="28">
        <f t="shared" si="33"/>
        <v>233</v>
      </c>
      <c r="B234" s="220" t="s">
        <v>3246</v>
      </c>
      <c r="C234" s="31" t="s">
        <v>1969</v>
      </c>
      <c r="D234" s="31" t="s">
        <v>2399</v>
      </c>
      <c r="E234" s="32"/>
      <c r="F234" s="31" t="s">
        <v>2492</v>
      </c>
      <c r="G234" s="221" t="s">
        <v>76</v>
      </c>
      <c r="H234" s="221" t="s">
        <v>43</v>
      </c>
      <c r="I234" s="221" t="s">
        <v>33</v>
      </c>
      <c r="J234" s="222">
        <v>44972.0</v>
      </c>
      <c r="K234" s="223">
        <v>259.0</v>
      </c>
      <c r="L234" s="232" t="s">
        <v>3247</v>
      </c>
      <c r="M234" s="230"/>
      <c r="N234" s="32"/>
      <c r="O234" s="31" t="s">
        <v>3198</v>
      </c>
      <c r="P234" s="32"/>
      <c r="Q234" s="134"/>
      <c r="R234" s="139"/>
      <c r="S234" s="233"/>
      <c r="T234" s="233"/>
      <c r="U234" s="227"/>
      <c r="V234" s="228"/>
      <c r="W234" s="227"/>
      <c r="X234" s="228">
        <f t="shared" si="41"/>
        <v>0</v>
      </c>
      <c r="Y234" s="227"/>
      <c r="Z234" s="228">
        <f t="shared" si="42"/>
        <v>0</v>
      </c>
      <c r="AA234" s="227"/>
      <c r="AB234" s="163">
        <f t="shared" si="43"/>
        <v>0</v>
      </c>
      <c r="AC234" s="228"/>
      <c r="AD234" s="228">
        <f t="shared" si="45"/>
        <v>0</v>
      </c>
      <c r="AE234" s="226"/>
      <c r="AF234" s="20" t="s">
        <v>3248</v>
      </c>
      <c r="AG234" s="26">
        <v>116969.0</v>
      </c>
      <c r="AH234" s="223">
        <v>2022.0</v>
      </c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</row>
    <row r="235">
      <c r="A235" s="28">
        <f t="shared" si="33"/>
        <v>234</v>
      </c>
      <c r="B235" s="234" t="s">
        <v>3249</v>
      </c>
      <c r="C235" s="31" t="s">
        <v>1969</v>
      </c>
      <c r="D235" s="31" t="s">
        <v>2399</v>
      </c>
      <c r="E235" s="32"/>
      <c r="F235" s="31" t="s">
        <v>3225</v>
      </c>
      <c r="G235" s="221" t="s">
        <v>76</v>
      </c>
      <c r="H235" s="221" t="s">
        <v>43</v>
      </c>
      <c r="I235" s="221" t="s">
        <v>33</v>
      </c>
      <c r="J235" s="222">
        <v>44972.0</v>
      </c>
      <c r="K235" s="223">
        <v>334.0</v>
      </c>
      <c r="L235" s="224" t="s">
        <v>3250</v>
      </c>
      <c r="M235" s="230"/>
      <c r="N235" s="32"/>
      <c r="O235" s="31" t="s">
        <v>3198</v>
      </c>
      <c r="P235" s="32"/>
      <c r="Q235" s="134"/>
      <c r="R235" s="139"/>
      <c r="S235" s="225">
        <v>4200.0</v>
      </c>
      <c r="T235" s="226"/>
      <c r="U235" s="227">
        <v>21.8</v>
      </c>
      <c r="V235" s="228">
        <f>(U235*$K235)/100</f>
        <v>72.812</v>
      </c>
      <c r="W235" s="227">
        <v>72.0</v>
      </c>
      <c r="X235" s="228">
        <f t="shared" si="41"/>
        <v>240.48</v>
      </c>
      <c r="Y235" s="227">
        <v>4.5</v>
      </c>
      <c r="Z235" s="228">
        <f t="shared" si="42"/>
        <v>15.03</v>
      </c>
      <c r="AA235" s="227"/>
      <c r="AB235" s="163">
        <f t="shared" si="43"/>
        <v>0</v>
      </c>
      <c r="AC235" s="228">
        <f>100-(U235+W235+Y235+AA235)</f>
        <v>1.7</v>
      </c>
      <c r="AD235" s="228">
        <f t="shared" si="45"/>
        <v>5.678</v>
      </c>
      <c r="AE235" s="226"/>
      <c r="AF235" s="20" t="s">
        <v>3251</v>
      </c>
      <c r="AG235" s="26">
        <v>51332.0</v>
      </c>
      <c r="AH235" s="223">
        <v>2022.0</v>
      </c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</row>
    <row r="236">
      <c r="A236" s="28">
        <f t="shared" si="33"/>
        <v>235</v>
      </c>
      <c r="B236" s="31" t="s">
        <v>2630</v>
      </c>
      <c r="C236" s="31" t="s">
        <v>1969</v>
      </c>
      <c r="D236" s="31" t="s">
        <v>3198</v>
      </c>
      <c r="E236" s="31" t="s">
        <v>3252</v>
      </c>
      <c r="F236" s="31" t="s">
        <v>3225</v>
      </c>
      <c r="G236" s="221" t="s">
        <v>76</v>
      </c>
      <c r="H236" s="221" t="s">
        <v>43</v>
      </c>
      <c r="I236" s="221" t="s">
        <v>33</v>
      </c>
      <c r="J236" s="222">
        <v>44972.0</v>
      </c>
      <c r="K236" s="31">
        <v>325.0</v>
      </c>
      <c r="L236" s="33" t="s">
        <v>3253</v>
      </c>
      <c r="M236" s="157">
        <v>1929.0</v>
      </c>
      <c r="N236" s="32"/>
      <c r="O236" s="31" t="s">
        <v>3198</v>
      </c>
      <c r="P236" s="32"/>
      <c r="Q236" s="134"/>
      <c r="R236" s="32"/>
      <c r="S236" s="132">
        <v>6550.0</v>
      </c>
      <c r="T236" s="152" t="s">
        <v>3254</v>
      </c>
      <c r="U236" s="163"/>
      <c r="V236" s="163"/>
      <c r="W236" s="163"/>
      <c r="X236" s="163"/>
      <c r="Y236" s="163"/>
      <c r="Z236" s="163"/>
      <c r="AA236" s="163"/>
      <c r="AB236" s="163">
        <f t="shared" si="43"/>
        <v>0</v>
      </c>
      <c r="AC236" s="163"/>
      <c r="AD236" s="163"/>
      <c r="AE236" s="32"/>
      <c r="AF236" s="20" t="s">
        <v>3255</v>
      </c>
      <c r="AG236" s="26">
        <v>101950.0</v>
      </c>
      <c r="AH236" s="223">
        <v>2022.0</v>
      </c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</row>
    <row r="237">
      <c r="A237" s="28">
        <f t="shared" si="33"/>
        <v>236</v>
      </c>
      <c r="B237" s="31" t="s">
        <v>3256</v>
      </c>
      <c r="C237" s="31" t="s">
        <v>1969</v>
      </c>
      <c r="D237" s="31" t="s">
        <v>3198</v>
      </c>
      <c r="E237" s="31" t="s">
        <v>3252</v>
      </c>
      <c r="F237" s="31" t="s">
        <v>3225</v>
      </c>
      <c r="G237" s="221" t="s">
        <v>76</v>
      </c>
      <c r="H237" s="221" t="s">
        <v>43</v>
      </c>
      <c r="I237" s="221" t="s">
        <v>33</v>
      </c>
      <c r="J237" s="222">
        <v>44972.0</v>
      </c>
      <c r="K237" s="31">
        <v>500.0</v>
      </c>
      <c r="L237" s="33" t="s">
        <v>3257</v>
      </c>
      <c r="M237" s="157">
        <v>1951.0</v>
      </c>
      <c r="N237" s="32"/>
      <c r="O237" s="31" t="s">
        <v>3198</v>
      </c>
      <c r="P237" s="32"/>
      <c r="Q237" s="134"/>
      <c r="R237" s="32"/>
      <c r="S237" s="132">
        <v>6550.0</v>
      </c>
      <c r="T237" s="152" t="s">
        <v>3258</v>
      </c>
      <c r="U237" s="168">
        <v>5.2</v>
      </c>
      <c r="V237" s="228">
        <f t="shared" ref="V237:V240" si="46">(U237*$K237)/100</f>
        <v>26</v>
      </c>
      <c r="W237" s="168">
        <v>22.2</v>
      </c>
      <c r="X237" s="228">
        <f t="shared" ref="X237:X240" si="47">(W237*$K237)/100</f>
        <v>111</v>
      </c>
      <c r="Y237" s="168">
        <v>11.1</v>
      </c>
      <c r="Z237" s="228">
        <f t="shared" ref="Z237:Z240" si="48">(Y237*$K237)/100</f>
        <v>55.5</v>
      </c>
      <c r="AA237" s="168">
        <v>60.9</v>
      </c>
      <c r="AB237" s="163">
        <f t="shared" si="43"/>
        <v>304.5</v>
      </c>
      <c r="AC237" s="228">
        <f t="shared" ref="AC237:AC240" si="49">100-(U237+W237+Y237+AA237)</f>
        <v>0.6</v>
      </c>
      <c r="AD237" s="228">
        <f t="shared" ref="AD237:AD240" si="50">(AC237*$K237)/100</f>
        <v>3</v>
      </c>
      <c r="AE237" s="33" t="s">
        <v>3259</v>
      </c>
      <c r="AF237" s="20" t="s">
        <v>3260</v>
      </c>
      <c r="AG237" s="26">
        <v>113395.0</v>
      </c>
      <c r="AH237" s="223">
        <v>2022.0</v>
      </c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</row>
    <row r="238">
      <c r="A238" s="28">
        <f t="shared" si="33"/>
        <v>237</v>
      </c>
      <c r="B238" s="31" t="s">
        <v>3261</v>
      </c>
      <c r="C238" s="31" t="s">
        <v>1969</v>
      </c>
      <c r="D238" s="31" t="s">
        <v>3198</v>
      </c>
      <c r="E238" s="235" t="s">
        <v>3262</v>
      </c>
      <c r="F238" s="31" t="s">
        <v>3225</v>
      </c>
      <c r="G238" s="221" t="s">
        <v>76</v>
      </c>
      <c r="H238" s="221" t="s">
        <v>43</v>
      </c>
      <c r="I238" s="221" t="s">
        <v>33</v>
      </c>
      <c r="J238" s="222">
        <v>44972.0</v>
      </c>
      <c r="K238" s="31">
        <v>285.0</v>
      </c>
      <c r="L238" s="33" t="s">
        <v>3263</v>
      </c>
      <c r="M238" s="157">
        <v>1941.0</v>
      </c>
      <c r="N238" s="32"/>
      <c r="O238" s="31" t="s">
        <v>3198</v>
      </c>
      <c r="P238" s="32"/>
      <c r="Q238" s="134"/>
      <c r="R238" s="32"/>
      <c r="S238" s="132">
        <v>7250.0</v>
      </c>
      <c r="T238" s="152" t="s">
        <v>3264</v>
      </c>
      <c r="U238" s="168">
        <v>12.1</v>
      </c>
      <c r="V238" s="228">
        <f t="shared" si="46"/>
        <v>34.485</v>
      </c>
      <c r="W238" s="168">
        <v>24.2</v>
      </c>
      <c r="X238" s="228">
        <f t="shared" si="47"/>
        <v>68.97</v>
      </c>
      <c r="Y238" s="168">
        <v>5.1</v>
      </c>
      <c r="Z238" s="228">
        <f t="shared" si="48"/>
        <v>14.535</v>
      </c>
      <c r="AA238" s="168">
        <v>58.6</v>
      </c>
      <c r="AB238" s="163">
        <f t="shared" si="43"/>
        <v>167.01</v>
      </c>
      <c r="AC238" s="228">
        <f t="shared" si="49"/>
        <v>0</v>
      </c>
      <c r="AD238" s="228">
        <f t="shared" si="50"/>
        <v>0</v>
      </c>
      <c r="AE238" s="33" t="s">
        <v>3265</v>
      </c>
      <c r="AF238" s="20" t="s">
        <v>3266</v>
      </c>
      <c r="AG238" s="26">
        <v>148995.0</v>
      </c>
      <c r="AH238" s="223">
        <v>2022.0</v>
      </c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</row>
    <row r="239">
      <c r="A239" s="28">
        <f t="shared" si="33"/>
        <v>238</v>
      </c>
      <c r="B239" s="31" t="s">
        <v>3267</v>
      </c>
      <c r="C239" s="31" t="s">
        <v>1969</v>
      </c>
      <c r="D239" s="31" t="s">
        <v>3198</v>
      </c>
      <c r="E239" s="31" t="s">
        <v>3268</v>
      </c>
      <c r="F239" s="31" t="s">
        <v>3225</v>
      </c>
      <c r="G239" s="221" t="s">
        <v>76</v>
      </c>
      <c r="H239" s="221" t="s">
        <v>43</v>
      </c>
      <c r="I239" s="221" t="s">
        <v>33</v>
      </c>
      <c r="J239" s="222">
        <v>44972.0</v>
      </c>
      <c r="K239" s="31">
        <v>272.0</v>
      </c>
      <c r="L239" s="33" t="s">
        <v>3269</v>
      </c>
      <c r="M239" s="157">
        <v>1926.0</v>
      </c>
      <c r="N239" s="31" t="s">
        <v>3270</v>
      </c>
      <c r="O239" s="31" t="s">
        <v>3198</v>
      </c>
      <c r="P239" s="32"/>
      <c r="Q239" s="134"/>
      <c r="R239" s="32"/>
      <c r="S239" s="132">
        <v>7250.0</v>
      </c>
      <c r="T239" s="152" t="s">
        <v>3271</v>
      </c>
      <c r="U239" s="168">
        <v>5.0</v>
      </c>
      <c r="V239" s="228">
        <f t="shared" si="46"/>
        <v>13.6</v>
      </c>
      <c r="W239" s="168">
        <v>22.8</v>
      </c>
      <c r="X239" s="228">
        <f t="shared" si="47"/>
        <v>62.016</v>
      </c>
      <c r="Y239" s="168">
        <v>3.5</v>
      </c>
      <c r="Z239" s="228">
        <f t="shared" si="48"/>
        <v>9.52</v>
      </c>
      <c r="AA239" s="168">
        <v>37.5</v>
      </c>
      <c r="AB239" s="163">
        <f t="shared" si="43"/>
        <v>102</v>
      </c>
      <c r="AC239" s="228">
        <f t="shared" si="49"/>
        <v>31.2</v>
      </c>
      <c r="AD239" s="228">
        <f t="shared" si="50"/>
        <v>84.864</v>
      </c>
      <c r="AE239" s="33" t="s">
        <v>3272</v>
      </c>
      <c r="AF239" s="20" t="s">
        <v>3273</v>
      </c>
      <c r="AG239" s="26">
        <v>126502.0</v>
      </c>
      <c r="AH239" s="223">
        <v>2022.0</v>
      </c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</row>
    <row r="240">
      <c r="A240" s="28">
        <f t="shared" si="33"/>
        <v>239</v>
      </c>
      <c r="B240" s="31" t="s">
        <v>3274</v>
      </c>
      <c r="C240" s="32"/>
      <c r="D240" s="31" t="s">
        <v>2399</v>
      </c>
      <c r="E240" s="32"/>
      <c r="F240" s="31" t="s">
        <v>207</v>
      </c>
      <c r="G240" s="31" t="s">
        <v>83</v>
      </c>
      <c r="H240" s="31" t="s">
        <v>43</v>
      </c>
      <c r="I240" s="31" t="s">
        <v>33</v>
      </c>
      <c r="J240" s="92">
        <v>44967.0</v>
      </c>
      <c r="K240" s="31">
        <v>247.0</v>
      </c>
      <c r="L240" s="45" t="s">
        <v>3275</v>
      </c>
      <c r="M240" s="157">
        <v>1851.0</v>
      </c>
      <c r="N240" s="32"/>
      <c r="O240" s="31" t="s">
        <v>3198</v>
      </c>
      <c r="P240" s="32"/>
      <c r="Q240" s="175">
        <v>76.0</v>
      </c>
      <c r="R240" s="33" t="s">
        <v>3276</v>
      </c>
      <c r="S240" s="132">
        <v>21400.0</v>
      </c>
      <c r="T240" s="236"/>
      <c r="U240" s="168">
        <v>11.4</v>
      </c>
      <c r="V240" s="228">
        <f t="shared" si="46"/>
        <v>28.158</v>
      </c>
      <c r="W240" s="168">
        <v>17.3</v>
      </c>
      <c r="X240" s="228">
        <f t="shared" si="47"/>
        <v>42.731</v>
      </c>
      <c r="Y240" s="168">
        <v>7.7</v>
      </c>
      <c r="Z240" s="228">
        <f t="shared" si="48"/>
        <v>19.019</v>
      </c>
      <c r="AA240" s="168">
        <v>52.7</v>
      </c>
      <c r="AB240" s="163">
        <f t="shared" si="43"/>
        <v>130.169</v>
      </c>
      <c r="AC240" s="228">
        <f t="shared" si="49"/>
        <v>10.9</v>
      </c>
      <c r="AD240" s="228">
        <f t="shared" si="50"/>
        <v>26.923</v>
      </c>
      <c r="AE240" s="45" t="s">
        <v>3277</v>
      </c>
      <c r="AF240" s="20" t="s">
        <v>3278</v>
      </c>
      <c r="AG240" s="26">
        <v>146400.0</v>
      </c>
      <c r="AH240" s="20">
        <v>2022.0</v>
      </c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</row>
    <row r="241">
      <c r="A241" s="28">
        <f t="shared" si="33"/>
        <v>240</v>
      </c>
      <c r="B241" s="31" t="s">
        <v>3279</v>
      </c>
      <c r="C241" s="32"/>
      <c r="D241" s="32"/>
      <c r="E241" s="32"/>
      <c r="F241" s="31" t="s">
        <v>3280</v>
      </c>
      <c r="G241" s="31" t="s">
        <v>21</v>
      </c>
      <c r="H241" s="31" t="s">
        <v>22</v>
      </c>
      <c r="I241" s="31" t="s">
        <v>33</v>
      </c>
      <c r="J241" s="92">
        <v>44978.0</v>
      </c>
      <c r="K241" s="31">
        <v>110.0</v>
      </c>
      <c r="L241" s="33" t="s">
        <v>3281</v>
      </c>
      <c r="M241" s="157">
        <v>1960.0</v>
      </c>
      <c r="N241" s="31" t="s">
        <v>3282</v>
      </c>
      <c r="O241" s="31"/>
      <c r="P241" s="33" t="s">
        <v>3283</v>
      </c>
      <c r="Q241" s="134"/>
      <c r="R241" s="32"/>
      <c r="S241" s="132">
        <v>15950.0</v>
      </c>
      <c r="T241" s="152" t="s">
        <v>3284</v>
      </c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32"/>
      <c r="AF241" s="20" t="s">
        <v>3285</v>
      </c>
      <c r="AG241" s="26">
        <v>144767.0</v>
      </c>
      <c r="AH241" s="20">
        <v>2022.0</v>
      </c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</row>
    <row r="242">
      <c r="A242" s="28">
        <f t="shared" si="33"/>
        <v>241</v>
      </c>
      <c r="B242" s="31" t="s">
        <v>3286</v>
      </c>
      <c r="C242" s="31" t="s">
        <v>1969</v>
      </c>
      <c r="D242" s="32"/>
      <c r="E242" s="32"/>
      <c r="F242" s="31" t="s">
        <v>1275</v>
      </c>
      <c r="G242" s="31" t="s">
        <v>702</v>
      </c>
      <c r="H242" s="31" t="s">
        <v>67</v>
      </c>
      <c r="I242" s="31" t="s">
        <v>23</v>
      </c>
      <c r="J242" s="92">
        <v>44972.0</v>
      </c>
      <c r="K242" s="31">
        <v>22.0</v>
      </c>
      <c r="L242" s="45" t="s">
        <v>3287</v>
      </c>
      <c r="M242" s="157">
        <v>2000.0</v>
      </c>
      <c r="N242" s="31" t="s">
        <v>3288</v>
      </c>
      <c r="O242" s="32"/>
      <c r="P242" s="33" t="s">
        <v>3289</v>
      </c>
      <c r="Q242" s="134"/>
      <c r="R242" s="32"/>
      <c r="S242" s="135"/>
      <c r="T242" s="131"/>
      <c r="U242" s="163"/>
      <c r="V242" s="163"/>
      <c r="W242" s="163"/>
      <c r="X242" s="163"/>
      <c r="Y242" s="163"/>
      <c r="Z242" s="163"/>
      <c r="AA242" s="168">
        <v>100.0</v>
      </c>
      <c r="AB242" s="163">
        <f t="shared" ref="AB242:AB248" si="51">(AA242*$K242)/100</f>
        <v>22</v>
      </c>
      <c r="AC242" s="163"/>
      <c r="AD242" s="163"/>
      <c r="AE242" s="32"/>
      <c r="AF242" s="20" t="s">
        <v>3290</v>
      </c>
      <c r="AG242" s="26">
        <v>97400.0</v>
      </c>
      <c r="AH242" s="20">
        <v>2022.0</v>
      </c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</row>
    <row r="243">
      <c r="A243" s="28">
        <f t="shared" si="33"/>
        <v>242</v>
      </c>
      <c r="B243" s="31" t="s">
        <v>3291</v>
      </c>
      <c r="C243" s="32"/>
      <c r="D243" s="32"/>
      <c r="E243" s="31"/>
      <c r="F243" s="31" t="s">
        <v>3292</v>
      </c>
      <c r="G243" s="31" t="s">
        <v>83</v>
      </c>
      <c r="H243" s="31" t="s">
        <v>43</v>
      </c>
      <c r="I243" s="31" t="s">
        <v>33</v>
      </c>
      <c r="J243" s="92">
        <v>44993.0</v>
      </c>
      <c r="K243" s="31">
        <v>141.0</v>
      </c>
      <c r="L243" s="45" t="s">
        <v>3293</v>
      </c>
      <c r="M243" s="157">
        <v>1966.0</v>
      </c>
      <c r="N243" s="32"/>
      <c r="O243" s="31" t="s">
        <v>3198</v>
      </c>
      <c r="P243" s="33" t="s">
        <v>3294</v>
      </c>
      <c r="Q243" s="134"/>
      <c r="R243" s="32"/>
      <c r="S243" s="132">
        <v>11730.0</v>
      </c>
      <c r="T243" s="47" t="s">
        <v>3295</v>
      </c>
      <c r="U243" s="168">
        <v>1.6</v>
      </c>
      <c r="V243" s="228">
        <f t="shared" ref="V243:V248" si="52">(U243*$K243)/100</f>
        <v>2.256</v>
      </c>
      <c r="W243" s="168">
        <v>0.0</v>
      </c>
      <c r="X243" s="228">
        <f t="shared" ref="X243:X248" si="53">(W243*$K243)/100</f>
        <v>0</v>
      </c>
      <c r="Y243" s="168">
        <v>4.5</v>
      </c>
      <c r="Z243" s="228">
        <f t="shared" ref="Z243:Z248" si="54">(Y243*$K243)/100</f>
        <v>6.345</v>
      </c>
      <c r="AA243" s="168">
        <v>89.0</v>
      </c>
      <c r="AB243" s="163">
        <f t="shared" si="51"/>
        <v>125.49</v>
      </c>
      <c r="AC243" s="228">
        <f t="shared" ref="AC243:AC248" si="55">100-(U243+W243+Y243+AA243)</f>
        <v>4.9</v>
      </c>
      <c r="AD243" s="228">
        <f t="shared" ref="AD243:AD248" si="56">(AC243*$K243)/100</f>
        <v>6.909</v>
      </c>
      <c r="AE243" s="45" t="s">
        <v>3296</v>
      </c>
      <c r="AF243" s="20" t="s">
        <v>3297</v>
      </c>
      <c r="AG243" s="26">
        <v>121452.0</v>
      </c>
      <c r="AH243" s="20">
        <v>2022.0</v>
      </c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</row>
    <row r="244">
      <c r="A244" s="28">
        <f t="shared" si="33"/>
        <v>243</v>
      </c>
      <c r="B244" s="31" t="s">
        <v>3298</v>
      </c>
      <c r="C244" s="32"/>
      <c r="D244" s="32"/>
      <c r="E244" s="32"/>
      <c r="F244" s="31" t="s">
        <v>3299</v>
      </c>
      <c r="G244" s="31" t="s">
        <v>83</v>
      </c>
      <c r="H244" s="31" t="s">
        <v>43</v>
      </c>
      <c r="I244" s="31" t="s">
        <v>33</v>
      </c>
      <c r="J244" s="92">
        <v>44993.0</v>
      </c>
      <c r="K244" s="31">
        <v>140.0</v>
      </c>
      <c r="L244" s="33" t="s">
        <v>3300</v>
      </c>
      <c r="M244" s="157">
        <v>1927.0</v>
      </c>
      <c r="N244" s="32"/>
      <c r="O244" s="32"/>
      <c r="P244" s="32"/>
      <c r="Q244" s="175">
        <v>65.0</v>
      </c>
      <c r="R244" s="32"/>
      <c r="S244" s="132">
        <v>20500.0</v>
      </c>
      <c r="T244" s="47" t="s">
        <v>3301</v>
      </c>
      <c r="U244" s="168">
        <v>5.2</v>
      </c>
      <c r="V244" s="228">
        <f t="shared" si="52"/>
        <v>7.28</v>
      </c>
      <c r="W244" s="168">
        <v>5.2</v>
      </c>
      <c r="X244" s="228">
        <f t="shared" si="53"/>
        <v>7.28</v>
      </c>
      <c r="Y244" s="168">
        <v>5.9</v>
      </c>
      <c r="Z244" s="228">
        <f t="shared" si="54"/>
        <v>8.26</v>
      </c>
      <c r="AA244" s="168">
        <v>74.1</v>
      </c>
      <c r="AB244" s="163">
        <f t="shared" si="51"/>
        <v>103.74</v>
      </c>
      <c r="AC244" s="228">
        <f t="shared" si="55"/>
        <v>9.6</v>
      </c>
      <c r="AD244" s="228">
        <f t="shared" si="56"/>
        <v>13.44</v>
      </c>
      <c r="AE244" s="47" t="s">
        <v>3302</v>
      </c>
      <c r="AF244" s="20" t="s">
        <v>3303</v>
      </c>
      <c r="AG244" s="26">
        <v>259938.0</v>
      </c>
      <c r="AH244" s="20">
        <v>2022.0</v>
      </c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</row>
    <row r="245">
      <c r="A245" s="28">
        <f t="shared" si="33"/>
        <v>244</v>
      </c>
      <c r="B245" s="31" t="s">
        <v>3304</v>
      </c>
      <c r="C245" s="32"/>
      <c r="D245" s="32"/>
      <c r="E245" s="32"/>
      <c r="F245" s="31" t="s">
        <v>1083</v>
      </c>
      <c r="G245" s="31" t="s">
        <v>1084</v>
      </c>
      <c r="H245" s="31" t="s">
        <v>32</v>
      </c>
      <c r="I245" s="31" t="s">
        <v>33</v>
      </c>
      <c r="J245" s="92">
        <v>44995.0</v>
      </c>
      <c r="K245" s="31">
        <v>133.0</v>
      </c>
      <c r="L245" s="33" t="s">
        <v>3305</v>
      </c>
      <c r="M245" s="157">
        <v>1893.0</v>
      </c>
      <c r="N245" s="31" t="s">
        <v>3306</v>
      </c>
      <c r="O245" s="31" t="s">
        <v>3198</v>
      </c>
      <c r="P245" s="32"/>
      <c r="Q245" s="134"/>
      <c r="R245" s="32"/>
      <c r="S245" s="135"/>
      <c r="T245" s="131"/>
      <c r="U245" s="168">
        <v>99.5</v>
      </c>
      <c r="V245" s="228">
        <f t="shared" si="52"/>
        <v>132.335</v>
      </c>
      <c r="W245" s="168">
        <v>0.0</v>
      </c>
      <c r="X245" s="228">
        <f t="shared" si="53"/>
        <v>0</v>
      </c>
      <c r="Y245" s="168">
        <v>0.0</v>
      </c>
      <c r="Z245" s="228">
        <f t="shared" si="54"/>
        <v>0</v>
      </c>
      <c r="AA245" s="168">
        <v>0.0</v>
      </c>
      <c r="AB245" s="163">
        <f t="shared" si="51"/>
        <v>0</v>
      </c>
      <c r="AC245" s="228">
        <f t="shared" si="55"/>
        <v>0.5</v>
      </c>
      <c r="AD245" s="228">
        <f t="shared" si="56"/>
        <v>0.665</v>
      </c>
      <c r="AE245" s="32"/>
      <c r="AF245" s="20" t="s">
        <v>3307</v>
      </c>
      <c r="AG245" s="26">
        <v>120385.0</v>
      </c>
      <c r="AH245" s="20">
        <v>2022.0</v>
      </c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>
      <c r="A246" s="28">
        <f t="shared" si="33"/>
        <v>245</v>
      </c>
      <c r="B246" s="31" t="s">
        <v>3308</v>
      </c>
      <c r="C246" s="32"/>
      <c r="D246" s="32"/>
      <c r="E246" s="32"/>
      <c r="F246" s="31" t="s">
        <v>3309</v>
      </c>
      <c r="G246" s="31" t="s">
        <v>122</v>
      </c>
      <c r="H246" s="31" t="s">
        <v>32</v>
      </c>
      <c r="I246" s="31" t="s">
        <v>33</v>
      </c>
      <c r="J246" s="92">
        <v>45008.0</v>
      </c>
      <c r="K246" s="31">
        <v>135.0</v>
      </c>
      <c r="L246" s="45" t="s">
        <v>3310</v>
      </c>
      <c r="M246" s="157">
        <v>1926.0</v>
      </c>
      <c r="N246" s="32"/>
      <c r="O246" s="31" t="s">
        <v>3198</v>
      </c>
      <c r="P246" s="45" t="s">
        <v>3311</v>
      </c>
      <c r="Q246" s="134"/>
      <c r="R246" s="32"/>
      <c r="S246" s="132">
        <v>7324.0</v>
      </c>
      <c r="T246" s="45" t="s">
        <v>3312</v>
      </c>
      <c r="U246" s="168">
        <v>3.7</v>
      </c>
      <c r="V246" s="228">
        <f t="shared" si="52"/>
        <v>4.995</v>
      </c>
      <c r="W246" s="168">
        <v>65.9</v>
      </c>
      <c r="X246" s="228">
        <f t="shared" si="53"/>
        <v>88.965</v>
      </c>
      <c r="Y246" s="168">
        <v>5.9</v>
      </c>
      <c r="Z246" s="228">
        <f t="shared" si="54"/>
        <v>7.965</v>
      </c>
      <c r="AA246" s="168">
        <v>16.3</v>
      </c>
      <c r="AB246" s="163">
        <f t="shared" si="51"/>
        <v>22.005</v>
      </c>
      <c r="AC246" s="228">
        <f t="shared" si="55"/>
        <v>8.2</v>
      </c>
      <c r="AD246" s="228">
        <f t="shared" si="56"/>
        <v>11.07</v>
      </c>
      <c r="AE246" s="45" t="s">
        <v>3310</v>
      </c>
      <c r="AF246" s="20" t="s">
        <v>3313</v>
      </c>
      <c r="AG246" s="26">
        <v>172670.0</v>
      </c>
      <c r="AH246" s="20">
        <v>2022.0</v>
      </c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>
      <c r="A247" s="28">
        <f t="shared" si="33"/>
        <v>246</v>
      </c>
      <c r="B247" s="31" t="s">
        <v>3314</v>
      </c>
      <c r="C247" s="32"/>
      <c r="D247" s="32"/>
      <c r="E247" s="32"/>
      <c r="F247" s="31" t="s">
        <v>3315</v>
      </c>
      <c r="G247" s="31" t="s">
        <v>42</v>
      </c>
      <c r="H247" s="31" t="s">
        <v>43</v>
      </c>
      <c r="I247" s="31" t="s">
        <v>33</v>
      </c>
      <c r="J247" s="92">
        <v>45016.0</v>
      </c>
      <c r="K247" s="31">
        <v>214.0</v>
      </c>
      <c r="L247" s="237" t="s">
        <v>3316</v>
      </c>
      <c r="M247" s="157">
        <v>1956.0</v>
      </c>
      <c r="N247" s="31" t="s">
        <v>3317</v>
      </c>
      <c r="O247" s="32"/>
      <c r="P247" s="33" t="s">
        <v>3318</v>
      </c>
      <c r="Q247" s="134"/>
      <c r="R247" s="32"/>
      <c r="S247" s="132">
        <v>12030.0</v>
      </c>
      <c r="T247" s="25" t="s">
        <v>3319</v>
      </c>
      <c r="U247" s="168">
        <v>2.3</v>
      </c>
      <c r="V247" s="228">
        <f t="shared" si="52"/>
        <v>4.922</v>
      </c>
      <c r="W247" s="168">
        <v>4.7</v>
      </c>
      <c r="X247" s="228">
        <f t="shared" si="53"/>
        <v>10.058</v>
      </c>
      <c r="Y247" s="168">
        <v>3.3</v>
      </c>
      <c r="Z247" s="228">
        <f t="shared" si="54"/>
        <v>7.062</v>
      </c>
      <c r="AA247" s="168">
        <v>89.7</v>
      </c>
      <c r="AB247" s="163">
        <f t="shared" si="51"/>
        <v>191.958</v>
      </c>
      <c r="AC247" s="228">
        <f t="shared" si="55"/>
        <v>0</v>
      </c>
      <c r="AD247" s="228">
        <f t="shared" si="56"/>
        <v>0</v>
      </c>
      <c r="AE247" s="238" t="s">
        <v>3316</v>
      </c>
      <c r="AF247" s="20" t="s">
        <v>3320</v>
      </c>
      <c r="AG247" s="26">
        <v>216326.0</v>
      </c>
      <c r="AH247" s="20">
        <v>2022.0</v>
      </c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</row>
    <row r="248">
      <c r="A248" s="28">
        <f t="shared" si="33"/>
        <v>247</v>
      </c>
      <c r="B248" s="239" t="s">
        <v>3321</v>
      </c>
      <c r="C248" s="239" t="s">
        <v>1969</v>
      </c>
      <c r="D248" s="139"/>
      <c r="E248" s="139"/>
      <c r="F248" s="239" t="s">
        <v>3322</v>
      </c>
      <c r="G248" s="239" t="s">
        <v>100</v>
      </c>
      <c r="H248" s="239" t="s">
        <v>43</v>
      </c>
      <c r="I248" s="239" t="s">
        <v>33</v>
      </c>
      <c r="J248" s="240">
        <v>45017.0</v>
      </c>
      <c r="K248" s="239">
        <v>136.0</v>
      </c>
      <c r="L248" s="237" t="s">
        <v>3323</v>
      </c>
      <c r="M248" s="241">
        <v>1915.0</v>
      </c>
      <c r="N248" s="139"/>
      <c r="O248" s="31" t="s">
        <v>3198</v>
      </c>
      <c r="P248" s="32"/>
      <c r="Q248" s="134"/>
      <c r="R248" s="32"/>
      <c r="S248" s="132">
        <v>14825.0</v>
      </c>
      <c r="T248" s="152" t="s">
        <v>3324</v>
      </c>
      <c r="U248" s="168">
        <v>11.5</v>
      </c>
      <c r="V248" s="228">
        <f t="shared" si="52"/>
        <v>15.64</v>
      </c>
      <c r="W248" s="168">
        <v>19.4</v>
      </c>
      <c r="X248" s="228">
        <f t="shared" si="53"/>
        <v>26.384</v>
      </c>
      <c r="Y248" s="168">
        <v>2.3</v>
      </c>
      <c r="Z248" s="228">
        <f t="shared" si="54"/>
        <v>3.128</v>
      </c>
      <c r="AA248" s="168">
        <v>66.8</v>
      </c>
      <c r="AB248" s="163">
        <f t="shared" si="51"/>
        <v>90.848</v>
      </c>
      <c r="AC248" s="228">
        <f t="shared" si="55"/>
        <v>0</v>
      </c>
      <c r="AD248" s="228">
        <f t="shared" si="56"/>
        <v>0</v>
      </c>
      <c r="AE248" s="33" t="s">
        <v>3325</v>
      </c>
      <c r="AF248" s="239" t="s">
        <v>3326</v>
      </c>
      <c r="AG248" s="242">
        <v>72646.0</v>
      </c>
      <c r="AH248" s="239">
        <v>2022.0</v>
      </c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</row>
    <row r="249">
      <c r="A249" s="28">
        <f t="shared" si="33"/>
        <v>248</v>
      </c>
      <c r="B249" s="31" t="s">
        <v>3327</v>
      </c>
      <c r="C249" s="32"/>
      <c r="D249" s="32"/>
      <c r="E249" s="32"/>
      <c r="F249" s="31" t="s">
        <v>2371</v>
      </c>
      <c r="G249" s="31" t="s">
        <v>91</v>
      </c>
      <c r="H249" s="31" t="s">
        <v>43</v>
      </c>
      <c r="I249" s="31" t="s">
        <v>33</v>
      </c>
      <c r="J249" s="92">
        <v>45032.0</v>
      </c>
      <c r="K249" s="31">
        <v>4.0</v>
      </c>
      <c r="L249" s="33" t="s">
        <v>3328</v>
      </c>
      <c r="M249" s="157">
        <v>2019.0</v>
      </c>
      <c r="N249" s="180" t="s">
        <v>3329</v>
      </c>
      <c r="O249" s="31" t="s">
        <v>3198</v>
      </c>
      <c r="P249" s="33" t="s">
        <v>3330</v>
      </c>
      <c r="Q249" s="175">
        <v>100.0</v>
      </c>
      <c r="R249" s="33" t="s">
        <v>3328</v>
      </c>
      <c r="S249" s="132">
        <v>15000.0</v>
      </c>
      <c r="T249" s="25" t="s">
        <v>3331</v>
      </c>
      <c r="U249" s="163"/>
      <c r="V249" s="228"/>
      <c r="W249" s="163"/>
      <c r="X249" s="228"/>
      <c r="Y249" s="163"/>
      <c r="Z249" s="228"/>
      <c r="AA249" s="163"/>
      <c r="AB249" s="163"/>
      <c r="AC249" s="228"/>
      <c r="AD249" s="228"/>
      <c r="AE249" s="32"/>
      <c r="AF249" s="20" t="s">
        <v>3332</v>
      </c>
      <c r="AG249" s="26">
        <v>66038.0</v>
      </c>
      <c r="AH249" s="239">
        <v>2022.0</v>
      </c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</row>
    <row r="250">
      <c r="A250" s="28">
        <f t="shared" si="33"/>
        <v>249</v>
      </c>
      <c r="B250" s="31" t="s">
        <v>2311</v>
      </c>
      <c r="C250" s="32"/>
      <c r="D250" s="32"/>
      <c r="E250" s="32"/>
      <c r="F250" s="31" t="s">
        <v>3333</v>
      </c>
      <c r="G250" s="31" t="s">
        <v>66</v>
      </c>
      <c r="H250" s="31" t="s">
        <v>67</v>
      </c>
      <c r="I250" s="31" t="s">
        <v>33</v>
      </c>
      <c r="J250" s="92">
        <v>45030.0</v>
      </c>
      <c r="K250" s="31">
        <v>74.0</v>
      </c>
      <c r="L250" s="45" t="s">
        <v>3334</v>
      </c>
      <c r="M250" s="156"/>
      <c r="N250" s="32"/>
      <c r="O250" s="31" t="s">
        <v>3198</v>
      </c>
      <c r="P250" s="33" t="s">
        <v>3335</v>
      </c>
      <c r="Q250" s="134"/>
      <c r="R250" s="32"/>
      <c r="S250" s="132">
        <v>5082.0</v>
      </c>
      <c r="T250" s="131"/>
      <c r="U250" s="168">
        <v>4.8</v>
      </c>
      <c r="V250" s="228">
        <f t="shared" ref="V250:V252" si="57">(U250*$K250)/100</f>
        <v>3.552</v>
      </c>
      <c r="W250" s="168">
        <v>0.0</v>
      </c>
      <c r="X250" s="168">
        <v>0.0</v>
      </c>
      <c r="Y250" s="168">
        <v>0.0</v>
      </c>
      <c r="Z250" s="168">
        <v>0.0</v>
      </c>
      <c r="AA250" s="168">
        <v>95.2</v>
      </c>
      <c r="AB250" s="228">
        <f t="shared" ref="AB250:AB252" si="58">(AA250*$K250)/100</f>
        <v>70.448</v>
      </c>
      <c r="AC250" s="168">
        <v>0.0</v>
      </c>
      <c r="AD250" s="168">
        <v>0.0</v>
      </c>
      <c r="AE250" s="33" t="s">
        <v>3336</v>
      </c>
      <c r="AF250" s="20" t="s">
        <v>3337</v>
      </c>
      <c r="AG250" s="26">
        <v>108658.0</v>
      </c>
      <c r="AH250" s="239">
        <v>2022.0</v>
      </c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</row>
    <row r="251">
      <c r="A251" s="28">
        <f t="shared" si="33"/>
        <v>250</v>
      </c>
      <c r="B251" s="31" t="s">
        <v>3338</v>
      </c>
      <c r="C251" s="31" t="s">
        <v>1969</v>
      </c>
      <c r="D251" s="32"/>
      <c r="E251" s="32"/>
      <c r="F251" s="31" t="s">
        <v>3339</v>
      </c>
      <c r="G251" s="31" t="s">
        <v>327</v>
      </c>
      <c r="H251" s="31" t="s">
        <v>67</v>
      </c>
      <c r="I251" s="31" t="s">
        <v>33</v>
      </c>
      <c r="J251" s="92">
        <v>45037.0</v>
      </c>
      <c r="K251" s="31">
        <v>115.0</v>
      </c>
      <c r="L251" s="33" t="s">
        <v>3340</v>
      </c>
      <c r="M251" s="157">
        <v>2011.0</v>
      </c>
      <c r="N251" s="33" t="s">
        <v>3341</v>
      </c>
      <c r="O251" s="31" t="s">
        <v>3198</v>
      </c>
      <c r="P251" s="32"/>
      <c r="Q251" s="134"/>
      <c r="R251" s="32"/>
      <c r="S251" s="132">
        <v>7400.0</v>
      </c>
      <c r="T251" s="243" t="s">
        <v>3342</v>
      </c>
      <c r="U251" s="168">
        <v>5.0</v>
      </c>
      <c r="V251" s="228">
        <f t="shared" si="57"/>
        <v>5.75</v>
      </c>
      <c r="W251" s="168">
        <v>5.0</v>
      </c>
      <c r="X251" s="228">
        <f t="shared" ref="X251:X252" si="59">(W251*$K251)/100</f>
        <v>5.75</v>
      </c>
      <c r="Y251" s="168">
        <v>5.0</v>
      </c>
      <c r="Z251" s="228">
        <f t="shared" ref="Z251:Z252" si="60">(Y251*$K251)/100</f>
        <v>5.75</v>
      </c>
      <c r="AA251" s="168">
        <v>83.0</v>
      </c>
      <c r="AB251" s="228">
        <f t="shared" si="58"/>
        <v>95.45</v>
      </c>
      <c r="AC251" s="228">
        <f t="shared" ref="AC251:AC252" si="61">100-(U251+W251+Y251+AA251)</f>
        <v>2</v>
      </c>
      <c r="AD251" s="228">
        <f t="shared" ref="AD251:AD252" si="62">(AC251*$K251)/100</f>
        <v>2.3</v>
      </c>
      <c r="AE251" s="45" t="s">
        <v>3343</v>
      </c>
      <c r="AF251" s="20" t="s">
        <v>3344</v>
      </c>
      <c r="AG251" s="26">
        <v>113706.0</v>
      </c>
      <c r="AH251" s="20">
        <v>2022.0</v>
      </c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</row>
    <row r="252">
      <c r="A252" s="28">
        <f t="shared" si="33"/>
        <v>251</v>
      </c>
      <c r="B252" s="31" t="s">
        <v>3345</v>
      </c>
      <c r="C252" s="32"/>
      <c r="D252" s="32"/>
      <c r="E252" s="32"/>
      <c r="F252" s="31" t="s">
        <v>3346</v>
      </c>
      <c r="G252" s="31" t="s">
        <v>76</v>
      </c>
      <c r="H252" s="31" t="s">
        <v>43</v>
      </c>
      <c r="I252" s="31" t="s">
        <v>33</v>
      </c>
      <c r="J252" s="92">
        <v>45037.0</v>
      </c>
      <c r="K252" s="31">
        <v>61.0</v>
      </c>
      <c r="L252" s="45" t="s">
        <v>3347</v>
      </c>
      <c r="M252" s="157">
        <v>1959.0</v>
      </c>
      <c r="N252" s="33" t="s">
        <v>3348</v>
      </c>
      <c r="O252" s="31" t="s">
        <v>3198</v>
      </c>
      <c r="P252" s="32"/>
      <c r="Q252" s="134"/>
      <c r="R252" s="32"/>
      <c r="S252" s="132">
        <v>2500.0</v>
      </c>
      <c r="T252" s="46" t="s">
        <v>3349</v>
      </c>
      <c r="U252" s="168">
        <v>0.0</v>
      </c>
      <c r="V252" s="228">
        <f t="shared" si="57"/>
        <v>0</v>
      </c>
      <c r="W252" s="168">
        <v>0.0</v>
      </c>
      <c r="X252" s="228">
        <f t="shared" si="59"/>
        <v>0</v>
      </c>
      <c r="Y252" s="168">
        <v>0.0</v>
      </c>
      <c r="Z252" s="228">
        <f t="shared" si="60"/>
        <v>0</v>
      </c>
      <c r="AA252" s="168">
        <v>100.0</v>
      </c>
      <c r="AB252" s="228">
        <f t="shared" si="58"/>
        <v>61</v>
      </c>
      <c r="AC252" s="228">
        <f t="shared" si="61"/>
        <v>0</v>
      </c>
      <c r="AD252" s="228">
        <f t="shared" si="62"/>
        <v>0</v>
      </c>
      <c r="AE252" s="45" t="s">
        <v>3350</v>
      </c>
      <c r="AF252" s="20" t="s">
        <v>3351</v>
      </c>
      <c r="AG252" s="26">
        <v>76700.0</v>
      </c>
      <c r="AH252" s="20">
        <v>2022.0</v>
      </c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</row>
    <row r="253">
      <c r="A253" s="28">
        <f t="shared" si="33"/>
        <v>252</v>
      </c>
      <c r="B253" s="31" t="s">
        <v>3352</v>
      </c>
      <c r="C253" s="32"/>
      <c r="D253" s="32"/>
      <c r="E253" s="32"/>
      <c r="F253" s="31" t="s">
        <v>3353</v>
      </c>
      <c r="G253" s="31" t="s">
        <v>702</v>
      </c>
      <c r="H253" s="31" t="s">
        <v>67</v>
      </c>
      <c r="I253" s="31" t="s">
        <v>237</v>
      </c>
      <c r="J253" s="92">
        <v>45040.0</v>
      </c>
      <c r="K253" s="32"/>
      <c r="L253" s="32"/>
      <c r="M253" s="156"/>
      <c r="N253" s="31" t="s">
        <v>3354</v>
      </c>
      <c r="O253" s="32"/>
      <c r="P253" s="33" t="s">
        <v>3355</v>
      </c>
      <c r="Q253" s="134"/>
      <c r="R253" s="32"/>
      <c r="S253" s="132" t="s">
        <v>3356</v>
      </c>
      <c r="T253" s="25" t="s">
        <v>3357</v>
      </c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32"/>
      <c r="AF253" s="20" t="s">
        <v>3358</v>
      </c>
      <c r="AG253" s="26">
        <v>61822.0</v>
      </c>
      <c r="AH253" s="20">
        <v>2022.0</v>
      </c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</row>
    <row r="254">
      <c r="A254" s="28">
        <f t="shared" si="33"/>
        <v>253</v>
      </c>
      <c r="B254" s="31" t="s">
        <v>3359</v>
      </c>
      <c r="C254" s="32"/>
      <c r="D254" s="32"/>
      <c r="E254" s="32"/>
      <c r="F254" s="31" t="s">
        <v>3360</v>
      </c>
      <c r="G254" s="31" t="s">
        <v>83</v>
      </c>
      <c r="H254" s="31" t="s">
        <v>43</v>
      </c>
      <c r="I254" s="31" t="s">
        <v>33</v>
      </c>
      <c r="J254" s="92">
        <v>45048.0</v>
      </c>
      <c r="K254" s="31">
        <v>200.0</v>
      </c>
      <c r="L254" s="45" t="s">
        <v>3361</v>
      </c>
      <c r="M254" s="157">
        <v>1947.0</v>
      </c>
      <c r="N254" s="32"/>
      <c r="O254" s="32"/>
      <c r="P254" s="32"/>
      <c r="Q254" s="175">
        <v>85.0</v>
      </c>
      <c r="R254" s="31" t="s">
        <v>3362</v>
      </c>
      <c r="S254" s="132">
        <v>17250.0</v>
      </c>
      <c r="T254" s="152" t="s">
        <v>3363</v>
      </c>
      <c r="U254" s="168">
        <v>10.2</v>
      </c>
      <c r="V254" s="228">
        <f t="shared" ref="V254:V258" si="63">(U254*$K254)/100</f>
        <v>20.4</v>
      </c>
      <c r="W254" s="168">
        <v>7.4</v>
      </c>
      <c r="X254" s="228">
        <f t="shared" ref="X254:X258" si="64">(W254*$K254)/100</f>
        <v>14.8</v>
      </c>
      <c r="Y254" s="168">
        <v>19.9</v>
      </c>
      <c r="Z254" s="228">
        <f t="shared" ref="Z254:Z258" si="65">(Y254*$K254)/100</f>
        <v>39.8</v>
      </c>
      <c r="AA254" s="168">
        <v>58.0</v>
      </c>
      <c r="AB254" s="228">
        <f t="shared" ref="AB254:AB258" si="66">(AA254*$K254)/100</f>
        <v>116</v>
      </c>
      <c r="AC254" s="228">
        <f t="shared" ref="AC254:AC258" si="67">100-(U254+W254+Y254+AA254)</f>
        <v>4.5</v>
      </c>
      <c r="AD254" s="228">
        <f t="shared" ref="AD254:AD258" si="68">(AC254*$K254)/100</f>
        <v>9</v>
      </c>
      <c r="AE254" s="45" t="s">
        <v>3364</v>
      </c>
      <c r="AF254" s="20" t="s">
        <v>3365</v>
      </c>
      <c r="AG254" s="26">
        <v>188507.0</v>
      </c>
      <c r="AH254" s="20">
        <v>2022.0</v>
      </c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</row>
    <row r="255">
      <c r="A255" s="28">
        <f t="shared" si="33"/>
        <v>254</v>
      </c>
      <c r="B255" s="31" t="s">
        <v>3366</v>
      </c>
      <c r="C255" s="32"/>
      <c r="D255" s="32"/>
      <c r="E255" s="32"/>
      <c r="F255" s="31" t="s">
        <v>3027</v>
      </c>
      <c r="G255" s="31" t="s">
        <v>1084</v>
      </c>
      <c r="H255" s="31" t="s">
        <v>32</v>
      </c>
      <c r="I255" s="31" t="s">
        <v>33</v>
      </c>
      <c r="J255" s="92">
        <v>45055.0</v>
      </c>
      <c r="K255" s="31">
        <v>163.0</v>
      </c>
      <c r="L255" s="33" t="s">
        <v>3367</v>
      </c>
      <c r="M255" s="157">
        <v>2016.0</v>
      </c>
      <c r="N255" s="31" t="s">
        <v>3368</v>
      </c>
      <c r="O255" s="32"/>
      <c r="P255" s="33" t="s">
        <v>3369</v>
      </c>
      <c r="Q255" s="175">
        <v>80.0</v>
      </c>
      <c r="R255" s="31" t="s">
        <v>3370</v>
      </c>
      <c r="S255" s="132">
        <v>13500.0</v>
      </c>
      <c r="T255" s="152" t="s">
        <v>3371</v>
      </c>
      <c r="U255" s="168">
        <v>94.5</v>
      </c>
      <c r="V255" s="228">
        <f t="shared" si="63"/>
        <v>154.035</v>
      </c>
      <c r="W255" s="168">
        <v>3.7</v>
      </c>
      <c r="X255" s="228">
        <f t="shared" si="64"/>
        <v>6.031</v>
      </c>
      <c r="Y255" s="168">
        <v>0.0</v>
      </c>
      <c r="Z255" s="228">
        <f t="shared" si="65"/>
        <v>0</v>
      </c>
      <c r="AA255" s="168">
        <v>0.6</v>
      </c>
      <c r="AB255" s="228">
        <f t="shared" si="66"/>
        <v>0.978</v>
      </c>
      <c r="AC255" s="228">
        <f t="shared" si="67"/>
        <v>1.2</v>
      </c>
      <c r="AD255" s="228">
        <f t="shared" si="68"/>
        <v>1.956</v>
      </c>
      <c r="AE255" s="32"/>
      <c r="AF255" s="20" t="s">
        <v>3372</v>
      </c>
      <c r="AG255" s="26">
        <v>31839.0</v>
      </c>
      <c r="AH255" s="20">
        <v>2022.0</v>
      </c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</row>
    <row r="256">
      <c r="A256" s="28">
        <f t="shared" si="33"/>
        <v>255</v>
      </c>
      <c r="B256" s="31" t="s">
        <v>3373</v>
      </c>
      <c r="C256" s="32"/>
      <c r="D256" s="32"/>
      <c r="E256" s="32"/>
      <c r="F256" s="31" t="s">
        <v>701</v>
      </c>
      <c r="G256" s="31" t="s">
        <v>702</v>
      </c>
      <c r="H256" s="31" t="s">
        <v>67</v>
      </c>
      <c r="I256" s="31" t="s">
        <v>33</v>
      </c>
      <c r="J256" s="92">
        <v>45071.0</v>
      </c>
      <c r="K256" s="31">
        <v>180.0</v>
      </c>
      <c r="L256" s="33" t="s">
        <v>3374</v>
      </c>
      <c r="M256" s="157">
        <v>1966.0</v>
      </c>
      <c r="N256" s="32"/>
      <c r="O256" s="31" t="s">
        <v>3198</v>
      </c>
      <c r="P256" s="45" t="s">
        <v>3375</v>
      </c>
      <c r="Q256" s="134"/>
      <c r="R256" s="32"/>
      <c r="S256" s="135"/>
      <c r="T256" s="131"/>
      <c r="U256" s="168">
        <v>47.9</v>
      </c>
      <c r="V256" s="228">
        <f t="shared" si="63"/>
        <v>86.22</v>
      </c>
      <c r="W256" s="168">
        <v>4.8</v>
      </c>
      <c r="X256" s="228">
        <f t="shared" si="64"/>
        <v>8.64</v>
      </c>
      <c r="Y256" s="168">
        <v>0.6</v>
      </c>
      <c r="Z256" s="228">
        <f t="shared" si="65"/>
        <v>1.08</v>
      </c>
      <c r="AA256" s="168">
        <v>40.6</v>
      </c>
      <c r="AB256" s="228">
        <f t="shared" si="66"/>
        <v>73.08</v>
      </c>
      <c r="AC256" s="228">
        <f t="shared" si="67"/>
        <v>6.1</v>
      </c>
      <c r="AD256" s="228">
        <f t="shared" si="68"/>
        <v>10.98</v>
      </c>
      <c r="AE256" s="33" t="s">
        <v>3376</v>
      </c>
      <c r="AF256" s="20" t="s">
        <v>3377</v>
      </c>
      <c r="AG256" s="26">
        <v>62245.0</v>
      </c>
      <c r="AH256" s="20">
        <v>2022.0</v>
      </c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</row>
    <row r="257">
      <c r="A257" s="28">
        <f t="shared" si="33"/>
        <v>256</v>
      </c>
      <c r="B257" s="31" t="s">
        <v>3378</v>
      </c>
      <c r="C257" s="32"/>
      <c r="D257" s="32"/>
      <c r="E257" s="32"/>
      <c r="F257" s="31" t="s">
        <v>3379</v>
      </c>
      <c r="G257" s="31" t="s">
        <v>260</v>
      </c>
      <c r="H257" s="31" t="s">
        <v>32</v>
      </c>
      <c r="I257" s="31" t="s">
        <v>23</v>
      </c>
      <c r="J257" s="92">
        <v>45071.0</v>
      </c>
      <c r="K257" s="31">
        <v>141.0</v>
      </c>
      <c r="L257" s="244" t="s">
        <v>3380</v>
      </c>
      <c r="M257" s="157">
        <v>1959.0</v>
      </c>
      <c r="N257" s="32"/>
      <c r="O257" s="32"/>
      <c r="P257" s="47" t="s">
        <v>3381</v>
      </c>
      <c r="Q257" s="175">
        <v>40.0</v>
      </c>
      <c r="R257" s="45" t="s">
        <v>3382</v>
      </c>
      <c r="S257" s="132">
        <v>27000.0</v>
      </c>
      <c r="T257" s="131"/>
      <c r="U257" s="168">
        <v>17.0</v>
      </c>
      <c r="V257" s="228">
        <f t="shared" si="63"/>
        <v>23.97</v>
      </c>
      <c r="W257" s="168">
        <v>0.7</v>
      </c>
      <c r="X257" s="228">
        <f t="shared" si="64"/>
        <v>0.987</v>
      </c>
      <c r="Y257" s="168">
        <v>21.3</v>
      </c>
      <c r="Z257" s="228">
        <f t="shared" si="65"/>
        <v>30.033</v>
      </c>
      <c r="AA257" s="168">
        <v>59.6</v>
      </c>
      <c r="AB257" s="228">
        <f t="shared" si="66"/>
        <v>84.036</v>
      </c>
      <c r="AC257" s="228">
        <f t="shared" si="67"/>
        <v>1.4</v>
      </c>
      <c r="AD257" s="228">
        <f t="shared" si="68"/>
        <v>1.974</v>
      </c>
      <c r="AE257" s="33" t="s">
        <v>3380</v>
      </c>
      <c r="AF257" s="20" t="s">
        <v>3383</v>
      </c>
      <c r="AG257" s="26">
        <v>244925.0</v>
      </c>
      <c r="AH257" s="20">
        <v>2022.0</v>
      </c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</row>
    <row r="258">
      <c r="A258" s="28">
        <f t="shared" si="33"/>
        <v>257</v>
      </c>
      <c r="B258" s="31" t="s">
        <v>2407</v>
      </c>
      <c r="C258" s="32"/>
      <c r="D258" s="32"/>
      <c r="E258" s="32"/>
      <c r="F258" s="31" t="s">
        <v>3384</v>
      </c>
      <c r="G258" s="31" t="s">
        <v>76</v>
      </c>
      <c r="H258" s="31" t="s">
        <v>43</v>
      </c>
      <c r="I258" s="31" t="s">
        <v>33</v>
      </c>
      <c r="J258" s="92">
        <v>45090.0</v>
      </c>
      <c r="K258" s="31">
        <v>97.0</v>
      </c>
      <c r="L258" s="33" t="s">
        <v>3385</v>
      </c>
      <c r="M258" s="157">
        <v>1898.0</v>
      </c>
      <c r="N258" s="32"/>
      <c r="O258" s="31" t="s">
        <v>3198</v>
      </c>
      <c r="P258" s="45" t="s">
        <v>3386</v>
      </c>
      <c r="Q258" s="134"/>
      <c r="R258" s="32"/>
      <c r="S258" s="132">
        <v>5700.0</v>
      </c>
      <c r="T258" s="25" t="s">
        <v>3387</v>
      </c>
      <c r="U258" s="168">
        <v>4.8</v>
      </c>
      <c r="V258" s="228">
        <f t="shared" si="63"/>
        <v>4.656</v>
      </c>
      <c r="W258" s="168">
        <v>0.0</v>
      </c>
      <c r="X258" s="228">
        <f t="shared" si="64"/>
        <v>0</v>
      </c>
      <c r="Y258" s="168">
        <v>2.9</v>
      </c>
      <c r="Z258" s="228">
        <f t="shared" si="65"/>
        <v>2.813</v>
      </c>
      <c r="AA258" s="168">
        <v>84.8</v>
      </c>
      <c r="AB258" s="228">
        <f t="shared" si="66"/>
        <v>82.256</v>
      </c>
      <c r="AC258" s="228">
        <f t="shared" si="67"/>
        <v>7.5</v>
      </c>
      <c r="AD258" s="228">
        <f t="shared" si="68"/>
        <v>7.275</v>
      </c>
      <c r="AE258" s="45" t="s">
        <v>3388</v>
      </c>
      <c r="AF258" s="20" t="s">
        <v>3389</v>
      </c>
      <c r="AG258" s="26">
        <v>38116.0</v>
      </c>
      <c r="AH258" s="20">
        <v>2022.0</v>
      </c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</row>
    <row r="259">
      <c r="A259" s="28">
        <f t="shared" si="33"/>
        <v>258</v>
      </c>
      <c r="B259" s="31" t="s">
        <v>2118</v>
      </c>
      <c r="C259" s="31" t="s">
        <v>1969</v>
      </c>
      <c r="D259" s="32"/>
      <c r="E259" s="32"/>
      <c r="F259" s="31" t="s">
        <v>3390</v>
      </c>
      <c r="G259" s="31" t="s">
        <v>76</v>
      </c>
      <c r="H259" s="31" t="s">
        <v>43</v>
      </c>
      <c r="I259" s="31" t="s">
        <v>33</v>
      </c>
      <c r="J259" s="92">
        <v>45104.0</v>
      </c>
      <c r="K259" s="31">
        <v>20.0</v>
      </c>
      <c r="L259" s="45" t="s">
        <v>3391</v>
      </c>
      <c r="M259" s="157">
        <v>1898.0</v>
      </c>
      <c r="N259" s="32"/>
      <c r="O259" s="31" t="s">
        <v>3198</v>
      </c>
      <c r="P259" s="45" t="s">
        <v>3392</v>
      </c>
      <c r="Q259" s="134"/>
      <c r="R259" s="32"/>
      <c r="S259" s="132">
        <v>4220.0</v>
      </c>
      <c r="T259" s="25" t="s">
        <v>3393</v>
      </c>
      <c r="U259" s="168"/>
      <c r="V259" s="228"/>
      <c r="W259" s="168"/>
      <c r="X259" s="228"/>
      <c r="Y259" s="168"/>
      <c r="Z259" s="228"/>
      <c r="AA259" s="168"/>
      <c r="AB259" s="228"/>
      <c r="AC259" s="228"/>
      <c r="AD259" s="163"/>
      <c r="AE259" s="32"/>
      <c r="AF259" s="20" t="s">
        <v>3394</v>
      </c>
      <c r="AG259" s="26">
        <v>82476.0</v>
      </c>
      <c r="AH259" s="20">
        <v>2022.0</v>
      </c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</row>
    <row r="260">
      <c r="A260" s="28">
        <f t="shared" si="33"/>
        <v>259</v>
      </c>
      <c r="B260" s="31" t="s">
        <v>3395</v>
      </c>
      <c r="C260" s="32"/>
      <c r="D260" s="32"/>
      <c r="E260" s="32"/>
      <c r="F260" s="31" t="s">
        <v>3396</v>
      </c>
      <c r="G260" s="31" t="s">
        <v>66</v>
      </c>
      <c r="H260" s="31" t="s">
        <v>32</v>
      </c>
      <c r="I260" s="31" t="s">
        <v>33</v>
      </c>
      <c r="J260" s="92">
        <v>45104.0</v>
      </c>
      <c r="K260" s="31">
        <v>131.0</v>
      </c>
      <c r="L260" s="33" t="s">
        <v>3397</v>
      </c>
      <c r="M260" s="156"/>
      <c r="N260" s="32"/>
      <c r="O260" s="32"/>
      <c r="P260" s="33" t="s">
        <v>3398</v>
      </c>
      <c r="Q260" s="134"/>
      <c r="R260" s="32"/>
      <c r="S260" s="135"/>
      <c r="T260" s="131"/>
      <c r="U260" s="168">
        <v>48.0</v>
      </c>
      <c r="V260" s="228">
        <f t="shared" ref="V260:V261" si="69">(U260*$K260)/100</f>
        <v>62.88</v>
      </c>
      <c r="W260" s="168">
        <v>2.0</v>
      </c>
      <c r="X260" s="228">
        <f t="shared" ref="X260:X261" si="70">(W260*$K260)/100</f>
        <v>2.62</v>
      </c>
      <c r="Y260" s="168">
        <v>0.0</v>
      </c>
      <c r="Z260" s="228">
        <f t="shared" ref="Z260:Z261" si="71">(Y260*$K260)/100</f>
        <v>0</v>
      </c>
      <c r="AA260" s="168">
        <v>46.0</v>
      </c>
      <c r="AB260" s="228">
        <f t="shared" ref="AB260:AB261" si="72">(AA260*$K260)/100</f>
        <v>60.26</v>
      </c>
      <c r="AC260" s="228">
        <f t="shared" ref="AC260:AC261" si="73">100-(U260+W260+Y260+AA260)</f>
        <v>4</v>
      </c>
      <c r="AD260" s="228">
        <f t="shared" ref="AD260:AD261" si="74">(AC260*$K260)/100</f>
        <v>5.24</v>
      </c>
      <c r="AE260" s="33" t="s">
        <v>3399</v>
      </c>
      <c r="AF260" s="20" t="s">
        <v>3400</v>
      </c>
      <c r="AG260" s="26">
        <v>81176.0</v>
      </c>
      <c r="AH260" s="20">
        <v>2022.0</v>
      </c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</row>
    <row r="261">
      <c r="A261" s="28">
        <f t="shared" si="33"/>
        <v>260</v>
      </c>
      <c r="B261" s="31" t="s">
        <v>2751</v>
      </c>
      <c r="C261" s="32"/>
      <c r="D261" s="32"/>
      <c r="E261" s="32"/>
      <c r="F261" s="31" t="s">
        <v>1275</v>
      </c>
      <c r="G261" s="31" t="s">
        <v>702</v>
      </c>
      <c r="H261" s="31" t="s">
        <v>67</v>
      </c>
      <c r="I261" s="31" t="s">
        <v>33</v>
      </c>
      <c r="J261" s="92">
        <v>45113.0</v>
      </c>
      <c r="K261" s="31">
        <v>270.0</v>
      </c>
      <c r="L261" s="33" t="s">
        <v>3401</v>
      </c>
      <c r="M261" s="157">
        <v>1847.0</v>
      </c>
      <c r="N261" s="31" t="s">
        <v>3402</v>
      </c>
      <c r="O261" s="32"/>
      <c r="P261" s="47" t="s">
        <v>3403</v>
      </c>
      <c r="Q261" s="134"/>
      <c r="R261" s="33" t="s">
        <v>3404</v>
      </c>
      <c r="S261" s="135"/>
      <c r="T261" s="25"/>
      <c r="U261" s="168">
        <v>94.0</v>
      </c>
      <c r="V261" s="228">
        <f t="shared" si="69"/>
        <v>253.8</v>
      </c>
      <c r="W261" s="168">
        <v>4.0</v>
      </c>
      <c r="X261" s="228">
        <f t="shared" si="70"/>
        <v>10.8</v>
      </c>
      <c r="Y261" s="168">
        <v>0.0</v>
      </c>
      <c r="Z261" s="228">
        <f t="shared" si="71"/>
        <v>0</v>
      </c>
      <c r="AA261" s="168">
        <v>0.4</v>
      </c>
      <c r="AB261" s="228">
        <f t="shared" si="72"/>
        <v>1.08</v>
      </c>
      <c r="AC261" s="228">
        <f t="shared" si="73"/>
        <v>1.6</v>
      </c>
      <c r="AD261" s="228">
        <f t="shared" si="74"/>
        <v>4.32</v>
      </c>
      <c r="AE261" s="32"/>
      <c r="AF261" s="20" t="s">
        <v>3405</v>
      </c>
      <c r="AG261" s="26">
        <v>36204.0</v>
      </c>
      <c r="AH261" s="20">
        <v>2022.0</v>
      </c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</row>
    <row r="262">
      <c r="A262" s="28">
        <f t="shared" si="33"/>
        <v>261</v>
      </c>
      <c r="B262" s="31" t="s">
        <v>3406</v>
      </c>
      <c r="C262" s="32"/>
      <c r="D262" s="32"/>
      <c r="E262" s="32"/>
      <c r="F262" s="31" t="s">
        <v>3407</v>
      </c>
      <c r="G262" s="31" t="s">
        <v>713</v>
      </c>
      <c r="H262" s="31" t="s">
        <v>67</v>
      </c>
      <c r="I262" s="31" t="s">
        <v>33</v>
      </c>
      <c r="J262" s="92">
        <v>45121.0</v>
      </c>
      <c r="K262" s="31">
        <v>21.0</v>
      </c>
      <c r="L262" s="47" t="s">
        <v>3408</v>
      </c>
      <c r="M262" s="157">
        <v>1924.0</v>
      </c>
      <c r="N262" s="32"/>
      <c r="O262" s="31" t="s">
        <v>3198</v>
      </c>
      <c r="P262" s="33" t="s">
        <v>3409</v>
      </c>
      <c r="Q262" s="134"/>
      <c r="R262" s="32"/>
      <c r="S262" s="135"/>
      <c r="T262" s="131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32"/>
      <c r="AF262" s="20" t="s">
        <v>3410</v>
      </c>
      <c r="AG262" s="26">
        <v>169906.0</v>
      </c>
      <c r="AH262" s="20">
        <v>2022.0</v>
      </c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</row>
    <row r="263">
      <c r="A263" s="28">
        <f t="shared" si="33"/>
        <v>262</v>
      </c>
      <c r="B263" s="31" t="s">
        <v>3411</v>
      </c>
      <c r="C263" s="32"/>
      <c r="D263" s="32"/>
      <c r="E263" s="32"/>
      <c r="F263" s="31" t="s">
        <v>1092</v>
      </c>
      <c r="G263" s="31" t="s">
        <v>21</v>
      </c>
      <c r="H263" s="31" t="s">
        <v>22</v>
      </c>
      <c r="I263" s="31" t="s">
        <v>33</v>
      </c>
      <c r="J263" s="92">
        <v>44593.0</v>
      </c>
      <c r="K263" s="31">
        <v>49.0</v>
      </c>
      <c r="L263" s="33" t="s">
        <v>3412</v>
      </c>
      <c r="M263" s="157">
        <v>1923.0</v>
      </c>
      <c r="N263" s="32"/>
      <c r="O263" s="31" t="s">
        <v>3198</v>
      </c>
      <c r="P263" s="32"/>
      <c r="Q263" s="134"/>
      <c r="R263" s="32"/>
      <c r="S263" s="135"/>
      <c r="T263" s="131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32"/>
      <c r="AF263" s="20" t="s">
        <v>3413</v>
      </c>
      <c r="AG263" s="26">
        <v>68289.0</v>
      </c>
      <c r="AH263" s="20">
        <v>2022.0</v>
      </c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</row>
    <row r="264">
      <c r="A264" s="28">
        <f t="shared" si="33"/>
        <v>263</v>
      </c>
      <c r="B264" s="31" t="s">
        <v>3414</v>
      </c>
      <c r="C264" s="32"/>
      <c r="D264" s="32"/>
      <c r="E264" s="32"/>
      <c r="F264" s="31" t="s">
        <v>3415</v>
      </c>
      <c r="G264" s="31" t="s">
        <v>468</v>
      </c>
      <c r="H264" s="31" t="s">
        <v>32</v>
      </c>
      <c r="I264" s="31" t="s">
        <v>33</v>
      </c>
      <c r="J264" s="245">
        <v>45136.0</v>
      </c>
      <c r="K264" s="31">
        <v>42.0</v>
      </c>
      <c r="L264" s="45" t="s">
        <v>3416</v>
      </c>
      <c r="M264" s="157">
        <v>1922.0</v>
      </c>
      <c r="N264" s="31" t="s">
        <v>3417</v>
      </c>
      <c r="O264" s="32"/>
      <c r="P264" s="33" t="s">
        <v>3418</v>
      </c>
      <c r="Q264" s="134"/>
      <c r="R264" s="32"/>
      <c r="S264" s="135"/>
      <c r="T264" s="131"/>
      <c r="U264" s="168">
        <v>34.4</v>
      </c>
      <c r="V264" s="228">
        <f t="shared" ref="V264:V265" si="75">(U264*$K264)/100</f>
        <v>14.448</v>
      </c>
      <c r="W264" s="168">
        <v>6.6</v>
      </c>
      <c r="X264" s="228">
        <f t="shared" ref="X264:X265" si="76">(W264*$K264)/100</f>
        <v>2.772</v>
      </c>
      <c r="Y264" s="168">
        <v>0.0</v>
      </c>
      <c r="Z264" s="228">
        <f t="shared" ref="Z264:Z265" si="77">(Y264*$K264)/100</f>
        <v>0</v>
      </c>
      <c r="AA264" s="168">
        <v>39.3</v>
      </c>
      <c r="AB264" s="228">
        <f t="shared" ref="AB264:AB265" si="78">(AA264*$K264)/100</f>
        <v>16.506</v>
      </c>
      <c r="AC264" s="228">
        <f t="shared" ref="AC264:AC265" si="79">100-(U264+W264+Y264+AA264)</f>
        <v>19.7</v>
      </c>
      <c r="AD264" s="228">
        <f t="shared" ref="AD264:AD265" si="80">(AC264*$K264)/100</f>
        <v>8.274</v>
      </c>
      <c r="AE264" s="33" t="s">
        <v>3419</v>
      </c>
      <c r="AF264" s="20" t="s">
        <v>3420</v>
      </c>
      <c r="AG264" s="26">
        <v>50853.0</v>
      </c>
      <c r="AH264" s="20">
        <v>2022.0</v>
      </c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</row>
    <row r="265">
      <c r="A265" s="28">
        <f t="shared" si="33"/>
        <v>264</v>
      </c>
      <c r="B265" s="31" t="s">
        <v>3421</v>
      </c>
      <c r="C265" s="32"/>
      <c r="D265" s="32"/>
      <c r="E265" s="32"/>
      <c r="F265" s="31" t="s">
        <v>495</v>
      </c>
      <c r="G265" s="31" t="s">
        <v>307</v>
      </c>
      <c r="H265" s="31" t="s">
        <v>32</v>
      </c>
      <c r="I265" s="31" t="s">
        <v>23</v>
      </c>
      <c r="J265" s="245">
        <v>45145.0</v>
      </c>
      <c r="K265" s="31">
        <v>140.0</v>
      </c>
      <c r="L265" s="45" t="s">
        <v>3422</v>
      </c>
      <c r="M265" s="157">
        <v>1983.0</v>
      </c>
      <c r="N265" s="32"/>
      <c r="O265" s="32"/>
      <c r="P265" s="33" t="s">
        <v>3423</v>
      </c>
      <c r="Q265" s="175">
        <v>36.0</v>
      </c>
      <c r="R265" s="45" t="s">
        <v>3424</v>
      </c>
      <c r="S265" s="135">
        <f>(15800+17500+20900)/3</f>
        <v>18066.66667</v>
      </c>
      <c r="T265" s="25" t="s">
        <v>3425</v>
      </c>
      <c r="U265" s="168">
        <v>0.9</v>
      </c>
      <c r="V265" s="228">
        <f t="shared" si="75"/>
        <v>1.26</v>
      </c>
      <c r="W265" s="168">
        <v>7.0</v>
      </c>
      <c r="X265" s="228">
        <f t="shared" si="76"/>
        <v>9.8</v>
      </c>
      <c r="Y265" s="168">
        <v>2.8</v>
      </c>
      <c r="Z265" s="228">
        <f t="shared" si="77"/>
        <v>3.92</v>
      </c>
      <c r="AA265" s="168">
        <v>65.1</v>
      </c>
      <c r="AB265" s="228">
        <f t="shared" si="78"/>
        <v>91.14</v>
      </c>
      <c r="AC265" s="228">
        <f t="shared" si="79"/>
        <v>24.2</v>
      </c>
      <c r="AD265" s="228">
        <f t="shared" si="80"/>
        <v>33.88</v>
      </c>
      <c r="AE265" s="33" t="s">
        <v>3426</v>
      </c>
      <c r="AF265" s="20" t="s">
        <v>3427</v>
      </c>
      <c r="AG265" s="26">
        <v>110075.0</v>
      </c>
      <c r="AH265" s="20">
        <v>2022.0</v>
      </c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</row>
    <row r="266">
      <c r="A266" s="19">
        <f t="shared" si="33"/>
        <v>265</v>
      </c>
      <c r="B266" s="20" t="s">
        <v>205</v>
      </c>
      <c r="C266" s="20"/>
      <c r="D266" s="20"/>
      <c r="E266" s="20"/>
      <c r="F266" s="20" t="s">
        <v>207</v>
      </c>
      <c r="G266" s="20" t="s">
        <v>83</v>
      </c>
      <c r="H266" s="20" t="s">
        <v>43</v>
      </c>
      <c r="I266" s="20" t="s">
        <v>33</v>
      </c>
      <c r="J266" s="22">
        <v>44348.0</v>
      </c>
      <c r="K266" s="20">
        <v>25.0</v>
      </c>
      <c r="L266" s="53" t="s">
        <v>3428</v>
      </c>
      <c r="M266" s="239">
        <v>2021.0</v>
      </c>
      <c r="N266" s="139"/>
      <c r="O266" s="23"/>
      <c r="P266" s="21" t="s">
        <v>209</v>
      </c>
      <c r="Q266" s="27"/>
      <c r="R266" s="139"/>
      <c r="S266" s="26">
        <v>14750.0</v>
      </c>
      <c r="T266" s="20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27"/>
      <c r="AF266" s="20" t="s">
        <v>210</v>
      </c>
      <c r="AG266" s="246">
        <v>159427.0</v>
      </c>
      <c r="AH266" s="27"/>
      <c r="AI266" s="85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</row>
    <row r="267">
      <c r="A267" s="19">
        <f t="shared" si="33"/>
        <v>266</v>
      </c>
      <c r="B267" s="31" t="s">
        <v>3429</v>
      </c>
      <c r="C267" s="32"/>
      <c r="D267" s="32"/>
      <c r="E267" s="32"/>
      <c r="F267" s="31" t="s">
        <v>3430</v>
      </c>
      <c r="G267" s="31" t="s">
        <v>115</v>
      </c>
      <c r="H267" s="31" t="s">
        <v>32</v>
      </c>
      <c r="I267" s="31" t="s">
        <v>23</v>
      </c>
      <c r="J267" s="245">
        <v>45168.0</v>
      </c>
      <c r="K267" s="31"/>
      <c r="L267" s="32"/>
      <c r="M267" s="157">
        <v>2016.0</v>
      </c>
      <c r="N267" s="32"/>
      <c r="O267" s="31"/>
      <c r="P267" s="32"/>
      <c r="Q267" s="134"/>
      <c r="R267" s="139"/>
      <c r="S267" s="132">
        <v>7200.0</v>
      </c>
      <c r="T267" s="131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32"/>
      <c r="AF267" s="20" t="s">
        <v>3431</v>
      </c>
      <c r="AG267" s="26">
        <v>84545.0</v>
      </c>
      <c r="AH267" s="20">
        <v>2023.0</v>
      </c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</row>
    <row r="268">
      <c r="A268" s="19">
        <f t="shared" si="33"/>
        <v>267</v>
      </c>
      <c r="B268" s="31" t="s">
        <v>3432</v>
      </c>
      <c r="C268" s="32"/>
      <c r="D268" s="32"/>
      <c r="E268" s="32"/>
      <c r="F268" s="31" t="s">
        <v>3433</v>
      </c>
      <c r="G268" s="31" t="s">
        <v>100</v>
      </c>
      <c r="H268" s="31" t="s">
        <v>43</v>
      </c>
      <c r="I268" s="31" t="s">
        <v>68</v>
      </c>
      <c r="J268" s="245">
        <v>45188.0</v>
      </c>
      <c r="K268" s="31">
        <v>129.0</v>
      </c>
      <c r="L268" s="45" t="s">
        <v>3434</v>
      </c>
      <c r="M268" s="157">
        <v>1978.0</v>
      </c>
      <c r="N268" s="31" t="s">
        <v>3435</v>
      </c>
      <c r="O268" s="32"/>
      <c r="P268" s="33" t="s">
        <v>3436</v>
      </c>
      <c r="Q268" s="175">
        <v>50.0</v>
      </c>
      <c r="R268" s="45" t="s">
        <v>3437</v>
      </c>
      <c r="S268" s="132">
        <v>27200.0</v>
      </c>
      <c r="T268" s="25" t="s">
        <v>3438</v>
      </c>
      <c r="U268" s="168">
        <v>3.3</v>
      </c>
      <c r="V268" s="228">
        <f>(U268*$K268)/100</f>
        <v>4.257</v>
      </c>
      <c r="W268" s="168">
        <v>12.0</v>
      </c>
      <c r="X268" s="228">
        <f>(W268*$K268)/100</f>
        <v>15.48</v>
      </c>
      <c r="Y268" s="168">
        <v>5.4</v>
      </c>
      <c r="Z268" s="228">
        <f>(Y268*$K268)/100</f>
        <v>6.966</v>
      </c>
      <c r="AA268" s="168">
        <v>48.9</v>
      </c>
      <c r="AB268" s="228">
        <f>(AA268*$K268)/100</f>
        <v>63.081</v>
      </c>
      <c r="AC268" s="228">
        <f>100-(U268+W268+Y268+AA268)</f>
        <v>30.4</v>
      </c>
      <c r="AD268" s="228">
        <f>(AC268*$K268)/100</f>
        <v>39.216</v>
      </c>
      <c r="AE268" s="45" t="s">
        <v>3439</v>
      </c>
      <c r="AF268" s="20" t="s">
        <v>3440</v>
      </c>
      <c r="AG268" s="26">
        <v>179127.0</v>
      </c>
      <c r="AH268" s="20">
        <v>2023.0</v>
      </c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</row>
    <row r="269">
      <c r="A269" s="19">
        <f t="shared" si="33"/>
        <v>268</v>
      </c>
      <c r="B269" s="31" t="s">
        <v>3441</v>
      </c>
      <c r="C269" s="32"/>
      <c r="D269" s="32"/>
      <c r="E269" s="32"/>
      <c r="F269" s="31" t="s">
        <v>3442</v>
      </c>
      <c r="G269" s="31" t="s">
        <v>21</v>
      </c>
      <c r="H269" s="31" t="s">
        <v>22</v>
      </c>
      <c r="I269" s="31" t="s">
        <v>23</v>
      </c>
      <c r="J269" s="92">
        <v>45198.0</v>
      </c>
      <c r="K269" s="32"/>
      <c r="L269" s="32"/>
      <c r="M269" s="157">
        <v>1969.0</v>
      </c>
      <c r="N269" s="32"/>
      <c r="O269" s="32"/>
      <c r="P269" s="47" t="s">
        <v>3443</v>
      </c>
      <c r="Q269" s="134"/>
      <c r="R269" s="32"/>
      <c r="S269" s="132">
        <v>4700.0</v>
      </c>
      <c r="T269" s="45" t="s">
        <v>3444</v>
      </c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32"/>
      <c r="AF269" s="31" t="s">
        <v>3445</v>
      </c>
      <c r="AG269" s="26">
        <v>57787.0</v>
      </c>
      <c r="AH269" s="20">
        <v>2023.0</v>
      </c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</row>
    <row r="270">
      <c r="A270" s="19">
        <f t="shared" si="33"/>
        <v>269</v>
      </c>
      <c r="B270" s="31" t="s">
        <v>3446</v>
      </c>
      <c r="C270" s="32"/>
      <c r="D270" s="32"/>
      <c r="E270" s="32"/>
      <c r="F270" s="31" t="s">
        <v>3447</v>
      </c>
      <c r="G270" s="31" t="s">
        <v>702</v>
      </c>
      <c r="H270" s="31" t="s">
        <v>67</v>
      </c>
      <c r="I270" s="31" t="s">
        <v>33</v>
      </c>
      <c r="J270" s="92">
        <v>45209.0</v>
      </c>
      <c r="K270" s="31">
        <v>156.0</v>
      </c>
      <c r="L270" s="33" t="s">
        <v>3448</v>
      </c>
      <c r="M270" s="157">
        <v>1915.0</v>
      </c>
      <c r="N270" s="31" t="s">
        <v>3449</v>
      </c>
      <c r="O270" s="32"/>
      <c r="P270" s="32"/>
      <c r="Q270" s="134"/>
      <c r="R270" s="32"/>
      <c r="S270" s="135"/>
      <c r="T270" s="47" t="s">
        <v>3450</v>
      </c>
      <c r="U270" s="168">
        <v>16.5</v>
      </c>
      <c r="V270" s="228">
        <f>(U270*$K270)/100</f>
        <v>25.74</v>
      </c>
      <c r="W270" s="168">
        <v>15.5</v>
      </c>
      <c r="X270" s="228">
        <f>(W270*$K270)/100</f>
        <v>24.18</v>
      </c>
      <c r="Y270" s="168">
        <v>0.0</v>
      </c>
      <c r="Z270" s="228">
        <f>(Y270*$K270)/100</f>
        <v>0</v>
      </c>
      <c r="AA270" s="168">
        <v>54.1</v>
      </c>
      <c r="AB270" s="228">
        <f>(AA270*$K270)/100</f>
        <v>84.396</v>
      </c>
      <c r="AC270" s="228">
        <f>100-(U270+W270+Y270+AA270)</f>
        <v>13.9</v>
      </c>
      <c r="AD270" s="228">
        <f>(AC270*$K270)/100</f>
        <v>21.684</v>
      </c>
      <c r="AE270" s="45" t="s">
        <v>3451</v>
      </c>
      <c r="AF270" s="20" t="s">
        <v>3452</v>
      </c>
      <c r="AG270" s="26">
        <v>59958.0</v>
      </c>
      <c r="AH270" s="20">
        <v>2023.0</v>
      </c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</row>
    <row r="271">
      <c r="A271" s="19">
        <f t="shared" si="33"/>
        <v>270</v>
      </c>
      <c r="B271" s="31" t="s">
        <v>3453</v>
      </c>
      <c r="C271" s="32"/>
      <c r="D271" s="32"/>
      <c r="E271" s="32"/>
      <c r="F271" s="31" t="s">
        <v>1503</v>
      </c>
      <c r="G271" s="31" t="s">
        <v>76</v>
      </c>
      <c r="H271" s="31" t="s">
        <v>43</v>
      </c>
      <c r="I271" s="31" t="s">
        <v>1338</v>
      </c>
      <c r="J271" s="92">
        <v>45203.0</v>
      </c>
      <c r="K271" s="31">
        <v>63.0</v>
      </c>
      <c r="L271" s="33" t="s">
        <v>3454</v>
      </c>
      <c r="M271" s="157">
        <v>1994.0</v>
      </c>
      <c r="N271" s="32"/>
      <c r="O271" s="32"/>
      <c r="P271" s="33" t="s">
        <v>3455</v>
      </c>
      <c r="Q271" s="134"/>
      <c r="R271" s="32"/>
      <c r="S271" s="132">
        <v>46620.0</v>
      </c>
      <c r="T271" s="25" t="s">
        <v>3456</v>
      </c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32"/>
      <c r="AF271" s="20" t="s">
        <v>3457</v>
      </c>
      <c r="AG271" s="26">
        <v>211330.0</v>
      </c>
      <c r="AH271" s="20">
        <v>2023.0</v>
      </c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</row>
    <row r="272">
      <c r="A272" s="19">
        <f t="shared" si="33"/>
        <v>271</v>
      </c>
      <c r="B272" s="31" t="s">
        <v>3458</v>
      </c>
      <c r="C272" s="32"/>
      <c r="D272" s="32"/>
      <c r="E272" s="32"/>
      <c r="F272" s="31" t="s">
        <v>2461</v>
      </c>
      <c r="G272" s="31" t="s">
        <v>115</v>
      </c>
      <c r="H272" s="31" t="s">
        <v>32</v>
      </c>
      <c r="I272" s="31" t="s">
        <v>237</v>
      </c>
      <c r="J272" s="247">
        <v>45211.0</v>
      </c>
      <c r="K272" s="31">
        <v>13.0</v>
      </c>
      <c r="L272" s="45" t="s">
        <v>3459</v>
      </c>
      <c r="M272" s="157">
        <v>2002.0</v>
      </c>
      <c r="N272" s="31" t="s">
        <v>3460</v>
      </c>
      <c r="O272" s="32"/>
      <c r="P272" s="32"/>
      <c r="Q272" s="134"/>
      <c r="R272" s="32"/>
      <c r="S272" s="135"/>
      <c r="T272" s="131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32"/>
      <c r="AF272" s="20" t="s">
        <v>3461</v>
      </c>
      <c r="AG272" s="26">
        <v>62580.0</v>
      </c>
      <c r="AH272" s="20">
        <v>2023.0</v>
      </c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</row>
    <row r="273">
      <c r="A273" s="19">
        <f t="shared" si="33"/>
        <v>272</v>
      </c>
      <c r="B273" s="31" t="s">
        <v>3462</v>
      </c>
      <c r="C273" s="32"/>
      <c r="D273" s="32"/>
      <c r="E273" s="32"/>
      <c r="F273" s="31" t="s">
        <v>467</v>
      </c>
      <c r="G273" s="31" t="s">
        <v>468</v>
      </c>
      <c r="H273" s="31" t="s">
        <v>32</v>
      </c>
      <c r="I273" s="31" t="s">
        <v>68</v>
      </c>
      <c r="J273" s="92">
        <v>45219.0</v>
      </c>
      <c r="K273" s="31">
        <v>250.0</v>
      </c>
      <c r="L273" s="45" t="s">
        <v>3463</v>
      </c>
      <c r="M273" s="157">
        <v>2006.0</v>
      </c>
      <c r="N273" s="31" t="s">
        <v>3464</v>
      </c>
      <c r="O273" s="32"/>
      <c r="P273" s="45" t="s">
        <v>3465</v>
      </c>
      <c r="Q273" s="134"/>
      <c r="R273" s="32"/>
      <c r="S273" s="135">
        <f>(7025+7225+7800)/3</f>
        <v>7350</v>
      </c>
      <c r="T273" s="25" t="s">
        <v>3466</v>
      </c>
      <c r="U273" s="168">
        <v>6.0</v>
      </c>
      <c r="V273" s="228">
        <f>(U273*$K273)/100</f>
        <v>15</v>
      </c>
      <c r="W273" s="168">
        <v>1.0</v>
      </c>
      <c r="X273" s="228">
        <f t="shared" ref="X273:X275" si="81">(W273*$K273)/100</f>
        <v>2.5</v>
      </c>
      <c r="Y273" s="168">
        <v>1.0</v>
      </c>
      <c r="Z273" s="228">
        <f>(Y273*$K273)/100</f>
        <v>2.5</v>
      </c>
      <c r="AA273" s="168">
        <v>86.0</v>
      </c>
      <c r="AB273" s="228">
        <f t="shared" ref="AB273:AB275" si="82">(AA273*$K273)/100</f>
        <v>215</v>
      </c>
      <c r="AC273" s="228">
        <f>100-(U273+W273+Y273+AA273)</f>
        <v>6</v>
      </c>
      <c r="AD273" s="228">
        <f t="shared" ref="AD273:AD275" si="83">(AC273*$K273)/100</f>
        <v>15</v>
      </c>
      <c r="AE273" s="33" t="s">
        <v>3467</v>
      </c>
      <c r="AF273" s="20" t="s">
        <v>3468</v>
      </c>
      <c r="AG273" s="26">
        <v>87443.0</v>
      </c>
      <c r="AH273" s="20">
        <v>2023.0</v>
      </c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</row>
    <row r="274">
      <c r="A274" s="19">
        <f t="shared" si="33"/>
        <v>273</v>
      </c>
      <c r="B274" s="31" t="s">
        <v>3469</v>
      </c>
      <c r="C274" s="32"/>
      <c r="D274" s="32"/>
      <c r="E274" s="32"/>
      <c r="F274" s="31" t="s">
        <v>3470</v>
      </c>
      <c r="G274" s="31" t="s">
        <v>1062</v>
      </c>
      <c r="H274" s="31" t="s">
        <v>67</v>
      </c>
      <c r="I274" s="31" t="s">
        <v>33</v>
      </c>
      <c r="J274" s="92">
        <v>45212.0</v>
      </c>
      <c r="K274" s="31">
        <v>24.0</v>
      </c>
      <c r="L274" s="45" t="s">
        <v>3471</v>
      </c>
      <c r="M274" s="157">
        <v>1962.0</v>
      </c>
      <c r="N274" s="32"/>
      <c r="O274" s="32"/>
      <c r="P274" s="33" t="s">
        <v>3472</v>
      </c>
      <c r="Q274" s="134"/>
      <c r="R274" s="32"/>
      <c r="S274" s="132">
        <v>4100.0</v>
      </c>
      <c r="T274" s="131"/>
      <c r="U274" s="168"/>
      <c r="V274" s="163"/>
      <c r="W274" s="168">
        <v>12.0</v>
      </c>
      <c r="X274" s="228">
        <f t="shared" si="81"/>
        <v>2.88</v>
      </c>
      <c r="Y274" s="163"/>
      <c r="Z274" s="163"/>
      <c r="AA274" s="168">
        <v>60.0</v>
      </c>
      <c r="AB274" s="228">
        <f t="shared" si="82"/>
        <v>14.4</v>
      </c>
      <c r="AC274" s="168">
        <v>28.0</v>
      </c>
      <c r="AD274" s="228">
        <f t="shared" si="83"/>
        <v>6.72</v>
      </c>
      <c r="AE274" s="45" t="s">
        <v>3473</v>
      </c>
      <c r="AF274" s="20" t="s">
        <v>3474</v>
      </c>
      <c r="AG274" s="26">
        <v>108143.0</v>
      </c>
      <c r="AH274" s="20">
        <v>2023.0</v>
      </c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</row>
    <row r="275">
      <c r="A275" s="19">
        <f t="shared" si="33"/>
        <v>274</v>
      </c>
      <c r="B275" s="31" t="s">
        <v>3475</v>
      </c>
      <c r="C275" s="32"/>
      <c r="D275" s="32"/>
      <c r="E275" s="32"/>
      <c r="F275" s="31" t="s">
        <v>3476</v>
      </c>
      <c r="G275" s="31" t="s">
        <v>1162</v>
      </c>
      <c r="H275" s="31" t="s">
        <v>67</v>
      </c>
      <c r="I275" s="31" t="s">
        <v>23</v>
      </c>
      <c r="J275" s="92">
        <v>45239.0</v>
      </c>
      <c r="K275" s="31">
        <v>185.0</v>
      </c>
      <c r="L275" s="45" t="s">
        <v>3477</v>
      </c>
      <c r="M275" s="157">
        <v>1839.0</v>
      </c>
      <c r="N275" s="32"/>
      <c r="O275" s="32"/>
      <c r="P275" s="45" t="s">
        <v>3478</v>
      </c>
      <c r="Q275" s="175">
        <v>68.0</v>
      </c>
      <c r="R275" s="33" t="s">
        <v>3479</v>
      </c>
      <c r="S275" s="135">
        <f>(10695+17310+21730+27190+31560)/5</f>
        <v>21697</v>
      </c>
      <c r="T275" s="25" t="s">
        <v>3480</v>
      </c>
      <c r="U275" s="168">
        <v>5.3</v>
      </c>
      <c r="V275" s="228">
        <f>(U275*$K275)/100</f>
        <v>9.805</v>
      </c>
      <c r="W275" s="168">
        <v>10.6</v>
      </c>
      <c r="X275" s="228">
        <f t="shared" si="81"/>
        <v>19.61</v>
      </c>
      <c r="Y275" s="168">
        <v>30.4</v>
      </c>
      <c r="Z275" s="228">
        <f>(Y275*$K275)/100</f>
        <v>56.24</v>
      </c>
      <c r="AA275" s="168">
        <v>47.1</v>
      </c>
      <c r="AB275" s="228">
        <f t="shared" si="82"/>
        <v>87.135</v>
      </c>
      <c r="AC275" s="228">
        <f>100-(U275+W275+Y275+AA275)</f>
        <v>6.6</v>
      </c>
      <c r="AD275" s="228">
        <f t="shared" si="83"/>
        <v>12.21</v>
      </c>
      <c r="AE275" s="33" t="s">
        <v>3481</v>
      </c>
      <c r="AF275" s="20" t="s">
        <v>3482</v>
      </c>
      <c r="AG275" s="26">
        <v>50088.0</v>
      </c>
      <c r="AH275" s="20">
        <v>2023.0</v>
      </c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</row>
    <row r="276">
      <c r="A276" s="19">
        <f t="shared" si="33"/>
        <v>275</v>
      </c>
      <c r="B276" s="31" t="s">
        <v>3483</v>
      </c>
      <c r="C276" s="32"/>
      <c r="D276" s="32"/>
      <c r="E276" s="32"/>
      <c r="F276" s="31" t="s">
        <v>3484</v>
      </c>
      <c r="G276" s="31" t="s">
        <v>133</v>
      </c>
      <c r="H276" s="31" t="s">
        <v>32</v>
      </c>
      <c r="I276" s="31" t="s">
        <v>33</v>
      </c>
      <c r="J276" s="201"/>
      <c r="K276" s="31">
        <v>147.0</v>
      </c>
      <c r="L276" s="33" t="s">
        <v>3485</v>
      </c>
      <c r="M276" s="157">
        <v>1955.0</v>
      </c>
      <c r="N276" s="32"/>
      <c r="O276" s="32"/>
      <c r="P276" s="47" t="s">
        <v>3486</v>
      </c>
      <c r="Q276" s="175">
        <v>80.0</v>
      </c>
      <c r="R276" s="32"/>
      <c r="S276" s="132">
        <v>16550.0</v>
      </c>
      <c r="T276" s="131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32"/>
      <c r="AF276" s="20" t="s">
        <v>3487</v>
      </c>
      <c r="AG276" s="26">
        <v>102337.0</v>
      </c>
      <c r="AH276" s="20">
        <v>2023.0</v>
      </c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</row>
    <row r="277">
      <c r="A277" s="19">
        <f t="shared" si="33"/>
        <v>276</v>
      </c>
      <c r="B277" s="31" t="s">
        <v>3488</v>
      </c>
      <c r="C277" s="32"/>
      <c r="D277" s="32"/>
      <c r="E277" s="32"/>
      <c r="F277" s="31" t="s">
        <v>3489</v>
      </c>
      <c r="G277" s="31" t="s">
        <v>307</v>
      </c>
      <c r="H277" s="31" t="s">
        <v>22</v>
      </c>
      <c r="I277" s="31" t="s">
        <v>33</v>
      </c>
      <c r="J277" s="201"/>
      <c r="K277" s="32"/>
      <c r="L277" s="32"/>
      <c r="M277" s="157">
        <v>1950.0</v>
      </c>
      <c r="N277" s="32"/>
      <c r="O277" s="32"/>
      <c r="P277" s="33" t="s">
        <v>3490</v>
      </c>
      <c r="Q277" s="134"/>
      <c r="R277" s="32"/>
      <c r="S277" s="135"/>
      <c r="T277" s="131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32"/>
      <c r="AF277" s="27"/>
      <c r="AG277" s="85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</row>
    <row r="278">
      <c r="A278" s="19">
        <f t="shared" si="33"/>
        <v>277</v>
      </c>
      <c r="B278" s="31" t="s">
        <v>3491</v>
      </c>
      <c r="C278" s="32"/>
      <c r="D278" s="32"/>
      <c r="E278" s="32"/>
      <c r="F278" s="31" t="s">
        <v>3492</v>
      </c>
      <c r="G278" s="31" t="s">
        <v>1084</v>
      </c>
      <c r="H278" s="31" t="s">
        <v>32</v>
      </c>
      <c r="I278" s="31" t="s">
        <v>33</v>
      </c>
      <c r="J278" s="201"/>
      <c r="K278" s="32"/>
      <c r="L278" s="32"/>
      <c r="M278" s="157">
        <v>1980.0</v>
      </c>
      <c r="N278" s="32"/>
      <c r="O278" s="32"/>
      <c r="P278" s="47" t="s">
        <v>3493</v>
      </c>
      <c r="Q278" s="134"/>
      <c r="R278" s="32"/>
      <c r="S278" s="135"/>
      <c r="T278" s="131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32"/>
      <c r="AF278" s="27"/>
      <c r="AG278" s="85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</row>
    <row r="279">
      <c r="A279" s="19">
        <f t="shared" si="33"/>
        <v>278</v>
      </c>
      <c r="B279" s="31" t="s">
        <v>3494</v>
      </c>
      <c r="C279" s="32"/>
      <c r="D279" s="32"/>
      <c r="E279" s="32"/>
      <c r="F279" s="31" t="s">
        <v>3495</v>
      </c>
      <c r="G279" s="31" t="s">
        <v>76</v>
      </c>
      <c r="H279" s="31" t="s">
        <v>43</v>
      </c>
      <c r="I279" s="31" t="s">
        <v>33</v>
      </c>
      <c r="J279" s="201"/>
      <c r="K279" s="31">
        <v>359.0</v>
      </c>
      <c r="L279" s="237" t="s">
        <v>3496</v>
      </c>
      <c r="M279" s="157">
        <v>1928.0</v>
      </c>
      <c r="N279" s="31" t="s">
        <v>3497</v>
      </c>
      <c r="O279" s="32"/>
      <c r="P279" s="47" t="s">
        <v>3498</v>
      </c>
      <c r="Q279" s="134"/>
      <c r="R279" s="32"/>
      <c r="S279" s="132">
        <v>13300.0</v>
      </c>
      <c r="T279" s="45" t="s">
        <v>3499</v>
      </c>
      <c r="U279" s="168">
        <v>4.2</v>
      </c>
      <c r="V279" s="228">
        <f>(U279*$K279)/100</f>
        <v>15.078</v>
      </c>
      <c r="W279" s="168">
        <v>4.7</v>
      </c>
      <c r="X279" s="228">
        <f t="shared" ref="X279:X280" si="84">(W279*$K279)/100</f>
        <v>16.873</v>
      </c>
      <c r="Y279" s="168">
        <v>1.9</v>
      </c>
      <c r="Z279" s="228">
        <f>(Y279*$K279)/100</f>
        <v>6.821</v>
      </c>
      <c r="AA279" s="168">
        <v>86.1</v>
      </c>
      <c r="AB279" s="228">
        <f t="shared" ref="AB279:AB284" si="85">(AA279*$K279)/100</f>
        <v>309.099</v>
      </c>
      <c r="AC279" s="228">
        <f t="shared" ref="AC279:AC280" si="86">100-(U279+W279+Y279+AA279)</f>
        <v>3.1</v>
      </c>
      <c r="AD279" s="228">
        <f t="shared" ref="AD279:AD280" si="87">(AC279*$K279)/100</f>
        <v>11.129</v>
      </c>
      <c r="AE279" s="32"/>
      <c r="AF279" s="20" t="s">
        <v>3500</v>
      </c>
      <c r="AG279" s="26">
        <v>203909.0</v>
      </c>
      <c r="AH279" s="20">
        <v>2023.0</v>
      </c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</row>
    <row r="280">
      <c r="A280" s="19">
        <f t="shared" si="33"/>
        <v>279</v>
      </c>
      <c r="B280" s="31" t="s">
        <v>3414</v>
      </c>
      <c r="C280" s="32"/>
      <c r="D280" s="31" t="s">
        <v>3198</v>
      </c>
      <c r="E280" s="31" t="s">
        <v>3501</v>
      </c>
      <c r="F280" s="31" t="s">
        <v>3502</v>
      </c>
      <c r="G280" s="31" t="s">
        <v>107</v>
      </c>
      <c r="H280" s="31" t="s">
        <v>67</v>
      </c>
      <c r="I280" s="31" t="s">
        <v>33</v>
      </c>
      <c r="J280" s="92">
        <v>45287.0</v>
      </c>
      <c r="K280" s="31">
        <v>111.0</v>
      </c>
      <c r="L280" s="33" t="s">
        <v>3503</v>
      </c>
      <c r="M280" s="139"/>
      <c r="N280" s="32"/>
      <c r="O280" s="32"/>
      <c r="P280" s="45" t="s">
        <v>1057</v>
      </c>
      <c r="Q280" s="134"/>
      <c r="R280" s="32"/>
      <c r="S280" s="135"/>
      <c r="T280" s="131"/>
      <c r="U280" s="163"/>
      <c r="V280" s="163"/>
      <c r="W280" s="168">
        <v>0.9</v>
      </c>
      <c r="X280" s="228">
        <f t="shared" si="84"/>
        <v>0.999</v>
      </c>
      <c r="Y280" s="163"/>
      <c r="Z280" s="163"/>
      <c r="AA280" s="168">
        <v>82.0</v>
      </c>
      <c r="AB280" s="228">
        <f t="shared" si="85"/>
        <v>91.02</v>
      </c>
      <c r="AC280" s="228">
        <f t="shared" si="86"/>
        <v>17.1</v>
      </c>
      <c r="AD280" s="228">
        <f t="shared" si="87"/>
        <v>18.981</v>
      </c>
      <c r="AE280" s="32"/>
      <c r="AF280" s="20" t="s">
        <v>3504</v>
      </c>
      <c r="AG280" s="26">
        <v>106743.0</v>
      </c>
      <c r="AH280" s="20">
        <v>2023.0</v>
      </c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</row>
    <row r="281">
      <c r="A281" s="19">
        <f t="shared" si="33"/>
        <v>280</v>
      </c>
      <c r="B281" s="31" t="s">
        <v>3505</v>
      </c>
      <c r="C281" s="32"/>
      <c r="D281" s="31" t="s">
        <v>3198</v>
      </c>
      <c r="E281" s="31" t="s">
        <v>3501</v>
      </c>
      <c r="F281" s="31" t="s">
        <v>3506</v>
      </c>
      <c r="G281" s="31" t="s">
        <v>107</v>
      </c>
      <c r="H281" s="31" t="s">
        <v>67</v>
      </c>
      <c r="I281" s="31" t="s">
        <v>33</v>
      </c>
      <c r="J281" s="92">
        <v>45287.0</v>
      </c>
      <c r="K281" s="31">
        <v>212.0</v>
      </c>
      <c r="L281" s="47" t="s">
        <v>3507</v>
      </c>
      <c r="M281" s="157">
        <v>1884.0</v>
      </c>
      <c r="N281" s="32"/>
      <c r="O281" s="32"/>
      <c r="P281" s="45" t="s">
        <v>1057</v>
      </c>
      <c r="Q281" s="134"/>
      <c r="R281" s="32"/>
      <c r="S281" s="135"/>
      <c r="T281" s="131"/>
      <c r="U281" s="163"/>
      <c r="V281" s="163"/>
      <c r="W281" s="163"/>
      <c r="X281" s="163"/>
      <c r="Y281" s="168">
        <v>0.5</v>
      </c>
      <c r="Z281" s="228">
        <f>(Y281*$K281)/100</f>
        <v>1.06</v>
      </c>
      <c r="AA281" s="168">
        <v>99.5</v>
      </c>
      <c r="AB281" s="228">
        <f t="shared" si="85"/>
        <v>210.94</v>
      </c>
      <c r="AC281" s="163"/>
      <c r="AD281" s="163"/>
      <c r="AE281" s="32"/>
      <c r="AF281" s="20" t="s">
        <v>1058</v>
      </c>
      <c r="AG281" s="26">
        <v>106743.0</v>
      </c>
      <c r="AH281" s="20">
        <v>2023.0</v>
      </c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</row>
    <row r="282">
      <c r="A282" s="19">
        <f t="shared" si="33"/>
        <v>281</v>
      </c>
      <c r="B282" s="31" t="s">
        <v>3508</v>
      </c>
      <c r="C282" s="32"/>
      <c r="D282" s="32"/>
      <c r="E282" s="32"/>
      <c r="F282" s="248" t="s">
        <v>3509</v>
      </c>
      <c r="G282" s="31" t="s">
        <v>702</v>
      </c>
      <c r="H282" s="249" t="s">
        <v>67</v>
      </c>
      <c r="I282" s="31" t="s">
        <v>33</v>
      </c>
      <c r="J282" s="92">
        <v>45279.0</v>
      </c>
      <c r="K282" s="31">
        <v>182.0</v>
      </c>
      <c r="L282" s="45" t="s">
        <v>3510</v>
      </c>
      <c r="M282" s="157">
        <v>1912.0</v>
      </c>
      <c r="N282" s="32"/>
      <c r="O282" s="32"/>
      <c r="P282" s="32"/>
      <c r="Q282" s="134"/>
      <c r="R282" s="32"/>
      <c r="S282" s="132">
        <v>4200.0</v>
      </c>
      <c r="T282" s="152" t="s">
        <v>3511</v>
      </c>
      <c r="U282" s="168">
        <v>27.6</v>
      </c>
      <c r="V282" s="228">
        <f t="shared" ref="V282:V284" si="88">(U282*$K282)/100</f>
        <v>50.232</v>
      </c>
      <c r="W282" s="168">
        <v>9.0</v>
      </c>
      <c r="X282" s="228">
        <f t="shared" ref="X282:X284" si="89">(W282*$K282)/100</f>
        <v>16.38</v>
      </c>
      <c r="Y282" s="163"/>
      <c r="Z282" s="163"/>
      <c r="AA282" s="168">
        <v>50.0</v>
      </c>
      <c r="AB282" s="228">
        <f t="shared" si="85"/>
        <v>91</v>
      </c>
      <c r="AC282" s="228">
        <f t="shared" ref="AC282:AC284" si="90">100-(U282+W282+Y282+AA282)</f>
        <v>13.4</v>
      </c>
      <c r="AD282" s="228">
        <f t="shared" ref="AD282:AD284" si="91">(AC282*$K282)/100</f>
        <v>24.388</v>
      </c>
      <c r="AE282" s="32"/>
      <c r="AF282" s="20" t="s">
        <v>3512</v>
      </c>
      <c r="AG282" s="26">
        <v>64797.0</v>
      </c>
      <c r="AH282" s="20">
        <v>2023.0</v>
      </c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</row>
    <row r="283">
      <c r="A283" s="19">
        <f t="shared" si="33"/>
        <v>282</v>
      </c>
      <c r="B283" s="221" t="s">
        <v>3513</v>
      </c>
      <c r="C283" s="226"/>
      <c r="D283" s="226"/>
      <c r="E283" s="226"/>
      <c r="F283" s="221" t="s">
        <v>3514</v>
      </c>
      <c r="G283" s="221" t="s">
        <v>21</v>
      </c>
      <c r="H283" s="250" t="s">
        <v>22</v>
      </c>
      <c r="I283" s="31" t="s">
        <v>33</v>
      </c>
      <c r="J283" s="251">
        <v>45316.0</v>
      </c>
      <c r="K283" s="223">
        <v>400.0</v>
      </c>
      <c r="L283" s="252" t="s">
        <v>3515</v>
      </c>
      <c r="M283" s="223">
        <v>1964.0</v>
      </c>
      <c r="N283" s="221" t="s">
        <v>3516</v>
      </c>
      <c r="O283" s="221" t="s">
        <v>1324</v>
      </c>
      <c r="P283" s="224" t="s">
        <v>3517</v>
      </c>
      <c r="Q283" s="253">
        <v>0.4</v>
      </c>
      <c r="R283" s="226"/>
      <c r="S283" s="225">
        <v>20950.0</v>
      </c>
      <c r="T283" s="226"/>
      <c r="U283" s="227">
        <v>1.0</v>
      </c>
      <c r="V283" s="228">
        <f t="shared" si="88"/>
        <v>4</v>
      </c>
      <c r="W283" s="227">
        <v>19.3</v>
      </c>
      <c r="X283" s="228">
        <f t="shared" si="89"/>
        <v>77.2</v>
      </c>
      <c r="Y283" s="227">
        <v>11.0</v>
      </c>
      <c r="Z283" s="228">
        <f t="shared" ref="Z283:Z284" si="92">(Y283*$K283)/100</f>
        <v>44</v>
      </c>
      <c r="AA283" s="227">
        <v>54.3</v>
      </c>
      <c r="AB283" s="228">
        <f t="shared" si="85"/>
        <v>217.2</v>
      </c>
      <c r="AC283" s="228">
        <f t="shared" si="90"/>
        <v>14.4</v>
      </c>
      <c r="AD283" s="228">
        <f t="shared" si="91"/>
        <v>57.6</v>
      </c>
      <c r="AE283" s="226"/>
      <c r="AF283" s="221" t="s">
        <v>3518</v>
      </c>
      <c r="AG283" s="254">
        <v>168812.0</v>
      </c>
      <c r="AH283" s="223">
        <v>2023.0</v>
      </c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</row>
    <row r="284">
      <c r="A284" s="19">
        <f t="shared" si="33"/>
        <v>283</v>
      </c>
      <c r="B284" s="221" t="s">
        <v>3519</v>
      </c>
      <c r="C284" s="226"/>
      <c r="D284" s="226"/>
      <c r="E284" s="226"/>
      <c r="F284" s="221" t="s">
        <v>3520</v>
      </c>
      <c r="G284" s="221" t="s">
        <v>713</v>
      </c>
      <c r="H284" s="250" t="s">
        <v>67</v>
      </c>
      <c r="I284" s="31" t="s">
        <v>33</v>
      </c>
      <c r="J284" s="251">
        <v>45310.0</v>
      </c>
      <c r="K284" s="223">
        <v>165.0</v>
      </c>
      <c r="L284" s="224" t="s">
        <v>3521</v>
      </c>
      <c r="M284" s="223">
        <v>1964.0</v>
      </c>
      <c r="N284" s="221" t="s">
        <v>3522</v>
      </c>
      <c r="O284" s="221" t="s">
        <v>1324</v>
      </c>
      <c r="P284" s="224" t="s">
        <v>3523</v>
      </c>
      <c r="S284" s="225">
        <v>5350.0</v>
      </c>
      <c r="T284" s="224" t="s">
        <v>3524</v>
      </c>
      <c r="U284" s="227">
        <v>1.8</v>
      </c>
      <c r="V284" s="228">
        <f t="shared" si="88"/>
        <v>2.97</v>
      </c>
      <c r="W284" s="227">
        <v>1.8</v>
      </c>
      <c r="X284" s="228">
        <f t="shared" si="89"/>
        <v>2.97</v>
      </c>
      <c r="Y284" s="227">
        <v>1.8</v>
      </c>
      <c r="Z284" s="228">
        <f t="shared" si="92"/>
        <v>2.97</v>
      </c>
      <c r="AA284" s="227">
        <v>77.0</v>
      </c>
      <c r="AB284" s="228">
        <f t="shared" si="85"/>
        <v>127.05</v>
      </c>
      <c r="AC284" s="228">
        <f t="shared" si="90"/>
        <v>17.6</v>
      </c>
      <c r="AD284" s="228">
        <f t="shared" si="91"/>
        <v>29.04</v>
      </c>
      <c r="AE284" s="226"/>
      <c r="AF284" s="221" t="s">
        <v>3525</v>
      </c>
      <c r="AG284" s="254">
        <v>83704.0</v>
      </c>
      <c r="AH284" s="223">
        <v>2023.0</v>
      </c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</row>
    <row r="285">
      <c r="A285" s="19">
        <f t="shared" si="33"/>
        <v>284</v>
      </c>
      <c r="B285" s="221" t="s">
        <v>3526</v>
      </c>
      <c r="C285" s="226"/>
      <c r="D285" s="221" t="s">
        <v>1324</v>
      </c>
      <c r="E285" s="226"/>
      <c r="F285" s="221" t="s">
        <v>3527</v>
      </c>
      <c r="G285" s="221" t="s">
        <v>1162</v>
      </c>
      <c r="H285" s="250" t="s">
        <v>67</v>
      </c>
      <c r="I285" s="31" t="s">
        <v>33</v>
      </c>
      <c r="J285" s="251">
        <v>45316.0</v>
      </c>
      <c r="K285" s="226"/>
      <c r="L285" s="224" t="s">
        <v>3528</v>
      </c>
      <c r="M285" s="223">
        <v>1951.0</v>
      </c>
      <c r="N285" s="221" t="s">
        <v>3529</v>
      </c>
      <c r="O285" s="226"/>
      <c r="P285" s="224" t="s">
        <v>3530</v>
      </c>
      <c r="Q285" s="255"/>
      <c r="R285" s="226"/>
      <c r="S285" s="256"/>
      <c r="T285" s="226"/>
      <c r="U285" s="257"/>
      <c r="V285" s="257"/>
      <c r="W285" s="257"/>
      <c r="X285" s="257"/>
      <c r="Y285" s="257"/>
      <c r="Z285" s="257"/>
      <c r="AA285" s="257"/>
      <c r="AB285" s="257"/>
      <c r="AC285" s="257"/>
      <c r="AD285" s="257"/>
      <c r="AE285" s="226"/>
      <c r="AF285" s="258" t="s">
        <v>3531</v>
      </c>
      <c r="AG285" s="254">
        <v>75191.0</v>
      </c>
      <c r="AH285" s="223">
        <v>2023.0</v>
      </c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</row>
    <row r="286">
      <c r="A286" s="19">
        <f t="shared" si="33"/>
        <v>285</v>
      </c>
      <c r="B286" s="221" t="s">
        <v>3532</v>
      </c>
      <c r="C286" s="226"/>
      <c r="D286" s="221" t="s">
        <v>1324</v>
      </c>
      <c r="E286" s="226"/>
      <c r="F286" s="221" t="s">
        <v>3527</v>
      </c>
      <c r="G286" s="221" t="s">
        <v>1162</v>
      </c>
      <c r="H286" s="250" t="s">
        <v>67</v>
      </c>
      <c r="I286" s="31" t="s">
        <v>33</v>
      </c>
      <c r="J286" s="251">
        <v>45316.0</v>
      </c>
      <c r="K286" s="226"/>
      <c r="L286" s="224" t="s">
        <v>3528</v>
      </c>
      <c r="O286" s="226"/>
      <c r="P286" s="224" t="s">
        <v>3533</v>
      </c>
      <c r="Q286" s="255"/>
      <c r="R286" s="226"/>
      <c r="S286" s="256"/>
      <c r="T286" s="226"/>
      <c r="U286" s="257"/>
      <c r="V286" s="257"/>
      <c r="W286" s="257"/>
      <c r="X286" s="257"/>
      <c r="Y286" s="257"/>
      <c r="Z286" s="257"/>
      <c r="AA286" s="257"/>
      <c r="AB286" s="257"/>
      <c r="AC286" s="257"/>
      <c r="AD286" s="257"/>
      <c r="AE286" s="226"/>
      <c r="AF286" s="221" t="s">
        <v>3534</v>
      </c>
      <c r="AG286" s="259">
        <v>47357.0</v>
      </c>
      <c r="AH286" s="223">
        <v>2023.0</v>
      </c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</row>
    <row r="287">
      <c r="A287" s="19">
        <f t="shared" si="33"/>
        <v>286</v>
      </c>
      <c r="B287" s="31" t="s">
        <v>3535</v>
      </c>
      <c r="C287" s="32"/>
      <c r="D287" s="32"/>
      <c r="E287" s="32"/>
      <c r="F287" s="31" t="s">
        <v>3536</v>
      </c>
      <c r="G287" s="31" t="s">
        <v>1162</v>
      </c>
      <c r="H287" s="249" t="s">
        <v>67</v>
      </c>
      <c r="I287" s="31" t="s">
        <v>33</v>
      </c>
      <c r="J287" s="251">
        <v>45316.0</v>
      </c>
      <c r="K287" s="31">
        <v>176.0</v>
      </c>
      <c r="L287" s="33" t="s">
        <v>3537</v>
      </c>
      <c r="M287" s="157">
        <v>1961.0</v>
      </c>
      <c r="N287" s="31" t="s">
        <v>3538</v>
      </c>
      <c r="O287" s="32"/>
      <c r="P287" s="45" t="s">
        <v>3539</v>
      </c>
      <c r="Q287" s="134"/>
      <c r="R287" s="32"/>
      <c r="S287" s="132">
        <v>6852.0</v>
      </c>
      <c r="T287" s="45" t="s">
        <v>3540</v>
      </c>
      <c r="U287" s="168">
        <v>3.4</v>
      </c>
      <c r="V287" s="228">
        <f>(U287*$K287)/100</f>
        <v>5.984</v>
      </c>
      <c r="W287" s="168">
        <v>32.4</v>
      </c>
      <c r="X287" s="228">
        <f>(W287*$K287)/100</f>
        <v>57.024</v>
      </c>
      <c r="Y287" s="168">
        <v>19.3</v>
      </c>
      <c r="Z287" s="228">
        <f>(Y287*$K287)/100</f>
        <v>33.968</v>
      </c>
      <c r="AA287" s="168">
        <v>29.0</v>
      </c>
      <c r="AB287" s="228">
        <f>(AA287*$K287)/100</f>
        <v>51.04</v>
      </c>
      <c r="AC287" s="228">
        <f>100-(U287+W287+Y287+AA287)</f>
        <v>15.9</v>
      </c>
      <c r="AD287" s="228">
        <f>(AC287*$K287)/100</f>
        <v>27.984</v>
      </c>
      <c r="AE287" s="32"/>
      <c r="AF287" s="20" t="s">
        <v>3541</v>
      </c>
      <c r="AG287" s="26">
        <v>124162.0</v>
      </c>
      <c r="AH287" s="223">
        <v>2023.0</v>
      </c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</row>
    <row r="288">
      <c r="A288" s="19">
        <f t="shared" si="33"/>
        <v>287</v>
      </c>
      <c r="B288" s="31" t="s">
        <v>3542</v>
      </c>
      <c r="C288" s="32"/>
      <c r="D288" s="32"/>
      <c r="E288" s="32"/>
      <c r="F288" s="31" t="s">
        <v>3543</v>
      </c>
      <c r="G288" s="31" t="s">
        <v>91</v>
      </c>
      <c r="H288" s="249" t="s">
        <v>43</v>
      </c>
      <c r="I288" s="31" t="s">
        <v>33</v>
      </c>
      <c r="J288" s="92">
        <v>45327.0</v>
      </c>
      <c r="K288" s="31">
        <v>32.0</v>
      </c>
      <c r="L288" s="45" t="s">
        <v>3544</v>
      </c>
      <c r="M288" s="157">
        <v>1962.0</v>
      </c>
      <c r="N288" s="32"/>
      <c r="O288" s="32"/>
      <c r="P288" s="32"/>
      <c r="Q288" s="175">
        <v>84.0</v>
      </c>
      <c r="R288" s="33" t="s">
        <v>3545</v>
      </c>
      <c r="S288" s="132">
        <v>5560.0</v>
      </c>
      <c r="T288" s="131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32"/>
      <c r="AF288" s="20" t="s">
        <v>3546</v>
      </c>
      <c r="AG288" s="26">
        <v>75894.0</v>
      </c>
      <c r="AH288" s="223">
        <v>2023.0</v>
      </c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</row>
    <row r="289">
      <c r="A289" s="19">
        <f t="shared" si="33"/>
        <v>288</v>
      </c>
      <c r="B289" s="31" t="s">
        <v>1091</v>
      </c>
      <c r="C289" s="32"/>
      <c r="D289" s="32"/>
      <c r="E289" s="32"/>
      <c r="F289" s="31" t="s">
        <v>1092</v>
      </c>
      <c r="G289" s="31" t="s">
        <v>21</v>
      </c>
      <c r="H289" s="31" t="s">
        <v>22</v>
      </c>
      <c r="I289" s="31" t="s">
        <v>23</v>
      </c>
      <c r="J289" s="92">
        <v>45332.0</v>
      </c>
      <c r="K289" s="31">
        <v>50.0</v>
      </c>
      <c r="L289" s="33" t="s">
        <v>3547</v>
      </c>
      <c r="M289" s="157">
        <v>2023.0</v>
      </c>
      <c r="N289" s="31" t="s">
        <v>3548</v>
      </c>
      <c r="O289" s="32"/>
      <c r="P289" s="32"/>
      <c r="Q289" s="134"/>
      <c r="R289" s="32"/>
      <c r="S289" s="135"/>
      <c r="T289" s="131"/>
      <c r="U289" s="168">
        <v>60.0</v>
      </c>
      <c r="V289" s="228">
        <f t="shared" ref="V289:V290" si="93">(U289*$K289)/100</f>
        <v>30</v>
      </c>
      <c r="W289" s="168">
        <v>38.1</v>
      </c>
      <c r="X289" s="228">
        <f t="shared" ref="X289:X290" si="94">(W289*$K289)/100</f>
        <v>19.05</v>
      </c>
      <c r="Y289" s="163"/>
      <c r="Z289" s="228">
        <f t="shared" ref="Z289:Z290" si="95">(Y289*$K289)/100</f>
        <v>0</v>
      </c>
      <c r="AA289" s="163"/>
      <c r="AB289" s="228">
        <f t="shared" ref="AB289:AB290" si="96">(AA289*$K289)/100</f>
        <v>0</v>
      </c>
      <c r="AC289" s="228">
        <f t="shared" ref="AC289:AC290" si="97">100-(U289+W289+Y289+AA289)</f>
        <v>1.9</v>
      </c>
      <c r="AD289" s="228">
        <f t="shared" ref="AD289:AD290" si="98">(AC289*$K289)/100</f>
        <v>0.95</v>
      </c>
      <c r="AE289" s="32"/>
      <c r="AF289" s="20" t="s">
        <v>3549</v>
      </c>
      <c r="AG289" s="20" t="s">
        <v>721</v>
      </c>
      <c r="AH289" s="223">
        <v>2023.0</v>
      </c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</row>
    <row r="290">
      <c r="A290" s="19">
        <f t="shared" si="33"/>
        <v>289</v>
      </c>
      <c r="B290" s="31" t="s">
        <v>3550</v>
      </c>
      <c r="C290" s="32"/>
      <c r="D290" s="32"/>
      <c r="E290" s="32"/>
      <c r="F290" s="31" t="s">
        <v>379</v>
      </c>
      <c r="G290" s="31" t="s">
        <v>76</v>
      </c>
      <c r="H290" s="31" t="s">
        <v>43</v>
      </c>
      <c r="I290" s="31" t="s">
        <v>33</v>
      </c>
      <c r="J290" s="92">
        <v>45328.0</v>
      </c>
      <c r="K290" s="31">
        <v>114.0</v>
      </c>
      <c r="L290" s="33" t="s">
        <v>3551</v>
      </c>
      <c r="M290" s="157">
        <v>1855.0</v>
      </c>
      <c r="N290" s="32"/>
      <c r="O290" s="32"/>
      <c r="P290" s="33" t="s">
        <v>3552</v>
      </c>
      <c r="Q290" s="134"/>
      <c r="R290" s="32"/>
      <c r="S290" s="132">
        <v>9950.0</v>
      </c>
      <c r="T290" s="131"/>
      <c r="U290" s="168">
        <v>2.6</v>
      </c>
      <c r="V290" s="228">
        <f t="shared" si="93"/>
        <v>2.964</v>
      </c>
      <c r="W290" s="168">
        <v>8.8</v>
      </c>
      <c r="X290" s="228">
        <f t="shared" si="94"/>
        <v>10.032</v>
      </c>
      <c r="Y290" s="168">
        <v>0.9</v>
      </c>
      <c r="Z290" s="228">
        <f t="shared" si="95"/>
        <v>1.026</v>
      </c>
      <c r="AA290" s="168">
        <v>74.6</v>
      </c>
      <c r="AB290" s="228">
        <f t="shared" si="96"/>
        <v>85.044</v>
      </c>
      <c r="AC290" s="228">
        <f t="shared" si="97"/>
        <v>13.1</v>
      </c>
      <c r="AD290" s="228">
        <f t="shared" si="98"/>
        <v>14.934</v>
      </c>
      <c r="AE290" s="32"/>
      <c r="AF290" s="20" t="s">
        <v>3553</v>
      </c>
      <c r="AG290" s="26">
        <v>183864.0</v>
      </c>
      <c r="AH290" s="223">
        <v>2023.0</v>
      </c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</row>
    <row r="291">
      <c r="A291" s="19">
        <f t="shared" si="33"/>
        <v>290</v>
      </c>
      <c r="B291" s="31" t="s">
        <v>3554</v>
      </c>
      <c r="C291" s="32"/>
      <c r="D291" s="32"/>
      <c r="E291" s="32"/>
      <c r="F291" s="31" t="s">
        <v>2837</v>
      </c>
      <c r="G291" s="31" t="s">
        <v>76</v>
      </c>
      <c r="H291" s="31" t="s">
        <v>43</v>
      </c>
      <c r="I291" s="31" t="s">
        <v>33</v>
      </c>
      <c r="J291" s="92">
        <v>45338.0</v>
      </c>
      <c r="K291" s="32"/>
      <c r="L291" s="32"/>
      <c r="M291" s="156"/>
      <c r="N291" s="32"/>
      <c r="O291" s="32"/>
      <c r="P291" s="33" t="s">
        <v>3555</v>
      </c>
      <c r="Q291" s="134"/>
      <c r="R291" s="32"/>
      <c r="S291" s="135"/>
      <c r="T291" s="131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32"/>
      <c r="AF291" s="27"/>
      <c r="AG291" s="85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</row>
    <row r="292">
      <c r="A292" s="19">
        <f t="shared" si="33"/>
        <v>291</v>
      </c>
      <c r="B292" s="221" t="s">
        <v>3556</v>
      </c>
      <c r="C292" s="32"/>
      <c r="D292" s="32"/>
      <c r="E292" s="32"/>
      <c r="F292" s="221" t="s">
        <v>3557</v>
      </c>
      <c r="G292" s="221" t="s">
        <v>66</v>
      </c>
      <c r="H292" s="260" t="s">
        <v>67</v>
      </c>
      <c r="I292" s="260" t="s">
        <v>33</v>
      </c>
      <c r="J292" s="92">
        <v>45360.0</v>
      </c>
      <c r="K292" s="223">
        <v>148.0</v>
      </c>
      <c r="L292" s="252" t="s">
        <v>3558</v>
      </c>
      <c r="M292" s="223">
        <v>1926.0</v>
      </c>
      <c r="N292" s="221" t="s">
        <v>3559</v>
      </c>
      <c r="O292" s="32"/>
      <c r="P292" s="252" t="s">
        <v>3560</v>
      </c>
      <c r="Q292" s="134"/>
      <c r="R292" s="32"/>
      <c r="S292" s="225">
        <v>7100.0</v>
      </c>
      <c r="T292" s="252" t="s">
        <v>3561</v>
      </c>
      <c r="U292" s="227">
        <v>2.8</v>
      </c>
      <c r="V292" s="228">
        <f t="shared" ref="V292:V295" si="99">(U292*$K292)/100</f>
        <v>4.144</v>
      </c>
      <c r="W292" s="227">
        <v>7.6</v>
      </c>
      <c r="X292" s="228">
        <f t="shared" ref="X292:X295" si="100">(W292*$K292)/100</f>
        <v>11.248</v>
      </c>
      <c r="Y292" s="227">
        <v>0.9</v>
      </c>
      <c r="Z292" s="228">
        <f t="shared" ref="Z292:Z295" si="101">(Y292*$K292)/100</f>
        <v>1.332</v>
      </c>
      <c r="AA292" s="227">
        <v>87.7</v>
      </c>
      <c r="AB292" s="228">
        <f t="shared" ref="AB292:AB295" si="102">(AA292*$K292)/100</f>
        <v>129.796</v>
      </c>
      <c r="AC292" s="228">
        <f t="shared" ref="AC292:AC295" si="103">100-(U292+W292+Y292+AA292)</f>
        <v>1</v>
      </c>
      <c r="AD292" s="228">
        <f t="shared" ref="AD292:AD295" si="104">(AC292*$K292)/100</f>
        <v>1.48</v>
      </c>
      <c r="AE292" s="226"/>
      <c r="AF292" s="261" t="s">
        <v>3562</v>
      </c>
      <c r="AG292" s="254">
        <v>145898.0</v>
      </c>
      <c r="AH292" s="223">
        <v>2023.0</v>
      </c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</row>
    <row r="293">
      <c r="A293" s="19">
        <f t="shared" si="33"/>
        <v>292</v>
      </c>
      <c r="B293" s="221" t="s">
        <v>3563</v>
      </c>
      <c r="C293" s="32"/>
      <c r="D293" s="32"/>
      <c r="E293" s="32"/>
      <c r="F293" s="221" t="s">
        <v>2227</v>
      </c>
      <c r="G293" s="221" t="s">
        <v>66</v>
      </c>
      <c r="H293" s="260" t="s">
        <v>67</v>
      </c>
      <c r="I293" s="260" t="s">
        <v>33</v>
      </c>
      <c r="J293" s="92">
        <v>45360.0</v>
      </c>
      <c r="K293" s="223">
        <v>194.0</v>
      </c>
      <c r="L293" s="252" t="s">
        <v>3564</v>
      </c>
      <c r="M293" s="223">
        <v>1911.0</v>
      </c>
      <c r="N293" s="221" t="s">
        <v>3559</v>
      </c>
      <c r="O293" s="32"/>
      <c r="P293" s="226"/>
      <c r="Q293" s="134"/>
      <c r="R293" s="32"/>
      <c r="S293" s="256"/>
      <c r="T293" s="226"/>
      <c r="U293" s="227">
        <v>37.1</v>
      </c>
      <c r="V293" s="228">
        <f t="shared" si="99"/>
        <v>71.974</v>
      </c>
      <c r="W293" s="227">
        <v>0.0</v>
      </c>
      <c r="X293" s="228">
        <f t="shared" si="100"/>
        <v>0</v>
      </c>
      <c r="Y293" s="227">
        <v>1.5</v>
      </c>
      <c r="Z293" s="228">
        <f t="shared" si="101"/>
        <v>2.91</v>
      </c>
      <c r="AA293" s="227">
        <v>42.3</v>
      </c>
      <c r="AB293" s="228">
        <f t="shared" si="102"/>
        <v>82.062</v>
      </c>
      <c r="AC293" s="228">
        <f t="shared" si="103"/>
        <v>19.1</v>
      </c>
      <c r="AD293" s="228">
        <f t="shared" si="104"/>
        <v>37.054</v>
      </c>
      <c r="AE293" s="226"/>
      <c r="AF293" s="261" t="s">
        <v>3565</v>
      </c>
      <c r="AG293" s="254">
        <v>188123.0</v>
      </c>
      <c r="AH293" s="223">
        <v>2023.0</v>
      </c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</row>
    <row r="294">
      <c r="A294" s="19">
        <f t="shared" si="33"/>
        <v>293</v>
      </c>
      <c r="B294" s="221" t="s">
        <v>3566</v>
      </c>
      <c r="C294" s="32"/>
      <c r="D294" s="32"/>
      <c r="E294" s="32"/>
      <c r="F294" s="221" t="s">
        <v>3211</v>
      </c>
      <c r="G294" s="221" t="s">
        <v>246</v>
      </c>
      <c r="H294" s="260" t="s">
        <v>67</v>
      </c>
      <c r="I294" s="260" t="s">
        <v>33</v>
      </c>
      <c r="J294" s="92">
        <v>45359.0</v>
      </c>
      <c r="K294" s="223">
        <v>127.0</v>
      </c>
      <c r="L294" s="252" t="s">
        <v>3567</v>
      </c>
      <c r="M294" s="223">
        <v>1951.0</v>
      </c>
      <c r="N294" s="221" t="s">
        <v>3568</v>
      </c>
      <c r="O294" s="221" t="s">
        <v>1324</v>
      </c>
      <c r="P294" s="226"/>
      <c r="Q294" s="134"/>
      <c r="R294" s="32"/>
      <c r="S294" s="225">
        <v>6600.0</v>
      </c>
      <c r="T294" s="252" t="s">
        <v>3569</v>
      </c>
      <c r="U294" s="227">
        <v>0.8</v>
      </c>
      <c r="V294" s="228">
        <f t="shared" si="99"/>
        <v>1.016</v>
      </c>
      <c r="W294" s="227">
        <v>6.3</v>
      </c>
      <c r="X294" s="228">
        <f t="shared" si="100"/>
        <v>8.001</v>
      </c>
      <c r="Y294" s="227">
        <v>15.7</v>
      </c>
      <c r="Z294" s="228">
        <f t="shared" si="101"/>
        <v>19.939</v>
      </c>
      <c r="AA294" s="227">
        <v>70.1</v>
      </c>
      <c r="AB294" s="228">
        <f t="shared" si="102"/>
        <v>89.027</v>
      </c>
      <c r="AC294" s="228">
        <f t="shared" si="103"/>
        <v>7.1</v>
      </c>
      <c r="AD294" s="228">
        <f t="shared" si="104"/>
        <v>9.017</v>
      </c>
      <c r="AE294" s="226"/>
      <c r="AF294" s="261" t="s">
        <v>3570</v>
      </c>
      <c r="AG294" s="254">
        <v>60083.0</v>
      </c>
      <c r="AH294" s="223">
        <v>2023.0</v>
      </c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</row>
    <row r="295">
      <c r="A295" s="19">
        <f t="shared" si="33"/>
        <v>294</v>
      </c>
      <c r="B295" s="262" t="s">
        <v>3571</v>
      </c>
      <c r="C295" s="32"/>
      <c r="D295" s="32"/>
      <c r="E295" s="32"/>
      <c r="F295" s="261" t="s">
        <v>3572</v>
      </c>
      <c r="G295" s="221" t="s">
        <v>1162</v>
      </c>
      <c r="H295" s="260" t="s">
        <v>67</v>
      </c>
      <c r="I295" s="260" t="s">
        <v>33</v>
      </c>
      <c r="J295" s="92">
        <v>45310.0</v>
      </c>
      <c r="K295" s="223">
        <v>203.0</v>
      </c>
      <c r="L295" s="252" t="s">
        <v>3573</v>
      </c>
      <c r="M295" s="223">
        <v>1929.0</v>
      </c>
      <c r="N295" s="221" t="s">
        <v>3574</v>
      </c>
      <c r="O295" s="32"/>
      <c r="P295" s="252" t="s">
        <v>3575</v>
      </c>
      <c r="Q295" s="134"/>
      <c r="R295" s="32"/>
      <c r="S295" s="225">
        <v>5770.0</v>
      </c>
      <c r="T295" s="252" t="s">
        <v>3573</v>
      </c>
      <c r="U295" s="227">
        <v>1.5</v>
      </c>
      <c r="V295" s="228">
        <f t="shared" si="99"/>
        <v>3.045</v>
      </c>
      <c r="W295" s="227">
        <v>81.8</v>
      </c>
      <c r="X295" s="228">
        <f t="shared" si="100"/>
        <v>166.054</v>
      </c>
      <c r="Y295" s="227">
        <v>1.0</v>
      </c>
      <c r="Z295" s="228">
        <f t="shared" si="101"/>
        <v>2.03</v>
      </c>
      <c r="AA295" s="227">
        <v>2.5</v>
      </c>
      <c r="AB295" s="228">
        <f t="shared" si="102"/>
        <v>5.075</v>
      </c>
      <c r="AC295" s="228">
        <f t="shared" si="103"/>
        <v>13.2</v>
      </c>
      <c r="AD295" s="228">
        <f t="shared" si="104"/>
        <v>26.796</v>
      </c>
      <c r="AE295" s="226"/>
      <c r="AF295" s="261" t="s">
        <v>3576</v>
      </c>
      <c r="AG295" s="254">
        <v>101565.0</v>
      </c>
      <c r="AH295" s="223">
        <v>2023.0</v>
      </c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</row>
    <row r="296">
      <c r="A296" s="19">
        <f t="shared" si="33"/>
        <v>295</v>
      </c>
      <c r="B296" s="31" t="s">
        <v>3577</v>
      </c>
      <c r="C296" s="32"/>
      <c r="D296" s="32"/>
      <c r="E296" s="32"/>
      <c r="F296" s="31" t="s">
        <v>3578</v>
      </c>
      <c r="G296" s="31" t="s">
        <v>1072</v>
      </c>
      <c r="H296" s="31" t="s">
        <v>1073</v>
      </c>
      <c r="I296" s="260" t="s">
        <v>33</v>
      </c>
      <c r="J296" s="92">
        <v>45330.0</v>
      </c>
      <c r="K296" s="31">
        <v>47.0</v>
      </c>
      <c r="L296" s="33" t="s">
        <v>3579</v>
      </c>
      <c r="M296" s="157">
        <v>1946.0</v>
      </c>
      <c r="N296" s="32"/>
      <c r="O296" s="32"/>
      <c r="P296" s="32"/>
      <c r="Q296" s="134"/>
      <c r="R296" s="32"/>
      <c r="S296" s="132">
        <v>8000.0</v>
      </c>
      <c r="T296" s="131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32"/>
      <c r="AF296" s="20" t="s">
        <v>3580</v>
      </c>
      <c r="AG296" s="26">
        <v>115139.0</v>
      </c>
      <c r="AH296" s="20">
        <v>2023.0</v>
      </c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</row>
    <row r="297">
      <c r="A297" s="19">
        <f t="shared" si="33"/>
        <v>296</v>
      </c>
      <c r="B297" s="31" t="s">
        <v>3581</v>
      </c>
      <c r="C297" s="32"/>
      <c r="D297" s="32"/>
      <c r="E297" s="32"/>
      <c r="F297" s="31" t="s">
        <v>3582</v>
      </c>
      <c r="G297" s="31" t="s">
        <v>1162</v>
      </c>
      <c r="H297" s="31" t="s">
        <v>67</v>
      </c>
      <c r="I297" s="31" t="s">
        <v>33</v>
      </c>
      <c r="J297" s="92">
        <v>45372.0</v>
      </c>
      <c r="K297" s="31">
        <v>119.0</v>
      </c>
      <c r="L297" s="33" t="s">
        <v>3583</v>
      </c>
      <c r="M297" s="157">
        <v>1958.0</v>
      </c>
      <c r="N297" s="31" t="s">
        <v>3584</v>
      </c>
      <c r="O297" s="32"/>
      <c r="P297" s="32"/>
      <c r="Q297" s="134"/>
      <c r="R297" s="32"/>
      <c r="S297" s="132">
        <v>7181.0</v>
      </c>
      <c r="T297" s="45" t="s">
        <v>3585</v>
      </c>
      <c r="U297" s="168">
        <v>1.9</v>
      </c>
      <c r="V297" s="228">
        <f t="shared" ref="V297:V298" si="105">(U297*$K297)/100</f>
        <v>2.261</v>
      </c>
      <c r="W297" s="168">
        <v>31.8</v>
      </c>
      <c r="X297" s="228">
        <f t="shared" ref="X297:X298" si="106">(W297*$K297)/100</f>
        <v>37.842</v>
      </c>
      <c r="Y297" s="168">
        <v>0.9</v>
      </c>
      <c r="Z297" s="228">
        <f t="shared" ref="Z297:Z298" si="107">(Y297*$K297)/100</f>
        <v>1.071</v>
      </c>
      <c r="AA297" s="168">
        <v>62.6</v>
      </c>
      <c r="AB297" s="228">
        <f t="shared" ref="AB297:AB298" si="108">(AA297*$K297)/100</f>
        <v>74.494</v>
      </c>
      <c r="AC297" s="228">
        <f t="shared" ref="AC297:AC298" si="109">100-(U297+W297+Y297+AA297)</f>
        <v>2.8</v>
      </c>
      <c r="AD297" s="228">
        <f t="shared" ref="AD297:AD298" si="110">(AC297*$K297)/100</f>
        <v>3.332</v>
      </c>
      <c r="AE297" s="45" t="s">
        <v>3586</v>
      </c>
      <c r="AF297" s="20" t="s">
        <v>3587</v>
      </c>
      <c r="AG297" s="26">
        <v>105150.0</v>
      </c>
      <c r="AH297" s="20">
        <v>2023.0</v>
      </c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</row>
    <row r="298">
      <c r="A298" s="19">
        <f t="shared" si="33"/>
        <v>297</v>
      </c>
      <c r="B298" s="31" t="s">
        <v>3588</v>
      </c>
      <c r="C298" s="32"/>
      <c r="D298" s="32"/>
      <c r="E298" s="32"/>
      <c r="F298" s="31" t="s">
        <v>3379</v>
      </c>
      <c r="G298" s="31" t="s">
        <v>260</v>
      </c>
      <c r="H298" s="31" t="s">
        <v>32</v>
      </c>
      <c r="I298" s="31" t="s">
        <v>23</v>
      </c>
      <c r="J298" s="92">
        <v>45370.0</v>
      </c>
      <c r="K298" s="31">
        <v>199.0</v>
      </c>
      <c r="L298" s="45" t="s">
        <v>3589</v>
      </c>
      <c r="M298" s="157">
        <v>2000.0</v>
      </c>
      <c r="N298" s="32"/>
      <c r="O298" s="32"/>
      <c r="P298" s="32"/>
      <c r="Q298" s="175">
        <v>46.0</v>
      </c>
      <c r="R298" s="32"/>
      <c r="S298" s="132">
        <v>31350.0</v>
      </c>
      <c r="T298" s="45" t="s">
        <v>3590</v>
      </c>
      <c r="U298" s="168">
        <v>45.5</v>
      </c>
      <c r="V298" s="228">
        <f t="shared" si="105"/>
        <v>90.545</v>
      </c>
      <c r="W298" s="168">
        <v>1.5</v>
      </c>
      <c r="X298" s="228">
        <f t="shared" si="106"/>
        <v>2.985</v>
      </c>
      <c r="Y298" s="168">
        <v>6.1</v>
      </c>
      <c r="Z298" s="228">
        <f t="shared" si="107"/>
        <v>12.139</v>
      </c>
      <c r="AA298" s="168">
        <v>37.4</v>
      </c>
      <c r="AB298" s="228">
        <f t="shared" si="108"/>
        <v>74.426</v>
      </c>
      <c r="AC298" s="228">
        <f t="shared" si="109"/>
        <v>9.5</v>
      </c>
      <c r="AD298" s="228">
        <f t="shared" si="110"/>
        <v>18.905</v>
      </c>
      <c r="AE298" s="45" t="s">
        <v>3591</v>
      </c>
      <c r="AF298" s="20" t="s">
        <v>3592</v>
      </c>
      <c r="AG298" s="26">
        <v>292596.0</v>
      </c>
      <c r="AH298" s="20">
        <v>2023.0</v>
      </c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</row>
    <row r="299">
      <c r="A299" s="19">
        <f t="shared" si="33"/>
        <v>298</v>
      </c>
      <c r="B299" s="31" t="s">
        <v>3593</v>
      </c>
      <c r="C299" s="32"/>
      <c r="D299" s="32"/>
      <c r="E299" s="32"/>
      <c r="F299" s="31" t="s">
        <v>3594</v>
      </c>
      <c r="G299" s="31" t="s">
        <v>1628</v>
      </c>
      <c r="H299" s="31" t="s">
        <v>43</v>
      </c>
      <c r="I299" s="31" t="s">
        <v>33</v>
      </c>
      <c r="J299" s="92">
        <v>45744.0</v>
      </c>
      <c r="K299" s="31">
        <v>137.0</v>
      </c>
      <c r="L299" s="45" t="s">
        <v>3595</v>
      </c>
      <c r="M299" s="157"/>
      <c r="N299" s="31" t="s">
        <v>3596</v>
      </c>
      <c r="O299" s="32"/>
      <c r="P299" s="31"/>
      <c r="Q299" s="134"/>
      <c r="R299" s="32"/>
      <c r="S299" s="135"/>
      <c r="T299" s="131"/>
      <c r="U299" s="168"/>
      <c r="V299" s="228"/>
      <c r="W299" s="168"/>
      <c r="X299" s="228"/>
      <c r="Y299" s="168"/>
      <c r="Z299" s="228"/>
      <c r="AA299" s="168"/>
      <c r="AB299" s="228"/>
      <c r="AC299" s="228"/>
      <c r="AD299" s="228"/>
      <c r="AE299" s="32"/>
      <c r="AF299" s="20"/>
      <c r="AG299" s="26"/>
      <c r="AH299" s="20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</row>
    <row r="300">
      <c r="A300" s="19">
        <f t="shared" si="33"/>
        <v>299</v>
      </c>
      <c r="B300" s="31" t="s">
        <v>3597</v>
      </c>
      <c r="C300" s="32"/>
      <c r="D300" s="32"/>
      <c r="E300" s="32"/>
      <c r="F300" s="31" t="s">
        <v>1404</v>
      </c>
      <c r="G300" s="31" t="s">
        <v>76</v>
      </c>
      <c r="H300" s="31" t="s">
        <v>43</v>
      </c>
      <c r="I300" s="31" t="s">
        <v>33</v>
      </c>
      <c r="J300" s="92">
        <v>45374.0</v>
      </c>
      <c r="K300" s="31">
        <v>80.0</v>
      </c>
      <c r="L300" s="33" t="s">
        <v>3598</v>
      </c>
      <c r="M300" s="157">
        <v>2006.0</v>
      </c>
      <c r="N300" s="31" t="s">
        <v>3599</v>
      </c>
      <c r="O300" s="32"/>
      <c r="P300" s="33" t="s">
        <v>3600</v>
      </c>
      <c r="Q300" s="134"/>
      <c r="R300" s="32"/>
      <c r="S300" s="135"/>
      <c r="T300" s="131"/>
      <c r="U300" s="168">
        <v>60.0</v>
      </c>
      <c r="V300" s="228">
        <f t="shared" ref="V300:V302" si="111">(U300*$K300)/100</f>
        <v>48</v>
      </c>
      <c r="W300" s="168">
        <v>1.3</v>
      </c>
      <c r="X300" s="228">
        <f t="shared" ref="X300:X302" si="112">(W300*$K300)/100</f>
        <v>1.04</v>
      </c>
      <c r="Y300" s="168">
        <v>30.0</v>
      </c>
      <c r="Z300" s="228">
        <f t="shared" ref="Z300:Z302" si="113">(Y300*$K300)/100</f>
        <v>24</v>
      </c>
      <c r="AA300" s="168">
        <v>3.8</v>
      </c>
      <c r="AB300" s="228">
        <f t="shared" ref="AB300:AB302" si="114">(AA300*$K300)/100</f>
        <v>3.04</v>
      </c>
      <c r="AC300" s="228">
        <f t="shared" ref="AC300:AC306" si="115">100-(U300+W300+Y300+AA300)</f>
        <v>4.9</v>
      </c>
      <c r="AD300" s="228">
        <f t="shared" ref="AD300:AD306" si="116">(AC300*$K300)/100</f>
        <v>3.92</v>
      </c>
      <c r="AE300" s="32"/>
      <c r="AF300" s="20" t="s">
        <v>3601</v>
      </c>
      <c r="AG300" s="26">
        <v>42759.0</v>
      </c>
      <c r="AH300" s="20">
        <v>2023.0</v>
      </c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</row>
    <row r="301">
      <c r="A301" s="19">
        <f t="shared" si="33"/>
        <v>300</v>
      </c>
      <c r="B301" s="31" t="s">
        <v>3602</v>
      </c>
      <c r="C301" s="32"/>
      <c r="D301" s="32"/>
      <c r="E301" s="32"/>
      <c r="F301" s="31" t="s">
        <v>1092</v>
      </c>
      <c r="G301" s="31" t="s">
        <v>21</v>
      </c>
      <c r="H301" s="31" t="s">
        <v>22</v>
      </c>
      <c r="I301" s="31" t="s">
        <v>33</v>
      </c>
      <c r="J301" s="92">
        <v>45377.0</v>
      </c>
      <c r="K301" s="31">
        <v>37.0</v>
      </c>
      <c r="L301" s="45" t="s">
        <v>3603</v>
      </c>
      <c r="M301" s="157">
        <v>1947.0</v>
      </c>
      <c r="N301" s="31"/>
      <c r="O301" s="32"/>
      <c r="P301" s="32"/>
      <c r="Q301" s="134"/>
      <c r="R301" s="32"/>
      <c r="S301" s="132">
        <v>5100.0</v>
      </c>
      <c r="T301" s="131"/>
      <c r="U301" s="168">
        <v>0.0</v>
      </c>
      <c r="V301" s="228">
        <f t="shared" si="111"/>
        <v>0</v>
      </c>
      <c r="W301" s="168">
        <v>78.3</v>
      </c>
      <c r="X301" s="228">
        <f t="shared" si="112"/>
        <v>28.971</v>
      </c>
      <c r="Y301" s="168">
        <v>2.6</v>
      </c>
      <c r="Z301" s="228">
        <f t="shared" si="113"/>
        <v>0.962</v>
      </c>
      <c r="AA301" s="168">
        <v>14.8</v>
      </c>
      <c r="AB301" s="228">
        <f t="shared" si="114"/>
        <v>5.476</v>
      </c>
      <c r="AC301" s="228">
        <f t="shared" si="115"/>
        <v>4.3</v>
      </c>
      <c r="AD301" s="228">
        <f t="shared" si="116"/>
        <v>1.591</v>
      </c>
      <c r="AE301" s="45" t="s">
        <v>3604</v>
      </c>
      <c r="AF301" s="20" t="s">
        <v>3605</v>
      </c>
      <c r="AG301" s="26">
        <v>149441.0</v>
      </c>
      <c r="AH301" s="20">
        <v>2023.0</v>
      </c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</row>
    <row r="302">
      <c r="A302" s="19">
        <f t="shared" si="33"/>
        <v>301</v>
      </c>
      <c r="B302" s="31" t="s">
        <v>3606</v>
      </c>
      <c r="C302" s="32"/>
      <c r="D302" s="32"/>
      <c r="E302" s="32"/>
      <c r="F302" s="31" t="s">
        <v>570</v>
      </c>
      <c r="G302" s="31" t="s">
        <v>286</v>
      </c>
      <c r="H302" s="31" t="s">
        <v>32</v>
      </c>
      <c r="I302" s="31" t="s">
        <v>33</v>
      </c>
      <c r="J302" s="92">
        <v>45384.0</v>
      </c>
      <c r="K302" s="31">
        <v>175.0</v>
      </c>
      <c r="L302" s="45" t="s">
        <v>3607</v>
      </c>
      <c r="M302" s="157">
        <v>1922.0</v>
      </c>
      <c r="N302" s="31" t="s">
        <v>3608</v>
      </c>
      <c r="O302" s="32"/>
      <c r="P302" s="45" t="s">
        <v>3609</v>
      </c>
      <c r="Q302" s="134"/>
      <c r="R302" s="32"/>
      <c r="S302" s="132">
        <f>(8995+9575)/2</f>
        <v>9285</v>
      </c>
      <c r="T302" s="25" t="s">
        <v>3610</v>
      </c>
      <c r="U302" s="168">
        <v>29.1</v>
      </c>
      <c r="V302" s="228">
        <f t="shared" si="111"/>
        <v>50.925</v>
      </c>
      <c r="W302" s="168">
        <v>12.0</v>
      </c>
      <c r="X302" s="228">
        <f t="shared" si="112"/>
        <v>21</v>
      </c>
      <c r="Y302" s="168">
        <v>8.0</v>
      </c>
      <c r="Z302" s="228">
        <f t="shared" si="113"/>
        <v>14</v>
      </c>
      <c r="AA302" s="168">
        <v>41.7</v>
      </c>
      <c r="AB302" s="228">
        <f t="shared" si="114"/>
        <v>72.975</v>
      </c>
      <c r="AC302" s="228">
        <f t="shared" si="115"/>
        <v>9.2</v>
      </c>
      <c r="AD302" s="228">
        <f t="shared" si="116"/>
        <v>16.1</v>
      </c>
      <c r="AE302" s="32"/>
      <c r="AF302" s="20" t="s">
        <v>3611</v>
      </c>
      <c r="AG302" s="26">
        <v>154305.0</v>
      </c>
      <c r="AH302" s="20">
        <v>2023.0</v>
      </c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</row>
    <row r="303">
      <c r="A303" s="19">
        <f t="shared" si="33"/>
        <v>302</v>
      </c>
      <c r="B303" s="221" t="s">
        <v>3612</v>
      </c>
      <c r="C303" s="226"/>
      <c r="D303" s="226"/>
      <c r="E303" s="226"/>
      <c r="F303" s="221" t="s">
        <v>164</v>
      </c>
      <c r="G303" s="221" t="s">
        <v>165</v>
      </c>
      <c r="H303" s="221" t="s">
        <v>22</v>
      </c>
      <c r="I303" s="31" t="s">
        <v>33</v>
      </c>
      <c r="J303" s="263">
        <v>45346.0</v>
      </c>
      <c r="K303" s="223">
        <v>214.0</v>
      </c>
      <c r="L303" s="252" t="s">
        <v>3613</v>
      </c>
      <c r="M303" s="223">
        <v>1954.0</v>
      </c>
      <c r="N303" s="221" t="s">
        <v>3614</v>
      </c>
      <c r="O303" s="221" t="s">
        <v>1324</v>
      </c>
      <c r="P303" s="226"/>
      <c r="Q303" s="255"/>
      <c r="R303" s="226"/>
      <c r="S303" s="225">
        <v>5520.0</v>
      </c>
      <c r="T303" s="252" t="s">
        <v>3615</v>
      </c>
      <c r="U303" s="227">
        <v>5.1</v>
      </c>
      <c r="V303" s="227">
        <v>11.0</v>
      </c>
      <c r="W303" s="227">
        <v>45.3</v>
      </c>
      <c r="X303" s="227">
        <v>97.0</v>
      </c>
      <c r="Y303" s="227">
        <v>10.7</v>
      </c>
      <c r="Z303" s="227">
        <v>23.0</v>
      </c>
      <c r="AA303" s="227">
        <v>18.2</v>
      </c>
      <c r="AB303" s="227">
        <v>39.0</v>
      </c>
      <c r="AC303" s="228">
        <f t="shared" si="115"/>
        <v>20.7</v>
      </c>
      <c r="AD303" s="228">
        <f t="shared" si="116"/>
        <v>44.298</v>
      </c>
      <c r="AE303" s="226"/>
      <c r="AF303" s="221" t="s">
        <v>3616</v>
      </c>
      <c r="AG303" s="26">
        <v>83984.0</v>
      </c>
      <c r="AH303" s="223">
        <v>2023.0</v>
      </c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</row>
    <row r="304">
      <c r="A304" s="19">
        <f t="shared" si="33"/>
        <v>303</v>
      </c>
      <c r="B304" s="261" t="s">
        <v>2579</v>
      </c>
      <c r="C304" s="261"/>
      <c r="D304" s="226"/>
      <c r="E304" s="226"/>
      <c r="F304" s="221" t="s">
        <v>3617</v>
      </c>
      <c r="G304" s="221" t="s">
        <v>1162</v>
      </c>
      <c r="H304" s="221" t="s">
        <v>67</v>
      </c>
      <c r="I304" s="31" t="s">
        <v>33</v>
      </c>
      <c r="J304" s="263">
        <v>45392.0</v>
      </c>
      <c r="K304" s="223">
        <v>157.0</v>
      </c>
      <c r="L304" s="252" t="s">
        <v>3618</v>
      </c>
      <c r="M304" s="223">
        <v>2005.0</v>
      </c>
      <c r="N304" s="221" t="s">
        <v>3619</v>
      </c>
      <c r="R304" s="252" t="s">
        <v>3620</v>
      </c>
      <c r="S304" s="225">
        <v>4790.0</v>
      </c>
      <c r="T304" s="252" t="s">
        <v>3621</v>
      </c>
      <c r="U304" s="227">
        <v>0.6</v>
      </c>
      <c r="V304" s="227">
        <v>1.0</v>
      </c>
      <c r="W304" s="227">
        <v>41.4</v>
      </c>
      <c r="X304" s="227">
        <v>65.0</v>
      </c>
      <c r="Y304" s="227">
        <v>1.9</v>
      </c>
      <c r="Z304" s="227">
        <v>3.0</v>
      </c>
      <c r="AA304" s="227">
        <v>26.1</v>
      </c>
      <c r="AB304" s="227">
        <v>41.0</v>
      </c>
      <c r="AC304" s="228">
        <f t="shared" si="115"/>
        <v>30</v>
      </c>
      <c r="AD304" s="228">
        <f t="shared" si="116"/>
        <v>47.1</v>
      </c>
      <c r="AE304" s="226"/>
      <c r="AF304" s="221" t="s">
        <v>3622</v>
      </c>
      <c r="AG304" s="26">
        <v>61853.0</v>
      </c>
      <c r="AH304" s="223">
        <v>2023.0</v>
      </c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</row>
    <row r="305">
      <c r="A305" s="19">
        <f t="shared" si="33"/>
        <v>304</v>
      </c>
      <c r="B305" s="221" t="s">
        <v>3623</v>
      </c>
      <c r="C305" s="221"/>
      <c r="D305" s="226"/>
      <c r="E305" s="226"/>
      <c r="F305" s="221" t="s">
        <v>3624</v>
      </c>
      <c r="G305" s="221" t="s">
        <v>713</v>
      </c>
      <c r="H305" s="221" t="s">
        <v>67</v>
      </c>
      <c r="I305" s="31" t="s">
        <v>33</v>
      </c>
      <c r="J305" s="263">
        <v>45391.0</v>
      </c>
      <c r="K305" s="223">
        <v>197.0</v>
      </c>
      <c r="L305" s="252" t="s">
        <v>3625</v>
      </c>
      <c r="M305" s="223">
        <v>1964.0</v>
      </c>
      <c r="N305" s="221" t="s">
        <v>3568</v>
      </c>
      <c r="O305" s="221" t="s">
        <v>1324</v>
      </c>
      <c r="P305" s="226"/>
      <c r="Q305" s="255"/>
      <c r="R305" s="226"/>
      <c r="S305" s="225">
        <v>4793.0</v>
      </c>
      <c r="T305" s="252" t="s">
        <v>3626</v>
      </c>
      <c r="U305" s="227">
        <v>0.0</v>
      </c>
      <c r="V305" s="227">
        <v>0.0</v>
      </c>
      <c r="W305" s="227">
        <v>0.0</v>
      </c>
      <c r="X305" s="227">
        <v>0.0</v>
      </c>
      <c r="Y305" s="227">
        <v>2.0</v>
      </c>
      <c r="Z305" s="227">
        <v>4.0</v>
      </c>
      <c r="AA305" s="227">
        <v>85.0</v>
      </c>
      <c r="AB305" s="227">
        <v>167.0</v>
      </c>
      <c r="AC305" s="228">
        <f t="shared" si="115"/>
        <v>13</v>
      </c>
      <c r="AD305" s="228">
        <f t="shared" si="116"/>
        <v>25.61</v>
      </c>
      <c r="AE305" s="226"/>
      <c r="AF305" s="264" t="s">
        <v>3627</v>
      </c>
      <c r="AG305" s="26">
        <v>79146.0</v>
      </c>
      <c r="AH305" s="223">
        <v>2023.0</v>
      </c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</row>
    <row r="306">
      <c r="A306" s="19">
        <f t="shared" si="33"/>
        <v>305</v>
      </c>
      <c r="B306" s="31" t="s">
        <v>3628</v>
      </c>
      <c r="C306" s="32"/>
      <c r="D306" s="32"/>
      <c r="E306" s="32"/>
      <c r="F306" s="31" t="s">
        <v>3629</v>
      </c>
      <c r="G306" s="31" t="s">
        <v>1084</v>
      </c>
      <c r="H306" s="31" t="s">
        <v>32</v>
      </c>
      <c r="I306" s="31" t="s">
        <v>33</v>
      </c>
      <c r="J306" s="92">
        <v>45401.0</v>
      </c>
      <c r="K306" s="31">
        <v>120.0</v>
      </c>
      <c r="L306" s="33" t="s">
        <v>3630</v>
      </c>
      <c r="M306" s="157">
        <v>1923.0</v>
      </c>
      <c r="N306" s="31" t="s">
        <v>1949</v>
      </c>
      <c r="O306" s="32"/>
      <c r="P306" s="32"/>
      <c r="Q306" s="134"/>
      <c r="R306" s="32"/>
      <c r="S306" s="132">
        <v>6000.0</v>
      </c>
      <c r="T306" s="139"/>
      <c r="U306" s="168">
        <v>1.8</v>
      </c>
      <c r="V306" s="228">
        <f>(U306*$K306)/100</f>
        <v>2.16</v>
      </c>
      <c r="W306" s="168">
        <v>7.9</v>
      </c>
      <c r="X306" s="228">
        <f>(W306*$K306)/100</f>
        <v>9.48</v>
      </c>
      <c r="Y306" s="168">
        <v>1.2</v>
      </c>
      <c r="Z306" s="228">
        <f>(Y306*$K306)/100</f>
        <v>1.44</v>
      </c>
      <c r="AA306" s="168">
        <v>89.1</v>
      </c>
      <c r="AB306" s="228">
        <f>(AA306*$K306)/100</f>
        <v>106.92</v>
      </c>
      <c r="AC306" s="228">
        <f t="shared" si="115"/>
        <v>0</v>
      </c>
      <c r="AD306" s="228">
        <f t="shared" si="116"/>
        <v>0</v>
      </c>
      <c r="AE306" s="45" t="s">
        <v>3631</v>
      </c>
      <c r="AF306" s="20" t="s">
        <v>3632</v>
      </c>
      <c r="AG306" s="26">
        <v>194736.0</v>
      </c>
      <c r="AH306" s="20">
        <v>2023.0</v>
      </c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</row>
    <row r="307">
      <c r="A307" s="19">
        <f t="shared" si="33"/>
        <v>306</v>
      </c>
      <c r="B307" s="31" t="s">
        <v>3633</v>
      </c>
      <c r="C307" s="32"/>
      <c r="D307" s="32"/>
      <c r="E307" s="32"/>
      <c r="F307" s="31" t="s">
        <v>3634</v>
      </c>
      <c r="G307" s="31" t="s">
        <v>91</v>
      </c>
      <c r="H307" s="31" t="s">
        <v>43</v>
      </c>
      <c r="I307" s="31" t="s">
        <v>33</v>
      </c>
      <c r="J307" s="92">
        <v>45401.0</v>
      </c>
      <c r="K307" s="31">
        <v>34.0</v>
      </c>
      <c r="L307" s="244" t="s">
        <v>3635</v>
      </c>
      <c r="M307" s="157">
        <v>1954.0</v>
      </c>
      <c r="N307" s="31" t="s">
        <v>3636</v>
      </c>
      <c r="O307" s="32"/>
      <c r="P307" s="45" t="s">
        <v>3637</v>
      </c>
      <c r="Q307" s="134"/>
      <c r="R307" s="139"/>
      <c r="S307" s="132">
        <v>4450.0</v>
      </c>
      <c r="T307" s="152" t="s">
        <v>3638</v>
      </c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32"/>
      <c r="AF307" s="20" t="s">
        <v>3639</v>
      </c>
      <c r="AG307" s="26">
        <v>71977.0</v>
      </c>
      <c r="AH307" s="20">
        <v>2023.0</v>
      </c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</row>
    <row r="308">
      <c r="A308" s="19">
        <f t="shared" si="33"/>
        <v>307</v>
      </c>
      <c r="B308" s="31" t="s">
        <v>3640</v>
      </c>
      <c r="C308" s="32"/>
      <c r="D308" s="32"/>
      <c r="E308" s="32"/>
      <c r="F308" s="31" t="s">
        <v>3641</v>
      </c>
      <c r="G308" s="31" t="s">
        <v>76</v>
      </c>
      <c r="H308" s="31" t="s">
        <v>43</v>
      </c>
      <c r="I308" s="31" t="s">
        <v>33</v>
      </c>
      <c r="J308" s="92">
        <v>45401.0</v>
      </c>
      <c r="K308" s="31">
        <v>154.0</v>
      </c>
      <c r="L308" s="45" t="s">
        <v>3642</v>
      </c>
      <c r="M308" s="157">
        <v>1909.0</v>
      </c>
      <c r="N308" s="31" t="s">
        <v>3636</v>
      </c>
      <c r="O308" s="32"/>
      <c r="P308" s="32"/>
      <c r="Q308" s="134"/>
      <c r="R308" s="33" t="s">
        <v>3643</v>
      </c>
      <c r="S308" s="132">
        <v>5600.0</v>
      </c>
      <c r="T308" s="47" t="s">
        <v>3644</v>
      </c>
      <c r="U308" s="168">
        <v>2.1</v>
      </c>
      <c r="V308" s="228">
        <f>(U308*$K308)/100</f>
        <v>3.234</v>
      </c>
      <c r="W308" s="168">
        <v>60.4</v>
      </c>
      <c r="X308" s="228">
        <f>(W308*$K308)/100</f>
        <v>93.016</v>
      </c>
      <c r="Y308" s="168">
        <v>1.4</v>
      </c>
      <c r="Z308" s="228">
        <f>(Y308*$K308)/100</f>
        <v>2.156</v>
      </c>
      <c r="AA308" s="168">
        <v>27.4</v>
      </c>
      <c r="AB308" s="228">
        <f>(AA308*$K308)/100</f>
        <v>42.196</v>
      </c>
      <c r="AC308" s="228">
        <f>100-(U308+W308+Y308+AA308)</f>
        <v>8.7</v>
      </c>
      <c r="AD308" s="228">
        <f>(AC308*$K308)/100</f>
        <v>13.398</v>
      </c>
      <c r="AE308" s="47" t="s">
        <v>3645</v>
      </c>
      <c r="AF308" s="20" t="s">
        <v>3646</v>
      </c>
      <c r="AG308" s="26">
        <v>74892.0</v>
      </c>
      <c r="AH308" s="20">
        <v>2023.0</v>
      </c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</row>
    <row r="309">
      <c r="A309" s="19">
        <f t="shared" si="33"/>
        <v>308</v>
      </c>
      <c r="B309" s="31" t="s">
        <v>3647</v>
      </c>
      <c r="C309" s="32"/>
      <c r="D309" s="32"/>
      <c r="E309" s="32"/>
      <c r="F309" s="31" t="s">
        <v>3648</v>
      </c>
      <c r="G309" s="31" t="s">
        <v>1162</v>
      </c>
      <c r="H309" s="31" t="s">
        <v>67</v>
      </c>
      <c r="I309" s="31" t="s">
        <v>33</v>
      </c>
      <c r="J309" s="92">
        <v>45405.0</v>
      </c>
      <c r="K309" s="31">
        <v>20.0</v>
      </c>
      <c r="L309" s="33" t="s">
        <v>3649</v>
      </c>
      <c r="M309" s="157">
        <v>1963.0</v>
      </c>
      <c r="N309" s="32"/>
      <c r="O309" s="32"/>
      <c r="P309" s="32"/>
      <c r="Q309" s="134"/>
      <c r="R309" s="32"/>
      <c r="S309" s="132">
        <v>6318.0</v>
      </c>
      <c r="T309" s="45" t="s">
        <v>3650</v>
      </c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32"/>
      <c r="AF309" s="20" t="s">
        <v>3651</v>
      </c>
      <c r="AG309" s="26">
        <v>105057.0</v>
      </c>
      <c r="AH309" s="20">
        <v>2023.0</v>
      </c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</row>
    <row r="310">
      <c r="A310" s="19">
        <f t="shared" si="33"/>
        <v>309</v>
      </c>
      <c r="B310" s="31" t="s">
        <v>3652</v>
      </c>
      <c r="C310" s="32"/>
      <c r="D310" s="32"/>
      <c r="E310" s="32"/>
      <c r="F310" s="31" t="s">
        <v>2045</v>
      </c>
      <c r="G310" s="31" t="s">
        <v>122</v>
      </c>
      <c r="H310" s="31" t="s">
        <v>32</v>
      </c>
      <c r="I310" s="31" t="s">
        <v>68</v>
      </c>
      <c r="J310" s="92">
        <v>45405.0</v>
      </c>
      <c r="K310" s="31">
        <v>108.0</v>
      </c>
      <c r="L310" s="33" t="s">
        <v>3653</v>
      </c>
      <c r="M310" s="157">
        <v>1980.0</v>
      </c>
      <c r="N310" s="32"/>
      <c r="O310" s="32"/>
      <c r="P310" s="32"/>
      <c r="Q310" s="134"/>
      <c r="R310" s="31"/>
      <c r="S310" s="135">
        <f>(11500+18400)/2</f>
        <v>14950</v>
      </c>
      <c r="T310" s="25" t="s">
        <v>3654</v>
      </c>
      <c r="U310" s="168">
        <v>32.4</v>
      </c>
      <c r="V310" s="228">
        <f t="shared" ref="V310:V311" si="117">(U310*$K310)/100</f>
        <v>34.992</v>
      </c>
      <c r="W310" s="168">
        <v>13.0</v>
      </c>
      <c r="X310" s="228">
        <f t="shared" ref="X310:X311" si="118">(W310*$K310)/100</f>
        <v>14.04</v>
      </c>
      <c r="Y310" s="168">
        <v>7.4</v>
      </c>
      <c r="Z310" s="228">
        <f t="shared" ref="Z310:Z311" si="119">(Y310*$K310)/100</f>
        <v>7.992</v>
      </c>
      <c r="AA310" s="168">
        <v>38.0</v>
      </c>
      <c r="AB310" s="228">
        <f t="shared" ref="AB310:AB311" si="120">(AA310*$K310)/100</f>
        <v>41.04</v>
      </c>
      <c r="AC310" s="228">
        <f t="shared" ref="AC310:AC311" si="121">100-(U310+W310+Y310+AA310)</f>
        <v>9.2</v>
      </c>
      <c r="AD310" s="228">
        <f t="shared" ref="AD310:AD311" si="122">(AC310*$K310)/100</f>
        <v>9.936</v>
      </c>
      <c r="AE310" s="32"/>
      <c r="AF310" s="20" t="s">
        <v>3655</v>
      </c>
      <c r="AG310" s="26">
        <v>162981.0</v>
      </c>
      <c r="AH310" s="20">
        <v>2023.0</v>
      </c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</row>
    <row r="311">
      <c r="A311" s="19">
        <f t="shared" si="33"/>
        <v>310</v>
      </c>
      <c r="B311" s="31" t="s">
        <v>3656</v>
      </c>
      <c r="C311" s="32"/>
      <c r="D311" s="32"/>
      <c r="E311" s="32"/>
      <c r="F311" s="31" t="s">
        <v>3657</v>
      </c>
      <c r="G311" s="31" t="s">
        <v>411</v>
      </c>
      <c r="H311" s="31" t="s">
        <v>67</v>
      </c>
      <c r="I311" s="31" t="s">
        <v>33</v>
      </c>
      <c r="J311" s="92">
        <v>45411.0</v>
      </c>
      <c r="K311" s="31">
        <v>100.0</v>
      </c>
      <c r="L311" s="33" t="s">
        <v>3658</v>
      </c>
      <c r="M311" s="157">
        <v>1959.0</v>
      </c>
      <c r="N311" s="32"/>
      <c r="O311" s="32"/>
      <c r="P311" s="32"/>
      <c r="Q311" s="134"/>
      <c r="R311" s="45" t="s">
        <v>3659</v>
      </c>
      <c r="S311" s="132">
        <v>4900.0</v>
      </c>
      <c r="T311" s="131"/>
      <c r="U311" s="168">
        <v>33.9</v>
      </c>
      <c r="V311" s="228">
        <f t="shared" si="117"/>
        <v>33.9</v>
      </c>
      <c r="W311" s="168">
        <v>16.9</v>
      </c>
      <c r="X311" s="228">
        <f t="shared" si="118"/>
        <v>16.9</v>
      </c>
      <c r="Y311" s="168">
        <v>4.8</v>
      </c>
      <c r="Z311" s="228">
        <f t="shared" si="119"/>
        <v>4.8</v>
      </c>
      <c r="AA311" s="168">
        <v>16.4</v>
      </c>
      <c r="AB311" s="228">
        <f t="shared" si="120"/>
        <v>16.4</v>
      </c>
      <c r="AC311" s="228">
        <f t="shared" si="121"/>
        <v>28</v>
      </c>
      <c r="AD311" s="228">
        <f t="shared" si="122"/>
        <v>28</v>
      </c>
      <c r="AE311" s="265" t="s">
        <v>3660</v>
      </c>
      <c r="AF311" s="20" t="s">
        <v>3661</v>
      </c>
      <c r="AG311" s="26">
        <v>85170.0</v>
      </c>
      <c r="AH311" s="20">
        <v>2023.0</v>
      </c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</row>
    <row r="312">
      <c r="A312" s="19">
        <f t="shared" si="33"/>
        <v>311</v>
      </c>
      <c r="B312" s="31" t="s">
        <v>3662</v>
      </c>
      <c r="C312" s="32"/>
      <c r="D312" s="32"/>
      <c r="E312" s="32"/>
      <c r="F312" s="31" t="s">
        <v>379</v>
      </c>
      <c r="G312" s="31" t="s">
        <v>76</v>
      </c>
      <c r="H312" s="31" t="s">
        <v>43</v>
      </c>
      <c r="I312" s="31" t="s">
        <v>33</v>
      </c>
      <c r="J312" s="92">
        <v>45414.0</v>
      </c>
      <c r="K312" s="31">
        <v>193.0</v>
      </c>
      <c r="L312" s="45" t="s">
        <v>3663</v>
      </c>
      <c r="M312" s="157">
        <v>1864.0</v>
      </c>
      <c r="N312" s="180" t="s">
        <v>3664</v>
      </c>
      <c r="O312" s="32"/>
      <c r="P312" s="32"/>
      <c r="Q312" s="134"/>
      <c r="R312" s="32"/>
      <c r="S312" s="132">
        <v>4250.0</v>
      </c>
      <c r="T312" s="131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32"/>
      <c r="AF312" s="20" t="s">
        <v>3665</v>
      </c>
      <c r="AG312" s="85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</row>
    <row r="313">
      <c r="A313" s="19">
        <f t="shared" si="33"/>
        <v>312</v>
      </c>
      <c r="B313" s="31" t="s">
        <v>3666</v>
      </c>
      <c r="C313" s="32"/>
      <c r="D313" s="32"/>
      <c r="E313" s="32"/>
      <c r="F313" s="31" t="s">
        <v>2595</v>
      </c>
      <c r="G313" s="31" t="s">
        <v>76</v>
      </c>
      <c r="H313" s="31" t="s">
        <v>43</v>
      </c>
      <c r="I313" s="31" t="s">
        <v>33</v>
      </c>
      <c r="J313" s="92">
        <v>45414.0</v>
      </c>
      <c r="K313" s="31">
        <v>151.0</v>
      </c>
      <c r="L313" s="45" t="s">
        <v>3663</v>
      </c>
      <c r="M313" s="157">
        <v>1923.0</v>
      </c>
      <c r="N313" s="180" t="s">
        <v>3667</v>
      </c>
      <c r="O313" s="32"/>
      <c r="P313" s="32"/>
      <c r="Q313" s="134"/>
      <c r="R313" s="32"/>
      <c r="S313" s="132">
        <v>6020.0</v>
      </c>
      <c r="T313" s="131"/>
      <c r="U313" s="168">
        <v>78.9</v>
      </c>
      <c r="V313" s="228">
        <f>(U313*$K313)/100</f>
        <v>119.139</v>
      </c>
      <c r="W313" s="168">
        <v>4.5</v>
      </c>
      <c r="X313" s="228">
        <f>(W313*$K313)/100</f>
        <v>6.795</v>
      </c>
      <c r="Y313" s="168">
        <v>1.0</v>
      </c>
      <c r="Z313" s="228">
        <f>(Y313*$K313)/100</f>
        <v>1.51</v>
      </c>
      <c r="AA313" s="168">
        <v>1.0</v>
      </c>
      <c r="AB313" s="228">
        <f>(AA313*$K313)/100</f>
        <v>1.51</v>
      </c>
      <c r="AC313" s="228">
        <f>100-(U313+W313+Y313+AA313)</f>
        <v>14.6</v>
      </c>
      <c r="AD313" s="228">
        <f>(AC313*$K313)/100</f>
        <v>22.046</v>
      </c>
      <c r="AE313" s="32"/>
      <c r="AF313" s="20" t="s">
        <v>3668</v>
      </c>
      <c r="AG313" s="26">
        <v>103024.0</v>
      </c>
      <c r="AH313" s="20">
        <v>2023.0</v>
      </c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</row>
    <row r="314">
      <c r="A314" s="19">
        <f t="shared" si="33"/>
        <v>313</v>
      </c>
      <c r="B314" s="31" t="s">
        <v>3669</v>
      </c>
      <c r="C314" s="32"/>
      <c r="D314" s="32"/>
      <c r="E314" s="32"/>
      <c r="F314" s="31" t="s">
        <v>3225</v>
      </c>
      <c r="G314" s="31" t="s">
        <v>76</v>
      </c>
      <c r="H314" s="31" t="s">
        <v>43</v>
      </c>
      <c r="I314" s="31" t="s">
        <v>33</v>
      </c>
      <c r="J314" s="92">
        <v>45414.0</v>
      </c>
      <c r="K314" s="31">
        <v>75.0</v>
      </c>
      <c r="L314" s="45" t="s">
        <v>3670</v>
      </c>
      <c r="M314" s="157">
        <v>1926.0</v>
      </c>
      <c r="N314" s="32"/>
      <c r="O314" s="32"/>
      <c r="P314" s="32"/>
      <c r="Q314" s="134"/>
      <c r="R314" s="32"/>
      <c r="S314" s="135"/>
      <c r="T314" s="131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32"/>
      <c r="AF314" s="20" t="s">
        <v>3671</v>
      </c>
      <c r="AG314" s="26">
        <v>43255.0</v>
      </c>
      <c r="AH314" s="20">
        <v>2023.0</v>
      </c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</row>
    <row r="315">
      <c r="A315" s="19">
        <f t="shared" si="33"/>
        <v>314</v>
      </c>
      <c r="B315" s="31" t="s">
        <v>3672</v>
      </c>
      <c r="C315" s="32"/>
      <c r="D315" s="32"/>
      <c r="E315" s="32"/>
      <c r="F315" s="31" t="s">
        <v>3673</v>
      </c>
      <c r="G315" s="31" t="s">
        <v>76</v>
      </c>
      <c r="H315" s="31" t="s">
        <v>43</v>
      </c>
      <c r="I315" s="31" t="s">
        <v>33</v>
      </c>
      <c r="J315" s="92">
        <v>45414.0</v>
      </c>
      <c r="K315" s="31">
        <v>83.0</v>
      </c>
      <c r="L315" s="180" t="s">
        <v>3674</v>
      </c>
      <c r="M315" s="157">
        <v>1949.0</v>
      </c>
      <c r="N315" s="32"/>
      <c r="O315" s="32"/>
      <c r="P315" s="32"/>
      <c r="Q315" s="134"/>
      <c r="R315" s="32"/>
      <c r="S315" s="132">
        <v>7675.0</v>
      </c>
      <c r="T315" s="45" t="s">
        <v>3675</v>
      </c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32"/>
      <c r="AF315" s="20" t="s">
        <v>3676</v>
      </c>
      <c r="AG315" s="26">
        <v>213028.0</v>
      </c>
      <c r="AH315" s="20">
        <v>2023.0</v>
      </c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</row>
    <row r="316">
      <c r="A316" s="19">
        <f t="shared" si="33"/>
        <v>315</v>
      </c>
      <c r="B316" s="31" t="s">
        <v>3677</v>
      </c>
      <c r="C316" s="32"/>
      <c r="D316" s="32"/>
      <c r="E316" s="32"/>
      <c r="F316" s="31" t="s">
        <v>3678</v>
      </c>
      <c r="G316" s="31" t="s">
        <v>713</v>
      </c>
      <c r="H316" s="31" t="s">
        <v>67</v>
      </c>
      <c r="I316" s="31" t="s">
        <v>33</v>
      </c>
      <c r="J316" s="92">
        <v>45414.0</v>
      </c>
      <c r="K316" s="31">
        <v>14.0</v>
      </c>
      <c r="L316" s="45" t="s">
        <v>3679</v>
      </c>
      <c r="M316" s="156"/>
      <c r="N316" s="32"/>
      <c r="O316" s="32"/>
      <c r="P316" s="32"/>
      <c r="Q316" s="134"/>
      <c r="R316" s="32"/>
      <c r="S316" s="135"/>
      <c r="T316" s="131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32"/>
      <c r="AF316" s="20"/>
      <c r="AG316" s="26"/>
      <c r="AH316" s="20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</row>
    <row r="317">
      <c r="A317" s="19">
        <f t="shared" si="33"/>
        <v>316</v>
      </c>
      <c r="B317" s="31" t="s">
        <v>3680</v>
      </c>
      <c r="C317" s="32"/>
      <c r="D317" s="32"/>
      <c r="E317" s="32"/>
      <c r="F317" s="31" t="s">
        <v>1161</v>
      </c>
      <c r="G317" s="31" t="s">
        <v>1162</v>
      </c>
      <c r="H317" s="31" t="s">
        <v>67</v>
      </c>
      <c r="I317" s="31" t="s">
        <v>33</v>
      </c>
      <c r="J317" s="92">
        <v>45413.0</v>
      </c>
      <c r="K317" s="31">
        <v>101.0</v>
      </c>
      <c r="L317" s="33" t="s">
        <v>3681</v>
      </c>
      <c r="M317" s="157">
        <v>1960.0</v>
      </c>
      <c r="N317" s="32"/>
      <c r="O317" s="32"/>
      <c r="P317" s="32"/>
      <c r="Q317" s="134"/>
      <c r="R317" s="32"/>
      <c r="S317" s="135"/>
      <c r="T317" s="131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32"/>
      <c r="AF317" s="20" t="s">
        <v>1165</v>
      </c>
      <c r="AG317" s="26">
        <v>57626.0</v>
      </c>
      <c r="AH317" s="20">
        <v>2023.0</v>
      </c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</row>
    <row r="318">
      <c r="A318" s="19">
        <f t="shared" si="33"/>
        <v>317</v>
      </c>
      <c r="B318" s="31" t="s">
        <v>3682</v>
      </c>
      <c r="C318" s="32"/>
      <c r="D318" s="32"/>
      <c r="E318" s="32"/>
      <c r="F318" s="31" t="s">
        <v>1485</v>
      </c>
      <c r="G318" s="31" t="s">
        <v>31</v>
      </c>
      <c r="H318" s="31" t="s">
        <v>32</v>
      </c>
      <c r="I318" s="31" t="s">
        <v>68</v>
      </c>
      <c r="J318" s="92">
        <v>45418.0</v>
      </c>
      <c r="K318" s="31">
        <v>60.0</v>
      </c>
      <c r="L318" s="45" t="s">
        <v>3683</v>
      </c>
      <c r="M318" s="157">
        <v>1961.0</v>
      </c>
      <c r="N318" s="32"/>
      <c r="O318" s="32"/>
      <c r="P318" s="32"/>
      <c r="Q318" s="134"/>
      <c r="R318" s="32"/>
      <c r="S318" s="135">
        <f>(9850+10500+11650)/3</f>
        <v>10666.66667</v>
      </c>
      <c r="T318" s="25" t="s">
        <v>3684</v>
      </c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32"/>
      <c r="AF318" s="20" t="s">
        <v>3685</v>
      </c>
      <c r="AG318" s="26">
        <v>100605.0</v>
      </c>
      <c r="AH318" s="20">
        <v>2023.0</v>
      </c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</row>
    <row r="319">
      <c r="A319" s="19">
        <f t="shared" si="33"/>
        <v>318</v>
      </c>
      <c r="B319" s="31" t="s">
        <v>3686</v>
      </c>
      <c r="C319" s="32"/>
      <c r="D319" s="32"/>
      <c r="E319" s="32"/>
      <c r="F319" s="31" t="s">
        <v>3687</v>
      </c>
      <c r="G319" s="31" t="s">
        <v>21</v>
      </c>
      <c r="H319" s="31" t="s">
        <v>22</v>
      </c>
      <c r="I319" s="31" t="s">
        <v>68</v>
      </c>
      <c r="J319" s="92">
        <v>45432.0</v>
      </c>
      <c r="K319" s="31">
        <v>75.0</v>
      </c>
      <c r="L319" s="45" t="s">
        <v>3688</v>
      </c>
      <c r="M319" s="157">
        <v>1947.0</v>
      </c>
      <c r="N319" s="32"/>
      <c r="O319" s="32"/>
      <c r="P319" s="32"/>
      <c r="Q319" s="134"/>
      <c r="R319" s="32"/>
      <c r="S319" s="132">
        <v>7650.0</v>
      </c>
      <c r="T319" s="131"/>
      <c r="U319" s="168">
        <v>35.1</v>
      </c>
      <c r="V319" s="228">
        <f t="shared" ref="V319:V320" si="123">(U319*$K319)/100</f>
        <v>26.325</v>
      </c>
      <c r="W319" s="168">
        <v>37.7</v>
      </c>
      <c r="X319" s="228">
        <f t="shared" ref="X319:X320" si="124">(W319*$K319)/100</f>
        <v>28.275</v>
      </c>
      <c r="Y319" s="168">
        <v>3.9</v>
      </c>
      <c r="Z319" s="228">
        <f t="shared" ref="Z319:Z320" si="125">(Y319*$K319)/100</f>
        <v>2.925</v>
      </c>
      <c r="AA319" s="168">
        <v>11.7</v>
      </c>
      <c r="AB319" s="228">
        <f t="shared" ref="AB319:AB320" si="126">(AA319*$K319)/100</f>
        <v>8.775</v>
      </c>
      <c r="AC319" s="228">
        <f t="shared" ref="AC319:AC320" si="127">100-(U319+W319+Y319+AA319)</f>
        <v>11.6</v>
      </c>
      <c r="AD319" s="228">
        <f t="shared" ref="AD319:AD320" si="128">(AC319*$K319)/100</f>
        <v>8.7</v>
      </c>
      <c r="AE319" s="32"/>
      <c r="AF319" s="20" t="s">
        <v>3689</v>
      </c>
      <c r="AG319" s="26">
        <v>113450.0</v>
      </c>
      <c r="AH319" s="20">
        <v>2023.0</v>
      </c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</row>
    <row r="320">
      <c r="A320" s="19">
        <f t="shared" si="33"/>
        <v>319</v>
      </c>
      <c r="B320" s="31" t="s">
        <v>3690</v>
      </c>
      <c r="C320" s="32"/>
      <c r="D320" s="32"/>
      <c r="E320" s="32"/>
      <c r="F320" s="31" t="s">
        <v>3691</v>
      </c>
      <c r="G320" s="31" t="s">
        <v>100</v>
      </c>
      <c r="H320" s="31" t="s">
        <v>43</v>
      </c>
      <c r="I320" s="31" t="s">
        <v>33</v>
      </c>
      <c r="J320" s="92">
        <v>45429.0</v>
      </c>
      <c r="K320" s="31">
        <v>152.0</v>
      </c>
      <c r="L320" s="45" t="s">
        <v>3692</v>
      </c>
      <c r="M320" s="157">
        <v>1959.0</v>
      </c>
      <c r="N320" s="32"/>
      <c r="O320" s="32"/>
      <c r="P320" s="32"/>
      <c r="Q320" s="134"/>
      <c r="R320" s="32"/>
      <c r="S320" s="135"/>
      <c r="T320" s="131"/>
      <c r="U320" s="168">
        <v>0.7</v>
      </c>
      <c r="V320" s="228">
        <f t="shared" si="123"/>
        <v>1.064</v>
      </c>
      <c r="W320" s="168">
        <v>12.2</v>
      </c>
      <c r="X320" s="228">
        <f t="shared" si="124"/>
        <v>18.544</v>
      </c>
      <c r="Y320" s="168">
        <v>7.5</v>
      </c>
      <c r="Z320" s="228">
        <f t="shared" si="125"/>
        <v>11.4</v>
      </c>
      <c r="AA320" s="168">
        <v>51.0</v>
      </c>
      <c r="AB320" s="228">
        <f t="shared" si="126"/>
        <v>77.52</v>
      </c>
      <c r="AC320" s="228">
        <f t="shared" si="127"/>
        <v>28.6</v>
      </c>
      <c r="AD320" s="228">
        <f t="shared" si="128"/>
        <v>43.472</v>
      </c>
      <c r="AE320" s="47" t="s">
        <v>3693</v>
      </c>
      <c r="AF320" s="20" t="s">
        <v>3694</v>
      </c>
      <c r="AG320" s="26">
        <v>177042.0</v>
      </c>
      <c r="AH320" s="20">
        <v>2023.0</v>
      </c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</row>
    <row r="321">
      <c r="A321" s="19">
        <f t="shared" si="33"/>
        <v>320</v>
      </c>
      <c r="B321" s="31" t="s">
        <v>3695</v>
      </c>
      <c r="C321" s="32"/>
      <c r="D321" s="32"/>
      <c r="E321" s="32"/>
      <c r="F321" s="31" t="s">
        <v>3696</v>
      </c>
      <c r="G321" s="31" t="s">
        <v>76</v>
      </c>
      <c r="H321" s="31" t="s">
        <v>43</v>
      </c>
      <c r="I321" s="31" t="s">
        <v>33</v>
      </c>
      <c r="J321" s="92">
        <v>45398.0</v>
      </c>
      <c r="K321" s="31">
        <v>49.0</v>
      </c>
      <c r="L321" s="33" t="s">
        <v>3697</v>
      </c>
      <c r="M321" s="157">
        <v>1963.0</v>
      </c>
      <c r="N321" s="32"/>
      <c r="O321" s="32"/>
      <c r="P321" s="32"/>
      <c r="Q321" s="134"/>
      <c r="R321" s="32"/>
      <c r="S321" s="135"/>
      <c r="T321" s="131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32"/>
      <c r="AF321" s="20" t="s">
        <v>3698</v>
      </c>
      <c r="AG321" s="26">
        <v>86325.0</v>
      </c>
      <c r="AH321" s="20">
        <v>2023.0</v>
      </c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</row>
    <row r="322">
      <c r="A322" s="19">
        <f t="shared" si="33"/>
        <v>321</v>
      </c>
      <c r="B322" s="31" t="s">
        <v>3699</v>
      </c>
      <c r="C322" s="32"/>
      <c r="D322" s="32"/>
      <c r="E322" s="32"/>
      <c r="F322" s="31" t="s">
        <v>2141</v>
      </c>
      <c r="G322" s="31" t="s">
        <v>21</v>
      </c>
      <c r="H322" s="31" t="s">
        <v>22</v>
      </c>
      <c r="I322" s="31" t="s">
        <v>23</v>
      </c>
      <c r="J322" s="92">
        <v>45422.0</v>
      </c>
      <c r="K322" s="31">
        <v>142.0</v>
      </c>
      <c r="L322" s="45" t="s">
        <v>3700</v>
      </c>
      <c r="M322" s="157">
        <v>1988.0</v>
      </c>
      <c r="N322" s="32"/>
      <c r="O322" s="32"/>
      <c r="P322" s="32"/>
      <c r="Q322" s="134"/>
      <c r="R322" s="32"/>
      <c r="S322" s="135"/>
      <c r="T322" s="131"/>
      <c r="U322" s="168">
        <v>6.3</v>
      </c>
      <c r="V322" s="228">
        <f>(U322*$K322)/100</f>
        <v>8.946</v>
      </c>
      <c r="W322" s="168">
        <v>1.4</v>
      </c>
      <c r="X322" s="228">
        <f t="shared" ref="X322:X323" si="129">(W322*$K322)/100</f>
        <v>1.988</v>
      </c>
      <c r="Y322" s="168">
        <v>5.6</v>
      </c>
      <c r="Z322" s="228">
        <f>(Y322*$K322)/100</f>
        <v>7.952</v>
      </c>
      <c r="AA322" s="168">
        <v>73.2</v>
      </c>
      <c r="AB322" s="228">
        <f>(AA322*$K322)/100</f>
        <v>103.944</v>
      </c>
      <c r="AC322" s="228">
        <f t="shared" ref="AC322:AC323" si="130">100-(U322+W322+Y322+AA322)</f>
        <v>13.5</v>
      </c>
      <c r="AD322" s="228">
        <f t="shared" ref="AD322:AD323" si="131">(AC322*$K322)/100</f>
        <v>19.17</v>
      </c>
      <c r="AE322" s="32"/>
      <c r="AF322" s="20" t="s">
        <v>3701</v>
      </c>
      <c r="AG322" s="26">
        <v>129797.0</v>
      </c>
      <c r="AH322" s="20">
        <v>2023.0</v>
      </c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</row>
    <row r="323">
      <c r="A323" s="19">
        <f t="shared" si="33"/>
        <v>322</v>
      </c>
      <c r="B323" s="31" t="s">
        <v>3702</v>
      </c>
      <c r="C323" s="32"/>
      <c r="D323" s="32"/>
      <c r="E323" s="32"/>
      <c r="F323" s="31" t="s">
        <v>3703</v>
      </c>
      <c r="G323" s="31" t="s">
        <v>21</v>
      </c>
      <c r="H323" s="31" t="s">
        <v>22</v>
      </c>
      <c r="I323" s="31" t="s">
        <v>33</v>
      </c>
      <c r="J323" s="92">
        <v>45422.0</v>
      </c>
      <c r="K323" s="31">
        <v>47.0</v>
      </c>
      <c r="L323" s="33" t="s">
        <v>3704</v>
      </c>
      <c r="M323" s="157">
        <v>1914.0</v>
      </c>
      <c r="N323" s="32"/>
      <c r="O323" s="32"/>
      <c r="P323" s="32"/>
      <c r="Q323" s="134"/>
      <c r="R323" s="32"/>
      <c r="S323" s="135"/>
      <c r="T323" s="131"/>
      <c r="U323" s="163"/>
      <c r="V323" s="163"/>
      <c r="W323" s="168">
        <v>80.6</v>
      </c>
      <c r="X323" s="228">
        <f t="shared" si="129"/>
        <v>37.882</v>
      </c>
      <c r="Y323" s="163"/>
      <c r="Z323" s="163"/>
      <c r="AA323" s="163"/>
      <c r="AB323" s="163"/>
      <c r="AC323" s="228">
        <f t="shared" si="130"/>
        <v>19.4</v>
      </c>
      <c r="AD323" s="228">
        <f t="shared" si="131"/>
        <v>9.118</v>
      </c>
      <c r="AE323" s="180" t="s">
        <v>3705</v>
      </c>
      <c r="AF323" s="20" t="s">
        <v>3706</v>
      </c>
      <c r="AG323" s="26">
        <v>112633.0</v>
      </c>
      <c r="AH323" s="20">
        <v>2023.0</v>
      </c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</row>
    <row r="324">
      <c r="A324" s="19">
        <f t="shared" si="33"/>
        <v>323</v>
      </c>
      <c r="B324" s="31" t="s">
        <v>3707</v>
      </c>
      <c r="C324" s="32"/>
      <c r="D324" s="32"/>
      <c r="E324" s="32"/>
      <c r="F324" s="31" t="s">
        <v>3708</v>
      </c>
      <c r="G324" s="31" t="s">
        <v>76</v>
      </c>
      <c r="H324" s="31" t="s">
        <v>43</v>
      </c>
      <c r="I324" s="31" t="s">
        <v>33</v>
      </c>
      <c r="J324" s="92">
        <v>45448.0</v>
      </c>
      <c r="K324" s="31">
        <v>45.0</v>
      </c>
      <c r="L324" s="45" t="s">
        <v>3709</v>
      </c>
      <c r="M324" s="156"/>
      <c r="N324" s="32"/>
      <c r="O324" s="32"/>
      <c r="P324" s="32"/>
      <c r="Q324" s="134"/>
      <c r="R324" s="32"/>
      <c r="S324" s="135"/>
      <c r="T324" s="131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32"/>
      <c r="AF324" s="27"/>
      <c r="AG324" s="85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</row>
    <row r="325">
      <c r="A325" s="19">
        <f t="shared" si="33"/>
        <v>324</v>
      </c>
      <c r="B325" s="31" t="s">
        <v>3710</v>
      </c>
      <c r="C325" s="32"/>
      <c r="D325" s="32"/>
      <c r="E325" s="32"/>
      <c r="F325" s="31" t="s">
        <v>557</v>
      </c>
      <c r="G325" s="31" t="s">
        <v>3139</v>
      </c>
      <c r="H325" s="31" t="s">
        <v>43</v>
      </c>
      <c r="I325" s="31" t="s">
        <v>23</v>
      </c>
      <c r="J325" s="92">
        <v>45457.0</v>
      </c>
      <c r="K325" s="31">
        <v>140.0</v>
      </c>
      <c r="L325" s="236" t="s">
        <v>3711</v>
      </c>
      <c r="M325" s="157">
        <v>1886.0</v>
      </c>
      <c r="N325" s="32"/>
      <c r="O325" s="32"/>
      <c r="P325" s="45" t="s">
        <v>3712</v>
      </c>
      <c r="Q325" s="134"/>
      <c r="R325" s="32"/>
      <c r="S325" s="132">
        <v>38036.0</v>
      </c>
      <c r="T325" s="47" t="s">
        <v>3713</v>
      </c>
      <c r="U325" s="168">
        <v>7.1</v>
      </c>
      <c r="V325" s="228">
        <f>(U325*$K325)/100</f>
        <v>9.94</v>
      </c>
      <c r="W325" s="168">
        <v>10.0</v>
      </c>
      <c r="X325" s="228">
        <f>(W325*$K325)/100</f>
        <v>14</v>
      </c>
      <c r="Y325" s="168">
        <v>14.3</v>
      </c>
      <c r="Z325" s="228">
        <f>(Y325*$K325)/100</f>
        <v>20.02</v>
      </c>
      <c r="AA325" s="168">
        <v>60.0</v>
      </c>
      <c r="AB325" s="228">
        <f>(AA325*$K325)/100</f>
        <v>84</v>
      </c>
      <c r="AC325" s="228">
        <f t="shared" ref="AC325:AC327" si="132">100-(U325+W325+Y325+AA325)</f>
        <v>8.6</v>
      </c>
      <c r="AD325" s="228">
        <f t="shared" ref="AD325:AD327" si="133">(AC325*$K325)/100</f>
        <v>12.04</v>
      </c>
      <c r="AE325" s="32"/>
      <c r="AF325" s="20" t="s">
        <v>3714</v>
      </c>
      <c r="AG325" s="26">
        <v>104189.0</v>
      </c>
      <c r="AH325" s="20">
        <v>2023.0</v>
      </c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</row>
    <row r="326">
      <c r="A326" s="19">
        <f t="shared" si="33"/>
        <v>325</v>
      </c>
      <c r="B326" s="221" t="s">
        <v>3715</v>
      </c>
      <c r="C326" s="226"/>
      <c r="D326" s="226"/>
      <c r="E326" s="226"/>
      <c r="F326" s="221" t="s">
        <v>3716</v>
      </c>
      <c r="G326" s="221" t="s">
        <v>21</v>
      </c>
      <c r="H326" s="221" t="s">
        <v>22</v>
      </c>
      <c r="I326" s="31" t="s">
        <v>23</v>
      </c>
      <c r="J326" s="266"/>
      <c r="K326" s="226"/>
      <c r="L326" s="252" t="s">
        <v>3717</v>
      </c>
      <c r="M326" s="223">
        <v>1963.0</v>
      </c>
      <c r="N326" s="226"/>
      <c r="O326" s="226"/>
      <c r="P326" s="226"/>
      <c r="Q326" s="255"/>
      <c r="R326" s="226"/>
      <c r="S326" s="267">
        <v>21250.0</v>
      </c>
      <c r="T326" s="252" t="s">
        <v>3718</v>
      </c>
      <c r="U326" s="227">
        <v>1.0</v>
      </c>
      <c r="V326" s="257"/>
      <c r="W326" s="227">
        <v>5.0</v>
      </c>
      <c r="X326" s="257"/>
      <c r="Y326" s="227">
        <v>8.0</v>
      </c>
      <c r="Z326" s="257"/>
      <c r="AA326" s="227">
        <v>82.0</v>
      </c>
      <c r="AB326" s="257"/>
      <c r="AC326" s="228">
        <f t="shared" si="132"/>
        <v>4</v>
      </c>
      <c r="AD326" s="228">
        <f t="shared" si="133"/>
        <v>0</v>
      </c>
      <c r="AE326" s="226"/>
      <c r="AF326" s="221" t="s">
        <v>3719</v>
      </c>
      <c r="AG326" s="259">
        <v>260780.0</v>
      </c>
      <c r="AH326" s="20">
        <v>2023.0</v>
      </c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</row>
    <row r="327">
      <c r="A327" s="19">
        <f t="shared" si="33"/>
        <v>326</v>
      </c>
      <c r="B327" s="221" t="s">
        <v>3720</v>
      </c>
      <c r="C327" s="226"/>
      <c r="D327" s="226"/>
      <c r="E327" s="226"/>
      <c r="F327" s="221" t="s">
        <v>3721</v>
      </c>
      <c r="G327" s="221" t="s">
        <v>21</v>
      </c>
      <c r="H327" s="221" t="s">
        <v>22</v>
      </c>
      <c r="I327" s="31" t="s">
        <v>23</v>
      </c>
      <c r="J327" s="263">
        <v>45050.0</v>
      </c>
      <c r="K327" s="226"/>
      <c r="L327" s="252" t="s">
        <v>3722</v>
      </c>
      <c r="M327" s="223">
        <v>1980.0</v>
      </c>
      <c r="N327" s="226"/>
      <c r="O327" s="226"/>
      <c r="P327" s="268" t="s">
        <v>3723</v>
      </c>
      <c r="Q327" s="255"/>
      <c r="R327" s="226"/>
      <c r="S327" s="256"/>
      <c r="T327" s="226"/>
      <c r="U327" s="227">
        <v>2.0</v>
      </c>
      <c r="V327" s="257"/>
      <c r="W327" s="227">
        <v>10.0</v>
      </c>
      <c r="X327" s="257"/>
      <c r="Y327" s="227">
        <v>7.0</v>
      </c>
      <c r="Z327" s="257"/>
      <c r="AA327" s="227">
        <v>77.0</v>
      </c>
      <c r="AB327" s="257"/>
      <c r="AC327" s="228">
        <f t="shared" si="132"/>
        <v>4</v>
      </c>
      <c r="AD327" s="228">
        <f t="shared" si="133"/>
        <v>0</v>
      </c>
      <c r="AE327" s="226"/>
      <c r="AF327" s="221" t="s">
        <v>3724</v>
      </c>
      <c r="AG327" s="259">
        <v>197340.0</v>
      </c>
      <c r="AH327" s="20">
        <v>2023.0</v>
      </c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</row>
    <row r="328">
      <c r="A328" s="19">
        <f t="shared" si="33"/>
        <v>327</v>
      </c>
      <c r="B328" s="31" t="s">
        <v>3725</v>
      </c>
      <c r="C328" s="32"/>
      <c r="D328" s="32"/>
      <c r="E328" s="32"/>
      <c r="F328" s="31" t="s">
        <v>819</v>
      </c>
      <c r="G328" s="31" t="s">
        <v>21</v>
      </c>
      <c r="H328" s="31" t="s">
        <v>22</v>
      </c>
      <c r="I328" s="31" t="s">
        <v>23</v>
      </c>
      <c r="J328" s="92">
        <v>45450.0</v>
      </c>
      <c r="K328" s="31">
        <v>25.0</v>
      </c>
      <c r="L328" s="45" t="s">
        <v>3726</v>
      </c>
      <c r="M328" s="156"/>
      <c r="N328" s="32"/>
      <c r="O328" s="32"/>
      <c r="P328" s="32"/>
      <c r="Q328" s="134"/>
      <c r="R328" s="32"/>
      <c r="S328" s="135"/>
      <c r="T328" s="131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32"/>
      <c r="AF328" s="20" t="s">
        <v>3727</v>
      </c>
      <c r="AG328" s="26">
        <v>301680.0</v>
      </c>
      <c r="AH328" s="20">
        <v>2023.0</v>
      </c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</row>
    <row r="329">
      <c r="A329" s="19">
        <f t="shared" si="33"/>
        <v>328</v>
      </c>
      <c r="B329" s="31" t="s">
        <v>3728</v>
      </c>
      <c r="C329" s="32"/>
      <c r="D329" s="32"/>
      <c r="E329" s="32"/>
      <c r="F329" s="31" t="s">
        <v>3225</v>
      </c>
      <c r="G329" s="31" t="s">
        <v>76</v>
      </c>
      <c r="H329" s="31" t="s">
        <v>43</v>
      </c>
      <c r="I329" s="31" t="s">
        <v>33</v>
      </c>
      <c r="J329" s="92">
        <v>45471.0</v>
      </c>
      <c r="K329" s="31">
        <v>205.0</v>
      </c>
      <c r="L329" s="33" t="s">
        <v>3729</v>
      </c>
      <c r="M329" s="157">
        <v>1924.0</v>
      </c>
      <c r="N329" s="32"/>
      <c r="O329" s="32"/>
      <c r="P329" s="32"/>
      <c r="Q329" s="134"/>
      <c r="R329" s="32"/>
      <c r="S329" s="132">
        <v>9950.0</v>
      </c>
      <c r="T329" s="131"/>
      <c r="U329" s="168">
        <v>35.1</v>
      </c>
      <c r="V329" s="228">
        <f t="shared" ref="V329:V330" si="134">(U329*$K329)/100</f>
        <v>71.955</v>
      </c>
      <c r="W329" s="168">
        <v>38.5</v>
      </c>
      <c r="X329" s="228">
        <f t="shared" ref="X329:X330" si="135">(W329*$K329)/100</f>
        <v>78.925</v>
      </c>
      <c r="Y329" s="168">
        <v>4.4</v>
      </c>
      <c r="Z329" s="228">
        <f t="shared" ref="Z329:Z330" si="136">(Y329*$K329)/100</f>
        <v>9.02</v>
      </c>
      <c r="AA329" s="168">
        <v>21.0</v>
      </c>
      <c r="AB329" s="228">
        <f t="shared" ref="AB329:AB330" si="137">(AA329*$K329)/100</f>
        <v>43.05</v>
      </c>
      <c r="AC329" s="228">
        <f t="shared" ref="AC329:AC330" si="138">100-(U329+W329+Y329+AA329)</f>
        <v>1</v>
      </c>
      <c r="AD329" s="228">
        <f t="shared" ref="AD329:AD330" si="139">(AC329*$K329)/100</f>
        <v>2.05</v>
      </c>
      <c r="AE329" s="33" t="s">
        <v>3730</v>
      </c>
      <c r="AF329" s="20" t="s">
        <v>3731</v>
      </c>
      <c r="AG329" s="26">
        <v>108277.0</v>
      </c>
      <c r="AH329" s="20">
        <v>2023.0</v>
      </c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</row>
    <row r="330">
      <c r="A330" s="19">
        <f t="shared" si="33"/>
        <v>329</v>
      </c>
      <c r="B330" s="31" t="s">
        <v>3732</v>
      </c>
      <c r="C330" s="32"/>
      <c r="D330" s="32"/>
      <c r="E330" s="32"/>
      <c r="F330" s="31" t="s">
        <v>3733</v>
      </c>
      <c r="G330" s="31" t="s">
        <v>76</v>
      </c>
      <c r="H330" s="31" t="s">
        <v>43</v>
      </c>
      <c r="I330" s="31" t="s">
        <v>68</v>
      </c>
      <c r="J330" s="92">
        <v>45497.0</v>
      </c>
      <c r="K330" s="31">
        <v>180.0</v>
      </c>
      <c r="L330" s="45" t="s">
        <v>3734</v>
      </c>
      <c r="M330" s="156"/>
      <c r="N330" s="31" t="s">
        <v>3735</v>
      </c>
      <c r="O330" s="32"/>
      <c r="P330" s="33" t="s">
        <v>3736</v>
      </c>
      <c r="Q330" s="134"/>
      <c r="R330" s="32"/>
      <c r="S330" s="135"/>
      <c r="T330" s="131"/>
      <c r="U330" s="168">
        <v>63.3</v>
      </c>
      <c r="V330" s="228">
        <f t="shared" si="134"/>
        <v>113.94</v>
      </c>
      <c r="W330" s="168">
        <v>15.0</v>
      </c>
      <c r="X330" s="228">
        <f t="shared" si="135"/>
        <v>27</v>
      </c>
      <c r="Y330" s="168">
        <v>0.0</v>
      </c>
      <c r="Z330" s="228">
        <f t="shared" si="136"/>
        <v>0</v>
      </c>
      <c r="AA330" s="168">
        <v>5.0</v>
      </c>
      <c r="AB330" s="228">
        <f t="shared" si="137"/>
        <v>9</v>
      </c>
      <c r="AC330" s="228">
        <f t="shared" si="138"/>
        <v>16.7</v>
      </c>
      <c r="AD330" s="228">
        <f t="shared" si="139"/>
        <v>30.06</v>
      </c>
      <c r="AE330" s="33" t="s">
        <v>3734</v>
      </c>
      <c r="AF330" s="20" t="s">
        <v>3737</v>
      </c>
      <c r="AG330" s="26">
        <v>136675.0</v>
      </c>
      <c r="AH330" s="20">
        <v>2024.0</v>
      </c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</row>
    <row r="331">
      <c r="A331" s="19">
        <f t="shared" si="33"/>
        <v>330</v>
      </c>
      <c r="B331" s="31" t="s">
        <v>3738</v>
      </c>
      <c r="C331" s="32"/>
      <c r="D331" s="32"/>
      <c r="E331" s="32"/>
      <c r="F331" s="31" t="s">
        <v>1253</v>
      </c>
      <c r="G331" s="31" t="s">
        <v>584</v>
      </c>
      <c r="H331" s="31" t="s">
        <v>32</v>
      </c>
      <c r="I331" s="31" t="s">
        <v>68</v>
      </c>
      <c r="J331" s="92">
        <v>45490.0</v>
      </c>
      <c r="K331" s="32"/>
      <c r="L331" s="236"/>
      <c r="M331" s="157">
        <v>1984.0</v>
      </c>
      <c r="N331" s="31" t="s">
        <v>3739</v>
      </c>
      <c r="O331" s="32"/>
      <c r="P331" s="45" t="s">
        <v>1254</v>
      </c>
      <c r="Q331" s="134"/>
      <c r="R331" s="32"/>
      <c r="S331" s="135"/>
      <c r="T331" s="131"/>
      <c r="U331" s="269"/>
      <c r="V331" s="269"/>
      <c r="W331" s="269"/>
      <c r="X331" s="269"/>
      <c r="Y331" s="269"/>
      <c r="Z331" s="269"/>
      <c r="AA331" s="269"/>
      <c r="AB331" s="269"/>
      <c r="AC331" s="269"/>
      <c r="AD331" s="269"/>
      <c r="AE331" s="32"/>
      <c r="AF331" s="20" t="s">
        <v>1258</v>
      </c>
      <c r="AG331" s="26">
        <v>63909.0</v>
      </c>
      <c r="AH331" s="20">
        <v>2024.0</v>
      </c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</row>
    <row r="332">
      <c r="A332" s="19">
        <f t="shared" si="33"/>
        <v>331</v>
      </c>
      <c r="B332" s="31" t="s">
        <v>3740</v>
      </c>
      <c r="C332" s="32"/>
      <c r="D332" s="32"/>
      <c r="E332" s="32"/>
      <c r="F332" s="31" t="s">
        <v>3741</v>
      </c>
      <c r="G332" s="31" t="s">
        <v>100</v>
      </c>
      <c r="H332" s="31" t="s">
        <v>43</v>
      </c>
      <c r="I332" s="31" t="s">
        <v>33</v>
      </c>
      <c r="J332" s="92">
        <v>45509.0</v>
      </c>
      <c r="K332" s="31">
        <v>212.0</v>
      </c>
      <c r="L332" s="45" t="s">
        <v>3742</v>
      </c>
      <c r="M332" s="157">
        <v>1886.0</v>
      </c>
      <c r="N332" s="31" t="s">
        <v>3743</v>
      </c>
      <c r="O332" s="32"/>
      <c r="P332" s="45" t="s">
        <v>3744</v>
      </c>
      <c r="Q332" s="134"/>
      <c r="R332" s="32"/>
      <c r="S332" s="270">
        <v>6050.0</v>
      </c>
      <c r="T332" s="45" t="s">
        <v>3745</v>
      </c>
      <c r="U332" s="168">
        <v>5.7</v>
      </c>
      <c r="V332" s="228">
        <f t="shared" ref="V332:V335" si="140">(U332*$K332)/100</f>
        <v>12.084</v>
      </c>
      <c r="W332" s="168">
        <v>25.5</v>
      </c>
      <c r="X332" s="228">
        <f t="shared" ref="X332:X335" si="141">(W332*$K332)/100</f>
        <v>54.06</v>
      </c>
      <c r="Y332" s="168">
        <v>25.9</v>
      </c>
      <c r="Z332" s="228">
        <f t="shared" ref="Z332:Z335" si="142">(Y332*$K332)/100</f>
        <v>54.908</v>
      </c>
      <c r="AA332" s="168">
        <v>25.8</v>
      </c>
      <c r="AB332" s="228">
        <f t="shared" ref="AB332:AB335" si="143">(AA332*$K332)/100</f>
        <v>54.696</v>
      </c>
      <c r="AC332" s="228">
        <f t="shared" ref="AC332:AC335" si="144">100-(U332+W332+Y332+AA332)</f>
        <v>17.1</v>
      </c>
      <c r="AD332" s="228">
        <f t="shared" ref="AD332:AD335" si="145">(AC332*$K332)/100</f>
        <v>36.252</v>
      </c>
      <c r="AE332" s="33" t="s">
        <v>3742</v>
      </c>
      <c r="AF332" s="20" t="s">
        <v>3746</v>
      </c>
      <c r="AG332" s="26">
        <v>82519.0</v>
      </c>
      <c r="AH332" s="20">
        <v>2024.0</v>
      </c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</row>
    <row r="333">
      <c r="A333" s="19">
        <f t="shared" si="33"/>
        <v>332</v>
      </c>
      <c r="B333" s="31" t="s">
        <v>3747</v>
      </c>
      <c r="C333" s="32"/>
      <c r="D333" s="32"/>
      <c r="E333" s="32"/>
      <c r="F333" s="31" t="s">
        <v>3748</v>
      </c>
      <c r="G333" s="31" t="s">
        <v>321</v>
      </c>
      <c r="H333" s="31" t="s">
        <v>22</v>
      </c>
      <c r="I333" s="31" t="s">
        <v>33</v>
      </c>
      <c r="J333" s="92">
        <v>45548.0</v>
      </c>
      <c r="K333" s="31">
        <v>70.0</v>
      </c>
      <c r="L333" s="33" t="s">
        <v>3749</v>
      </c>
      <c r="M333" s="157">
        <v>2019.0</v>
      </c>
      <c r="N333" s="31" t="s">
        <v>3750</v>
      </c>
      <c r="O333" s="32"/>
      <c r="P333" s="32"/>
      <c r="Q333" s="134"/>
      <c r="R333" s="32"/>
      <c r="S333" s="135"/>
      <c r="T333" s="131"/>
      <c r="U333" s="168">
        <v>2.0</v>
      </c>
      <c r="V333" s="228">
        <f t="shared" si="140"/>
        <v>1.4</v>
      </c>
      <c r="W333" s="168">
        <v>41.0</v>
      </c>
      <c r="X333" s="228">
        <f t="shared" si="141"/>
        <v>28.7</v>
      </c>
      <c r="Y333" s="168">
        <v>2.0</v>
      </c>
      <c r="Z333" s="228">
        <f t="shared" si="142"/>
        <v>1.4</v>
      </c>
      <c r="AA333" s="168">
        <v>50.0</v>
      </c>
      <c r="AB333" s="228">
        <f t="shared" si="143"/>
        <v>35</v>
      </c>
      <c r="AC333" s="228">
        <f t="shared" si="144"/>
        <v>5</v>
      </c>
      <c r="AD333" s="228">
        <f t="shared" si="145"/>
        <v>3.5</v>
      </c>
      <c r="AE333" s="180" t="s">
        <v>3751</v>
      </c>
      <c r="AF333" s="20" t="s">
        <v>3752</v>
      </c>
      <c r="AG333" s="26">
        <v>52721.0</v>
      </c>
      <c r="AH333" s="20">
        <v>2024.0</v>
      </c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</row>
    <row r="334">
      <c r="A334" s="19">
        <f t="shared" si="33"/>
        <v>333</v>
      </c>
      <c r="B334" s="31" t="s">
        <v>3753</v>
      </c>
      <c r="C334" s="32"/>
      <c r="D334" s="32"/>
      <c r="E334" s="32"/>
      <c r="F334" s="31" t="s">
        <v>403</v>
      </c>
      <c r="G334" s="31" t="s">
        <v>321</v>
      </c>
      <c r="H334" s="31" t="s">
        <v>22</v>
      </c>
      <c r="I334" s="31" t="s">
        <v>33</v>
      </c>
      <c r="J334" s="92">
        <v>45548.0</v>
      </c>
      <c r="K334" s="31">
        <v>149.0</v>
      </c>
      <c r="L334" s="45" t="s">
        <v>3754</v>
      </c>
      <c r="M334" s="157">
        <v>1962.0</v>
      </c>
      <c r="N334" s="32"/>
      <c r="O334" s="32"/>
      <c r="P334" s="32"/>
      <c r="Q334" s="134"/>
      <c r="R334" s="32"/>
      <c r="S334" s="135"/>
      <c r="T334" s="131"/>
      <c r="U334" s="163"/>
      <c r="V334" s="228">
        <f t="shared" si="140"/>
        <v>0</v>
      </c>
      <c r="W334" s="168">
        <v>81.2</v>
      </c>
      <c r="X334" s="228">
        <f t="shared" si="141"/>
        <v>120.988</v>
      </c>
      <c r="Y334" s="163"/>
      <c r="Z334" s="228">
        <f t="shared" si="142"/>
        <v>0</v>
      </c>
      <c r="AA334" s="168">
        <v>3.4</v>
      </c>
      <c r="AB334" s="228">
        <f t="shared" si="143"/>
        <v>5.066</v>
      </c>
      <c r="AC334" s="228">
        <f t="shared" si="144"/>
        <v>15.4</v>
      </c>
      <c r="AD334" s="228">
        <f t="shared" si="145"/>
        <v>22.946</v>
      </c>
      <c r="AE334" s="32"/>
      <c r="AF334" s="20" t="s">
        <v>3755</v>
      </c>
      <c r="AG334" s="26">
        <v>103055.0</v>
      </c>
      <c r="AH334" s="20">
        <v>2024.0</v>
      </c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</row>
    <row r="335">
      <c r="A335" s="19">
        <f t="shared" si="33"/>
        <v>334</v>
      </c>
      <c r="B335" s="31" t="s">
        <v>3756</v>
      </c>
      <c r="C335" s="32"/>
      <c r="D335" s="31"/>
      <c r="E335" s="32"/>
      <c r="F335" s="31" t="s">
        <v>403</v>
      </c>
      <c r="G335" s="31" t="s">
        <v>321</v>
      </c>
      <c r="H335" s="31" t="s">
        <v>22</v>
      </c>
      <c r="I335" s="31" t="s">
        <v>33</v>
      </c>
      <c r="J335" s="92">
        <v>45548.0</v>
      </c>
      <c r="K335" s="31">
        <v>338.0</v>
      </c>
      <c r="L335" s="45" t="s">
        <v>3757</v>
      </c>
      <c r="M335" s="156"/>
      <c r="N335" s="31" t="s">
        <v>3758</v>
      </c>
      <c r="O335" s="32"/>
      <c r="P335" s="32"/>
      <c r="Q335" s="134"/>
      <c r="R335" s="32"/>
      <c r="S335" s="132">
        <v>16100.0</v>
      </c>
      <c r="T335" s="152" t="s">
        <v>3759</v>
      </c>
      <c r="U335" s="168">
        <v>4.4</v>
      </c>
      <c r="V335" s="228">
        <f t="shared" si="140"/>
        <v>14.872</v>
      </c>
      <c r="W335" s="163"/>
      <c r="X335" s="228">
        <f t="shared" si="141"/>
        <v>0</v>
      </c>
      <c r="Y335" s="168">
        <v>6.2</v>
      </c>
      <c r="Z335" s="228">
        <f t="shared" si="142"/>
        <v>20.956</v>
      </c>
      <c r="AA335" s="168">
        <v>78.1</v>
      </c>
      <c r="AB335" s="228">
        <f t="shared" si="143"/>
        <v>263.978</v>
      </c>
      <c r="AC335" s="228">
        <f t="shared" si="144"/>
        <v>11.3</v>
      </c>
      <c r="AD335" s="228">
        <f t="shared" si="145"/>
        <v>38.194</v>
      </c>
      <c r="AE335" s="32"/>
      <c r="AF335" s="20" t="s">
        <v>3760</v>
      </c>
      <c r="AG335" s="26">
        <v>159923.0</v>
      </c>
      <c r="AH335" s="20">
        <v>2024.0</v>
      </c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</row>
    <row r="336">
      <c r="A336" s="19">
        <f t="shared" si="33"/>
        <v>335</v>
      </c>
      <c r="B336" s="31" t="s">
        <v>3761</v>
      </c>
      <c r="C336" s="32"/>
      <c r="D336" s="32"/>
      <c r="E336" s="32"/>
      <c r="F336" s="31" t="s">
        <v>184</v>
      </c>
      <c r="G336" s="31" t="s">
        <v>91</v>
      </c>
      <c r="H336" s="31" t="s">
        <v>43</v>
      </c>
      <c r="I336" s="31" t="s">
        <v>68</v>
      </c>
      <c r="J336" s="92">
        <v>45474.0</v>
      </c>
      <c r="K336" s="32"/>
      <c r="L336" s="32"/>
      <c r="M336" s="156"/>
      <c r="N336" s="31" t="s">
        <v>3762</v>
      </c>
      <c r="O336" s="32"/>
      <c r="P336" s="32"/>
      <c r="Q336" s="134"/>
      <c r="R336" s="32"/>
      <c r="S336" s="135"/>
      <c r="T336" s="131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32"/>
      <c r="AF336" s="20" t="s">
        <v>3763</v>
      </c>
      <c r="AG336" s="26">
        <v>168668.0</v>
      </c>
      <c r="AH336" s="20">
        <v>2024.0</v>
      </c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</row>
    <row r="337">
      <c r="A337" s="19">
        <f t="shared" si="33"/>
        <v>336</v>
      </c>
      <c r="B337" s="31" t="s">
        <v>3764</v>
      </c>
      <c r="C337" s="32"/>
      <c r="D337" s="32"/>
      <c r="E337" s="32"/>
      <c r="F337" s="31" t="s">
        <v>3765</v>
      </c>
      <c r="G337" s="31" t="s">
        <v>321</v>
      </c>
      <c r="H337" s="31" t="s">
        <v>22</v>
      </c>
      <c r="I337" s="31" t="s">
        <v>68</v>
      </c>
      <c r="J337" s="92">
        <v>45513.0</v>
      </c>
      <c r="K337" s="32"/>
      <c r="L337" s="32"/>
      <c r="M337" s="156"/>
      <c r="N337" s="54" t="s">
        <v>3762</v>
      </c>
      <c r="O337" s="32"/>
      <c r="P337" s="32"/>
      <c r="Q337" s="134"/>
      <c r="R337" s="32"/>
      <c r="S337" s="135"/>
      <c r="T337" s="131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32"/>
      <c r="AF337" s="20" t="s">
        <v>3766</v>
      </c>
      <c r="AG337" s="26">
        <v>112874.0</v>
      </c>
      <c r="AH337" s="20">
        <v>2024.0</v>
      </c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</row>
    <row r="338">
      <c r="A338" s="19">
        <f t="shared" si="33"/>
        <v>337</v>
      </c>
      <c r="B338" s="31" t="s">
        <v>3767</v>
      </c>
      <c r="C338" s="32"/>
      <c r="D338" s="32"/>
      <c r="E338" s="32"/>
      <c r="F338" s="31" t="s">
        <v>3768</v>
      </c>
      <c r="G338" s="31" t="s">
        <v>76</v>
      </c>
      <c r="H338" s="31" t="s">
        <v>43</v>
      </c>
      <c r="I338" s="31" t="s">
        <v>33</v>
      </c>
      <c r="J338" s="92">
        <v>45545.0</v>
      </c>
      <c r="K338" s="31">
        <v>137.0</v>
      </c>
      <c r="L338" s="45" t="s">
        <v>3769</v>
      </c>
      <c r="M338" s="157">
        <v>1960.0</v>
      </c>
      <c r="N338" s="54"/>
      <c r="O338" s="32"/>
      <c r="P338" s="45" t="s">
        <v>3770</v>
      </c>
      <c r="Q338" s="134"/>
      <c r="R338" s="32"/>
      <c r="S338" s="132">
        <v>4900.0</v>
      </c>
      <c r="T338" s="45" t="s">
        <v>3771</v>
      </c>
      <c r="U338" s="168">
        <v>1.4</v>
      </c>
      <c r="V338" s="228">
        <f t="shared" ref="V338:V340" si="146">(U338*$K338)/100</f>
        <v>1.918</v>
      </c>
      <c r="W338" s="168">
        <v>1.8</v>
      </c>
      <c r="X338" s="228">
        <f t="shared" ref="X338:X340" si="147">(W338*$K338)/100</f>
        <v>2.466</v>
      </c>
      <c r="Y338" s="168">
        <v>0.9</v>
      </c>
      <c r="Z338" s="228">
        <f t="shared" ref="Z338:Z340" si="148">(Y338*$K338)/100</f>
        <v>1.233</v>
      </c>
      <c r="AA338" s="168">
        <v>94.5</v>
      </c>
      <c r="AB338" s="228">
        <f t="shared" ref="AB338:AB340" si="149">(AA338*$K338)/100</f>
        <v>129.465</v>
      </c>
      <c r="AC338" s="271">
        <f t="shared" ref="AC338:AC340" si="150">100-(U338+W338+Y338+AA338)</f>
        <v>1.4</v>
      </c>
      <c r="AD338" s="228">
        <f t="shared" ref="AD338:AD340" si="151">(AC338*$K338)/100</f>
        <v>1.918</v>
      </c>
      <c r="AE338" s="180" t="s">
        <v>3772</v>
      </c>
      <c r="AF338" s="20" t="s">
        <v>3773</v>
      </c>
      <c r="AG338" s="26">
        <v>150767.0</v>
      </c>
      <c r="AH338" s="20">
        <v>2024.0</v>
      </c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</row>
    <row r="339">
      <c r="A339" s="19">
        <f t="shared" si="33"/>
        <v>338</v>
      </c>
      <c r="B339" s="31" t="s">
        <v>3774</v>
      </c>
      <c r="C339" s="32"/>
      <c r="D339" s="32"/>
      <c r="E339" s="32"/>
      <c r="F339" s="31" t="s">
        <v>3775</v>
      </c>
      <c r="G339" s="31" t="s">
        <v>21</v>
      </c>
      <c r="H339" s="31" t="s">
        <v>22</v>
      </c>
      <c r="I339" s="31" t="s">
        <v>23</v>
      </c>
      <c r="J339" s="92">
        <v>45581.0</v>
      </c>
      <c r="K339" s="31">
        <v>90.0</v>
      </c>
      <c r="L339" s="45" t="s">
        <v>3776</v>
      </c>
      <c r="M339" s="156"/>
      <c r="N339" s="32"/>
      <c r="O339" s="32"/>
      <c r="P339" s="32"/>
      <c r="Q339" s="134"/>
      <c r="R339" s="32"/>
      <c r="S339" s="135"/>
      <c r="T339" s="131"/>
      <c r="U339" s="175">
        <v>2.5</v>
      </c>
      <c r="V339" s="228">
        <f t="shared" si="146"/>
        <v>2.25</v>
      </c>
      <c r="W339" s="175">
        <v>3.8</v>
      </c>
      <c r="X339" s="228">
        <f t="shared" si="147"/>
        <v>3.42</v>
      </c>
      <c r="Y339" s="175">
        <v>19.0</v>
      </c>
      <c r="Z339" s="228">
        <f t="shared" si="148"/>
        <v>17.1</v>
      </c>
      <c r="AA339" s="175">
        <v>35.4</v>
      </c>
      <c r="AB339" s="228">
        <f t="shared" si="149"/>
        <v>31.86</v>
      </c>
      <c r="AC339" s="271">
        <f t="shared" si="150"/>
        <v>39.3</v>
      </c>
      <c r="AD339" s="228">
        <f t="shared" si="151"/>
        <v>35.37</v>
      </c>
      <c r="AE339" s="32"/>
      <c r="AF339" s="20" t="s">
        <v>3777</v>
      </c>
      <c r="AG339" s="26">
        <v>146015.0</v>
      </c>
      <c r="AH339" s="20">
        <v>2024.0</v>
      </c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</row>
    <row r="340">
      <c r="A340" s="19">
        <f t="shared" si="33"/>
        <v>339</v>
      </c>
      <c r="B340" s="31" t="s">
        <v>3778</v>
      </c>
      <c r="C340" s="32"/>
      <c r="D340" s="32"/>
      <c r="E340" s="32"/>
      <c r="F340" s="31" t="s">
        <v>3779</v>
      </c>
      <c r="G340" s="31" t="s">
        <v>436</v>
      </c>
      <c r="H340" s="31" t="s">
        <v>32</v>
      </c>
      <c r="I340" s="31" t="s">
        <v>33</v>
      </c>
      <c r="J340" s="92">
        <v>45609.0</v>
      </c>
      <c r="K340" s="31">
        <v>241.0</v>
      </c>
      <c r="L340" s="45" t="s">
        <v>3780</v>
      </c>
      <c r="M340" s="156"/>
      <c r="N340" s="31" t="s">
        <v>3781</v>
      </c>
      <c r="O340" s="32"/>
      <c r="P340" s="32"/>
      <c r="Q340" s="134"/>
      <c r="R340" s="32"/>
      <c r="S340" s="132">
        <v>8635.0</v>
      </c>
      <c r="T340" s="131"/>
      <c r="U340" s="168">
        <v>1.0</v>
      </c>
      <c r="V340" s="228">
        <f t="shared" si="146"/>
        <v>2.41</v>
      </c>
      <c r="W340" s="168">
        <v>10.0</v>
      </c>
      <c r="X340" s="228">
        <f t="shared" si="147"/>
        <v>24.1</v>
      </c>
      <c r="Y340" s="168">
        <v>0.0</v>
      </c>
      <c r="Z340" s="228">
        <f t="shared" si="148"/>
        <v>0</v>
      </c>
      <c r="AA340" s="168">
        <v>87.0</v>
      </c>
      <c r="AB340" s="228">
        <f t="shared" si="149"/>
        <v>209.67</v>
      </c>
      <c r="AC340" s="271">
        <f t="shared" si="150"/>
        <v>2</v>
      </c>
      <c r="AD340" s="228">
        <f t="shared" si="151"/>
        <v>4.82</v>
      </c>
      <c r="AE340" s="32"/>
      <c r="AF340" s="20" t="s">
        <v>3782</v>
      </c>
      <c r="AG340" s="26">
        <v>120847.0</v>
      </c>
      <c r="AH340" s="20">
        <v>2024.0</v>
      </c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</row>
    <row r="341">
      <c r="A341" s="19">
        <f t="shared" si="33"/>
        <v>340</v>
      </c>
      <c r="B341" s="31" t="s">
        <v>3783</v>
      </c>
      <c r="C341" s="32"/>
      <c r="D341" s="32"/>
      <c r="E341" s="32"/>
      <c r="F341" s="31" t="s">
        <v>3784</v>
      </c>
      <c r="G341" s="31" t="s">
        <v>76</v>
      </c>
      <c r="H341" s="31" t="s">
        <v>43</v>
      </c>
      <c r="I341" s="31" t="s">
        <v>33</v>
      </c>
      <c r="J341" s="92">
        <v>45632.0</v>
      </c>
      <c r="K341" s="31">
        <v>115.0</v>
      </c>
      <c r="L341" s="33" t="s">
        <v>3785</v>
      </c>
      <c r="M341" s="157">
        <v>1957.0</v>
      </c>
      <c r="N341" s="32"/>
      <c r="O341" s="32"/>
      <c r="P341" s="32"/>
      <c r="Q341" s="134"/>
      <c r="R341" s="32"/>
      <c r="S341" s="132">
        <v>5630.0</v>
      </c>
      <c r="T341" s="152" t="s">
        <v>3786</v>
      </c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32"/>
      <c r="AF341" s="20" t="s">
        <v>3787</v>
      </c>
      <c r="AG341" s="26">
        <v>102845.0</v>
      </c>
      <c r="AH341" s="20">
        <v>2024.0</v>
      </c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</row>
    <row r="342">
      <c r="A342" s="19">
        <f t="shared" si="33"/>
        <v>341</v>
      </c>
      <c r="B342" s="31" t="s">
        <v>3788</v>
      </c>
      <c r="C342" s="32"/>
      <c r="D342" s="32"/>
      <c r="E342" s="32"/>
      <c r="F342" s="31" t="s">
        <v>3789</v>
      </c>
      <c r="G342" s="31" t="s">
        <v>66</v>
      </c>
      <c r="H342" s="31" t="s">
        <v>32</v>
      </c>
      <c r="I342" s="31" t="s">
        <v>33</v>
      </c>
      <c r="J342" s="92">
        <v>45642.0</v>
      </c>
      <c r="K342" s="31">
        <v>27.0</v>
      </c>
      <c r="L342" s="45" t="s">
        <v>3790</v>
      </c>
      <c r="M342" s="157">
        <v>1863.0</v>
      </c>
      <c r="N342" s="32"/>
      <c r="O342" s="32"/>
      <c r="P342" s="32"/>
      <c r="Q342" s="134"/>
      <c r="R342" s="32"/>
      <c r="S342" s="132">
        <v>3779.0</v>
      </c>
      <c r="T342" s="131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32"/>
      <c r="AF342" s="20" t="s">
        <v>3791</v>
      </c>
      <c r="AG342" s="26">
        <v>102843.0</v>
      </c>
      <c r="AH342" s="20">
        <v>2024.0</v>
      </c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</row>
    <row r="343">
      <c r="A343" s="19">
        <f t="shared" si="33"/>
        <v>342</v>
      </c>
      <c r="B343" s="31" t="s">
        <v>3792</v>
      </c>
      <c r="C343" s="32"/>
      <c r="D343" s="32"/>
      <c r="E343" s="32"/>
      <c r="F343" s="31" t="s">
        <v>2824</v>
      </c>
      <c r="G343" s="31" t="s">
        <v>66</v>
      </c>
      <c r="H343" s="31" t="s">
        <v>32</v>
      </c>
      <c r="I343" s="31" t="s">
        <v>33</v>
      </c>
      <c r="J343" s="92">
        <v>45636.0</v>
      </c>
      <c r="K343" s="31">
        <v>196.0</v>
      </c>
      <c r="L343" s="45" t="s">
        <v>3793</v>
      </c>
      <c r="M343" s="157">
        <v>1954.0</v>
      </c>
      <c r="N343" s="32"/>
      <c r="O343" s="32"/>
      <c r="P343" s="32"/>
      <c r="Q343" s="134"/>
      <c r="R343" s="32"/>
      <c r="S343" s="135"/>
      <c r="T343" s="131"/>
      <c r="U343" s="168">
        <v>50.0</v>
      </c>
      <c r="V343" s="228">
        <f t="shared" ref="V343:V354" si="152">(U343*$K343)/100</f>
        <v>98</v>
      </c>
      <c r="W343" s="168">
        <v>41.8</v>
      </c>
      <c r="X343" s="228">
        <f t="shared" ref="X343:X354" si="153">(W343*$K343)/100</f>
        <v>81.928</v>
      </c>
      <c r="Y343" s="163"/>
      <c r="Z343" s="228">
        <f t="shared" ref="Z343:Z354" si="154">(Y343*$K343)/100</f>
        <v>0</v>
      </c>
      <c r="AA343" s="168">
        <v>2.6</v>
      </c>
      <c r="AB343" s="228">
        <f t="shared" ref="AB343:AB354" si="155">(AA343*$K343)/100</f>
        <v>5.096</v>
      </c>
      <c r="AC343" s="271">
        <f t="shared" ref="AC343:AC354" si="156">100-(U343+W343+Y343+AA343)</f>
        <v>5.6</v>
      </c>
      <c r="AD343" s="228">
        <f t="shared" ref="AD343:AD354" si="157">(AC343*$K343)/100</f>
        <v>10.976</v>
      </c>
      <c r="AE343" s="32"/>
      <c r="AF343" s="20" t="s">
        <v>3794</v>
      </c>
      <c r="AG343" s="26">
        <v>43344.0</v>
      </c>
      <c r="AH343" s="20">
        <v>2024.0</v>
      </c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</row>
    <row r="344">
      <c r="A344" s="19">
        <f t="shared" si="33"/>
        <v>343</v>
      </c>
      <c r="B344" s="31" t="s">
        <v>3795</v>
      </c>
      <c r="C344" s="32"/>
      <c r="D344" s="32"/>
      <c r="E344" s="32"/>
      <c r="F344" s="31" t="s">
        <v>3796</v>
      </c>
      <c r="G344" s="31" t="s">
        <v>1162</v>
      </c>
      <c r="H344" s="31" t="s">
        <v>67</v>
      </c>
      <c r="I344" s="31" t="s">
        <v>506</v>
      </c>
      <c r="J344" s="92">
        <v>45646.0</v>
      </c>
      <c r="K344" s="31">
        <v>44.0</v>
      </c>
      <c r="L344" s="33" t="s">
        <v>3797</v>
      </c>
      <c r="M344" s="156"/>
      <c r="N344" s="32"/>
      <c r="O344" s="32"/>
      <c r="P344" s="32"/>
      <c r="Q344" s="175">
        <v>43.0</v>
      </c>
      <c r="R344" s="33" t="s">
        <v>3798</v>
      </c>
      <c r="S344" s="132">
        <v>5775.0</v>
      </c>
      <c r="T344" s="25"/>
      <c r="U344" s="168">
        <v>16.2</v>
      </c>
      <c r="V344" s="228">
        <f t="shared" si="152"/>
        <v>7.128</v>
      </c>
      <c r="W344" s="168">
        <v>3.8</v>
      </c>
      <c r="X344" s="228">
        <f t="shared" si="153"/>
        <v>1.672</v>
      </c>
      <c r="Y344" s="168">
        <v>1.9</v>
      </c>
      <c r="Z344" s="228">
        <f t="shared" si="154"/>
        <v>0.836</v>
      </c>
      <c r="AA344" s="168">
        <v>59.0</v>
      </c>
      <c r="AB344" s="228">
        <f t="shared" si="155"/>
        <v>25.96</v>
      </c>
      <c r="AC344" s="271">
        <f t="shared" si="156"/>
        <v>19.1</v>
      </c>
      <c r="AD344" s="228">
        <f t="shared" si="157"/>
        <v>8.404</v>
      </c>
      <c r="AE344" s="33" t="s">
        <v>3799</v>
      </c>
      <c r="AF344" s="20" t="s">
        <v>3800</v>
      </c>
      <c r="AG344" s="26">
        <v>105937.0</v>
      </c>
      <c r="AH344" s="20">
        <v>2024.0</v>
      </c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</row>
    <row r="345">
      <c r="A345" s="19">
        <f t="shared" si="33"/>
        <v>344</v>
      </c>
      <c r="B345" s="31" t="s">
        <v>3801</v>
      </c>
      <c r="C345" s="32"/>
      <c r="D345" s="32"/>
      <c r="E345" s="32"/>
      <c r="F345" s="31" t="s">
        <v>226</v>
      </c>
      <c r="G345" s="31" t="s">
        <v>115</v>
      </c>
      <c r="H345" s="31" t="s">
        <v>32</v>
      </c>
      <c r="I345" s="31" t="s">
        <v>33</v>
      </c>
      <c r="J345" s="92">
        <v>45664.0</v>
      </c>
      <c r="K345" s="31">
        <v>227.0</v>
      </c>
      <c r="L345" s="45" t="s">
        <v>3802</v>
      </c>
      <c r="M345" s="157">
        <v>1955.0</v>
      </c>
      <c r="N345" s="32"/>
      <c r="O345" s="32"/>
      <c r="P345" s="32"/>
      <c r="Q345" s="134"/>
      <c r="R345" s="32"/>
      <c r="S345" s="132">
        <v>9900.0</v>
      </c>
      <c r="T345" s="131"/>
      <c r="U345" s="168">
        <v>14.2</v>
      </c>
      <c r="V345" s="228">
        <f t="shared" si="152"/>
        <v>32.234</v>
      </c>
      <c r="W345" s="168">
        <v>12.3</v>
      </c>
      <c r="X345" s="228">
        <f t="shared" si="153"/>
        <v>27.921</v>
      </c>
      <c r="Y345" s="168">
        <v>4.7</v>
      </c>
      <c r="Z345" s="228">
        <f t="shared" si="154"/>
        <v>10.669</v>
      </c>
      <c r="AA345" s="168">
        <v>64.9</v>
      </c>
      <c r="AB345" s="228">
        <f t="shared" si="155"/>
        <v>147.323</v>
      </c>
      <c r="AC345" s="271">
        <f t="shared" si="156"/>
        <v>3.9</v>
      </c>
      <c r="AD345" s="228">
        <f t="shared" si="157"/>
        <v>8.853</v>
      </c>
      <c r="AE345" s="45" t="s">
        <v>3803</v>
      </c>
      <c r="AF345" s="20" t="s">
        <v>3804</v>
      </c>
      <c r="AG345" s="26">
        <v>87440.0</v>
      </c>
      <c r="AH345" s="20">
        <v>2024.0</v>
      </c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</row>
    <row r="346">
      <c r="A346" s="19">
        <f t="shared" si="33"/>
        <v>345</v>
      </c>
      <c r="B346" s="31" t="s">
        <v>3805</v>
      </c>
      <c r="C346" s="32"/>
      <c r="D346" s="32"/>
      <c r="E346" s="32"/>
      <c r="F346" s="31" t="s">
        <v>3008</v>
      </c>
      <c r="G346" s="31" t="s">
        <v>260</v>
      </c>
      <c r="H346" s="31" t="s">
        <v>32</v>
      </c>
      <c r="I346" s="31" t="s">
        <v>33</v>
      </c>
      <c r="J346" s="92">
        <v>45670.0</v>
      </c>
      <c r="K346" s="31">
        <v>136.0</v>
      </c>
      <c r="L346" s="45" t="s">
        <v>3806</v>
      </c>
      <c r="M346" s="157">
        <v>1945.0</v>
      </c>
      <c r="N346" s="32"/>
      <c r="O346" s="32"/>
      <c r="P346" s="32"/>
      <c r="Q346" s="134"/>
      <c r="R346" s="32"/>
      <c r="S346" s="132">
        <v>7575.0</v>
      </c>
      <c r="T346" s="45" t="s">
        <v>3807</v>
      </c>
      <c r="U346" s="168">
        <v>11.0</v>
      </c>
      <c r="V346" s="228">
        <f t="shared" si="152"/>
        <v>14.96</v>
      </c>
      <c r="W346" s="168">
        <v>20.6</v>
      </c>
      <c r="X346" s="228">
        <f t="shared" si="153"/>
        <v>28.016</v>
      </c>
      <c r="Y346" s="168">
        <v>9.6</v>
      </c>
      <c r="Z346" s="228">
        <f t="shared" si="154"/>
        <v>13.056</v>
      </c>
      <c r="AA346" s="168">
        <v>39.7</v>
      </c>
      <c r="AB346" s="228">
        <f t="shared" si="155"/>
        <v>53.992</v>
      </c>
      <c r="AC346" s="271">
        <f t="shared" si="156"/>
        <v>19.1</v>
      </c>
      <c r="AD346" s="228">
        <f t="shared" si="157"/>
        <v>25.976</v>
      </c>
      <c r="AE346" s="33" t="s">
        <v>3808</v>
      </c>
      <c r="AF346" s="20" t="s">
        <v>3809</v>
      </c>
      <c r="AG346" s="26">
        <v>118345.0</v>
      </c>
      <c r="AH346" s="20">
        <v>2024.0</v>
      </c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</row>
    <row r="347">
      <c r="A347" s="19">
        <f t="shared" si="33"/>
        <v>346</v>
      </c>
      <c r="B347" s="31" t="s">
        <v>3810</v>
      </c>
      <c r="C347" s="32"/>
      <c r="D347" s="32"/>
      <c r="E347" s="32"/>
      <c r="F347" s="31" t="s">
        <v>3811</v>
      </c>
      <c r="G347" s="31" t="s">
        <v>133</v>
      </c>
      <c r="H347" s="31" t="s">
        <v>32</v>
      </c>
      <c r="I347" s="31" t="s">
        <v>33</v>
      </c>
      <c r="J347" s="92">
        <v>45671.0</v>
      </c>
      <c r="K347" s="31">
        <v>131.0</v>
      </c>
      <c r="L347" s="33" t="s">
        <v>3812</v>
      </c>
      <c r="M347" s="157">
        <v>1865.0</v>
      </c>
      <c r="N347" s="32"/>
      <c r="O347" s="32"/>
      <c r="P347" s="45" t="s">
        <v>3813</v>
      </c>
      <c r="Q347" s="134"/>
      <c r="R347" s="32"/>
      <c r="S347" s="132">
        <v>7600.0</v>
      </c>
      <c r="T347" s="131"/>
      <c r="U347" s="168">
        <v>61.6</v>
      </c>
      <c r="V347" s="228">
        <f t="shared" si="152"/>
        <v>80.696</v>
      </c>
      <c r="W347" s="168">
        <v>0.5</v>
      </c>
      <c r="X347" s="228">
        <f t="shared" si="153"/>
        <v>0.655</v>
      </c>
      <c r="Y347" s="168">
        <v>3.8</v>
      </c>
      <c r="Z347" s="228">
        <f t="shared" si="154"/>
        <v>4.978</v>
      </c>
      <c r="AA347" s="168">
        <v>16.2</v>
      </c>
      <c r="AB347" s="228">
        <f t="shared" si="155"/>
        <v>21.222</v>
      </c>
      <c r="AC347" s="271">
        <f t="shared" si="156"/>
        <v>17.9</v>
      </c>
      <c r="AD347" s="228">
        <f t="shared" si="157"/>
        <v>23.449</v>
      </c>
      <c r="AE347" s="32"/>
      <c r="AF347" s="20" t="s">
        <v>3814</v>
      </c>
      <c r="AG347" s="26">
        <v>131512.0</v>
      </c>
      <c r="AH347" s="20">
        <v>2024.0</v>
      </c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</row>
    <row r="348">
      <c r="A348" s="19">
        <f t="shared" si="33"/>
        <v>347</v>
      </c>
      <c r="B348" s="31" t="s">
        <v>3815</v>
      </c>
      <c r="C348" s="32"/>
      <c r="D348" s="32"/>
      <c r="E348" s="32"/>
      <c r="F348" s="31" t="s">
        <v>3816</v>
      </c>
      <c r="G348" s="31" t="s">
        <v>21</v>
      </c>
      <c r="H348" s="31" t="s">
        <v>22</v>
      </c>
      <c r="I348" s="31" t="s">
        <v>33</v>
      </c>
      <c r="J348" s="92">
        <v>45659.0</v>
      </c>
      <c r="K348" s="31">
        <v>100.0</v>
      </c>
      <c r="L348" s="45" t="s">
        <v>3817</v>
      </c>
      <c r="M348" s="157">
        <v>2018.0</v>
      </c>
      <c r="N348" s="31" t="s">
        <v>3818</v>
      </c>
      <c r="O348" s="32"/>
      <c r="P348" s="32"/>
      <c r="Q348" s="175"/>
      <c r="R348" s="32"/>
      <c r="S348" s="132">
        <v>6850.0</v>
      </c>
      <c r="T348" s="45" t="s">
        <v>3817</v>
      </c>
      <c r="U348" s="168">
        <v>3.8</v>
      </c>
      <c r="V348" s="228">
        <f t="shared" si="152"/>
        <v>3.8</v>
      </c>
      <c r="W348" s="168">
        <v>21.2</v>
      </c>
      <c r="X348" s="228">
        <f t="shared" si="153"/>
        <v>21.2</v>
      </c>
      <c r="Y348" s="168">
        <v>9.8</v>
      </c>
      <c r="Z348" s="228">
        <f t="shared" si="154"/>
        <v>9.8</v>
      </c>
      <c r="AA348" s="168">
        <v>36.4</v>
      </c>
      <c r="AB348" s="228">
        <f t="shared" si="155"/>
        <v>36.4</v>
      </c>
      <c r="AC348" s="271">
        <f t="shared" si="156"/>
        <v>28.8</v>
      </c>
      <c r="AD348" s="228">
        <f t="shared" si="157"/>
        <v>28.8</v>
      </c>
      <c r="AE348" s="33" t="s">
        <v>3819</v>
      </c>
      <c r="AF348" s="20" t="s">
        <v>3820</v>
      </c>
      <c r="AG348" s="26">
        <v>147798.0</v>
      </c>
      <c r="AH348" s="20">
        <v>2024.0</v>
      </c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</row>
    <row r="349">
      <c r="A349" s="19">
        <f t="shared" si="33"/>
        <v>348</v>
      </c>
      <c r="B349" s="31" t="s">
        <v>3821</v>
      </c>
      <c r="C349" s="32"/>
      <c r="D349" s="32"/>
      <c r="E349" s="32"/>
      <c r="F349" s="31" t="s">
        <v>3822</v>
      </c>
      <c r="G349" s="31" t="s">
        <v>1162</v>
      </c>
      <c r="H349" s="31" t="s">
        <v>67</v>
      </c>
      <c r="I349" s="31" t="s">
        <v>33</v>
      </c>
      <c r="J349" s="92">
        <v>45684.0</v>
      </c>
      <c r="K349" s="31">
        <v>145.0</v>
      </c>
      <c r="L349" s="45" t="s">
        <v>3823</v>
      </c>
      <c r="M349" s="157">
        <v>1963.0</v>
      </c>
      <c r="N349" s="32"/>
      <c r="O349" s="32"/>
      <c r="P349" s="32"/>
      <c r="Q349" s="134"/>
      <c r="R349" s="32"/>
      <c r="S349" s="132">
        <v>7480.0</v>
      </c>
      <c r="T349" s="45" t="s">
        <v>3824</v>
      </c>
      <c r="U349" s="168">
        <v>1.2</v>
      </c>
      <c r="V349" s="228">
        <f t="shared" si="152"/>
        <v>1.74</v>
      </c>
      <c r="W349" s="168">
        <v>19.8</v>
      </c>
      <c r="X349" s="228">
        <f t="shared" si="153"/>
        <v>28.71</v>
      </c>
      <c r="Y349" s="168">
        <v>3.7</v>
      </c>
      <c r="Z349" s="228">
        <f t="shared" si="154"/>
        <v>5.365</v>
      </c>
      <c r="AA349" s="168">
        <v>49.4</v>
      </c>
      <c r="AB349" s="228">
        <f t="shared" si="155"/>
        <v>71.63</v>
      </c>
      <c r="AC349" s="271">
        <f t="shared" si="156"/>
        <v>25.9</v>
      </c>
      <c r="AD349" s="228">
        <f t="shared" si="157"/>
        <v>37.555</v>
      </c>
      <c r="AE349" s="33" t="s">
        <v>3825</v>
      </c>
      <c r="AF349" s="20" t="s">
        <v>3826</v>
      </c>
      <c r="AG349" s="26">
        <v>140632.0</v>
      </c>
      <c r="AH349" s="20">
        <v>2024.0</v>
      </c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</row>
    <row r="350">
      <c r="A350" s="19">
        <f t="shared" si="33"/>
        <v>349</v>
      </c>
      <c r="B350" s="31" t="s">
        <v>2509</v>
      </c>
      <c r="C350" s="32"/>
      <c r="D350" s="32"/>
      <c r="E350" s="32"/>
      <c r="F350" s="31" t="s">
        <v>3225</v>
      </c>
      <c r="G350" s="31" t="s">
        <v>76</v>
      </c>
      <c r="H350" s="31" t="s">
        <v>43</v>
      </c>
      <c r="I350" s="31" t="s">
        <v>33</v>
      </c>
      <c r="J350" s="92">
        <v>45673.0</v>
      </c>
      <c r="K350" s="31">
        <v>445.0</v>
      </c>
      <c r="L350" s="45" t="s">
        <v>3827</v>
      </c>
      <c r="M350" s="157">
        <v>1926.0</v>
      </c>
      <c r="N350" s="180" t="s">
        <v>3828</v>
      </c>
      <c r="O350" s="32"/>
      <c r="P350" s="32"/>
      <c r="Q350" s="134"/>
      <c r="R350" s="32"/>
      <c r="S350" s="135"/>
      <c r="T350" s="131"/>
      <c r="U350" s="168">
        <v>20.4</v>
      </c>
      <c r="V350" s="228">
        <f t="shared" si="152"/>
        <v>90.78</v>
      </c>
      <c r="W350" s="168">
        <v>39.8</v>
      </c>
      <c r="X350" s="228">
        <f t="shared" si="153"/>
        <v>177.11</v>
      </c>
      <c r="Y350" s="168">
        <v>3.6</v>
      </c>
      <c r="Z350" s="228">
        <f t="shared" si="154"/>
        <v>16.02</v>
      </c>
      <c r="AA350" s="168">
        <v>32.1</v>
      </c>
      <c r="AB350" s="228">
        <f t="shared" si="155"/>
        <v>142.845</v>
      </c>
      <c r="AC350" s="271">
        <f t="shared" si="156"/>
        <v>4.1</v>
      </c>
      <c r="AD350" s="228">
        <f t="shared" si="157"/>
        <v>18.245</v>
      </c>
      <c r="AE350" s="272" t="s">
        <v>3829</v>
      </c>
      <c r="AF350" s="20" t="s">
        <v>3830</v>
      </c>
      <c r="AG350" s="26">
        <v>43725.0</v>
      </c>
      <c r="AH350" s="20">
        <v>2024.0</v>
      </c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</row>
    <row r="351">
      <c r="A351" s="19">
        <f t="shared" si="33"/>
        <v>350</v>
      </c>
      <c r="B351" s="31" t="s">
        <v>2118</v>
      </c>
      <c r="C351" s="32"/>
      <c r="D351" s="32"/>
      <c r="E351" s="32"/>
      <c r="F351" s="31" t="s">
        <v>3225</v>
      </c>
      <c r="G351" s="31" t="s">
        <v>76</v>
      </c>
      <c r="H351" s="31" t="s">
        <v>43</v>
      </c>
      <c r="I351" s="31" t="s">
        <v>33</v>
      </c>
      <c r="J351" s="92">
        <v>45673.0</v>
      </c>
      <c r="K351" s="31">
        <v>371.0</v>
      </c>
      <c r="L351" s="236" t="s">
        <v>3831</v>
      </c>
      <c r="M351" s="157">
        <v>1854.0</v>
      </c>
      <c r="N351" s="180" t="s">
        <v>3832</v>
      </c>
      <c r="O351" s="32"/>
      <c r="P351" s="32"/>
      <c r="Q351" s="134"/>
      <c r="R351" s="32"/>
      <c r="S351" s="135"/>
      <c r="T351" s="131"/>
      <c r="U351" s="168">
        <v>26.4</v>
      </c>
      <c r="V351" s="228">
        <f t="shared" si="152"/>
        <v>97.944</v>
      </c>
      <c r="W351" s="168">
        <v>70.7</v>
      </c>
      <c r="X351" s="228">
        <f t="shared" si="153"/>
        <v>262.297</v>
      </c>
      <c r="Y351" s="168">
        <v>1.2</v>
      </c>
      <c r="Z351" s="228">
        <f t="shared" si="154"/>
        <v>4.452</v>
      </c>
      <c r="AA351" s="168">
        <v>0.6</v>
      </c>
      <c r="AB351" s="228">
        <f t="shared" si="155"/>
        <v>2.226</v>
      </c>
      <c r="AC351" s="271">
        <f t="shared" si="156"/>
        <v>1.1</v>
      </c>
      <c r="AD351" s="228">
        <f t="shared" si="157"/>
        <v>4.081</v>
      </c>
      <c r="AE351" s="33" t="s">
        <v>3833</v>
      </c>
      <c r="AF351" s="20" t="s">
        <v>3834</v>
      </c>
      <c r="AG351" s="26">
        <v>26800.0</v>
      </c>
      <c r="AH351" s="20">
        <v>2024.0</v>
      </c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</row>
    <row r="352">
      <c r="A352" s="19">
        <f t="shared" si="33"/>
        <v>351</v>
      </c>
      <c r="B352" s="31" t="s">
        <v>3835</v>
      </c>
      <c r="C352" s="32"/>
      <c r="D352" s="32"/>
      <c r="E352" s="32"/>
      <c r="F352" s="31" t="s">
        <v>3836</v>
      </c>
      <c r="G352" s="31" t="s">
        <v>76</v>
      </c>
      <c r="H352" s="31" t="s">
        <v>43</v>
      </c>
      <c r="I352" s="31" t="s">
        <v>33</v>
      </c>
      <c r="J352" s="92">
        <v>45675.0</v>
      </c>
      <c r="K352" s="31">
        <v>149.0</v>
      </c>
      <c r="L352" s="45" t="s">
        <v>3837</v>
      </c>
      <c r="M352" s="273">
        <v>2010.0</v>
      </c>
      <c r="N352" s="180" t="s">
        <v>3838</v>
      </c>
      <c r="O352" s="32"/>
      <c r="P352" s="32"/>
      <c r="Q352" s="134"/>
      <c r="R352" s="32"/>
      <c r="S352" s="132">
        <v>6865.0</v>
      </c>
      <c r="T352" s="45" t="s">
        <v>3839</v>
      </c>
      <c r="U352" s="168">
        <v>4.0</v>
      </c>
      <c r="V352" s="228">
        <f t="shared" si="152"/>
        <v>5.96</v>
      </c>
      <c r="W352" s="168">
        <v>1.0</v>
      </c>
      <c r="X352" s="228">
        <f t="shared" si="153"/>
        <v>1.49</v>
      </c>
      <c r="Y352" s="168">
        <v>4.0</v>
      </c>
      <c r="Z352" s="228">
        <f t="shared" si="154"/>
        <v>5.96</v>
      </c>
      <c r="AA352" s="168">
        <v>84.0</v>
      </c>
      <c r="AB352" s="228">
        <f t="shared" si="155"/>
        <v>125.16</v>
      </c>
      <c r="AC352" s="271">
        <f t="shared" si="156"/>
        <v>7</v>
      </c>
      <c r="AD352" s="228">
        <f t="shared" si="157"/>
        <v>10.43</v>
      </c>
      <c r="AE352" s="45" t="s">
        <v>3837</v>
      </c>
      <c r="AF352" s="20" t="s">
        <v>3840</v>
      </c>
      <c r="AG352" s="26">
        <v>26060.0</v>
      </c>
      <c r="AH352" s="20">
        <v>2024.0</v>
      </c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</row>
    <row r="353">
      <c r="A353" s="19">
        <f t="shared" si="33"/>
        <v>352</v>
      </c>
      <c r="B353" s="31" t="s">
        <v>3841</v>
      </c>
      <c r="C353" s="32"/>
      <c r="D353" s="32"/>
      <c r="E353" s="32"/>
      <c r="F353" s="31" t="s">
        <v>3842</v>
      </c>
      <c r="G353" s="31" t="s">
        <v>91</v>
      </c>
      <c r="H353" s="31" t="s">
        <v>43</v>
      </c>
      <c r="I353" s="31" t="s">
        <v>33</v>
      </c>
      <c r="J353" s="92">
        <v>45675.0</v>
      </c>
      <c r="K353" s="31">
        <v>155.0</v>
      </c>
      <c r="L353" s="33" t="s">
        <v>3843</v>
      </c>
      <c r="M353" s="157">
        <v>1922.0</v>
      </c>
      <c r="N353" s="32"/>
      <c r="O353" s="32"/>
      <c r="P353" s="32"/>
      <c r="Q353" s="134"/>
      <c r="R353" s="32"/>
      <c r="S353" s="132">
        <v>4252.0</v>
      </c>
      <c r="T353" s="152" t="s">
        <v>3844</v>
      </c>
      <c r="U353" s="168">
        <v>9.9</v>
      </c>
      <c r="V353" s="228">
        <f t="shared" si="152"/>
        <v>15.345</v>
      </c>
      <c r="W353" s="168">
        <v>77.8</v>
      </c>
      <c r="X353" s="228">
        <f t="shared" si="153"/>
        <v>120.59</v>
      </c>
      <c r="Y353" s="168">
        <v>0.5</v>
      </c>
      <c r="Z353" s="228">
        <f t="shared" si="154"/>
        <v>0.775</v>
      </c>
      <c r="AA353" s="168">
        <v>2.5</v>
      </c>
      <c r="AB353" s="228">
        <f t="shared" si="155"/>
        <v>3.875</v>
      </c>
      <c r="AC353" s="271">
        <f t="shared" si="156"/>
        <v>9.3</v>
      </c>
      <c r="AD353" s="228">
        <f t="shared" si="157"/>
        <v>14.415</v>
      </c>
      <c r="AE353" s="180" t="s">
        <v>3845</v>
      </c>
      <c r="AF353" s="20" t="s">
        <v>3846</v>
      </c>
      <c r="AG353" s="26">
        <v>59059.0</v>
      </c>
      <c r="AH353" s="20">
        <v>2024.0</v>
      </c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</row>
    <row r="354">
      <c r="A354" s="19">
        <f t="shared" si="33"/>
        <v>353</v>
      </c>
      <c r="B354" s="31" t="s">
        <v>3847</v>
      </c>
      <c r="C354" s="32"/>
      <c r="D354" s="32"/>
      <c r="E354" s="32"/>
      <c r="F354" s="31" t="s">
        <v>3848</v>
      </c>
      <c r="G354" s="31" t="s">
        <v>1306</v>
      </c>
      <c r="H354" s="31" t="s">
        <v>32</v>
      </c>
      <c r="I354" s="31" t="s">
        <v>237</v>
      </c>
      <c r="J354" s="92">
        <v>45692.0</v>
      </c>
      <c r="K354" s="31">
        <v>75.0</v>
      </c>
      <c r="L354" s="45" t="s">
        <v>3849</v>
      </c>
      <c r="M354" s="156"/>
      <c r="N354" s="236"/>
      <c r="O354" s="32"/>
      <c r="P354" s="45" t="s">
        <v>3850</v>
      </c>
      <c r="Q354" s="134"/>
      <c r="R354" s="32"/>
      <c r="S354" s="135"/>
      <c r="T354" s="131"/>
      <c r="U354" s="168">
        <v>13.5</v>
      </c>
      <c r="V354" s="228">
        <f t="shared" si="152"/>
        <v>10.125</v>
      </c>
      <c r="W354" s="168">
        <v>2.7</v>
      </c>
      <c r="X354" s="228">
        <f t="shared" si="153"/>
        <v>2.025</v>
      </c>
      <c r="Y354" s="168">
        <v>0.0</v>
      </c>
      <c r="Z354" s="228">
        <f t="shared" si="154"/>
        <v>0</v>
      </c>
      <c r="AA354" s="168">
        <v>81.1</v>
      </c>
      <c r="AB354" s="228">
        <f t="shared" si="155"/>
        <v>60.825</v>
      </c>
      <c r="AC354" s="271">
        <f t="shared" si="156"/>
        <v>2.7</v>
      </c>
      <c r="AD354" s="228">
        <f t="shared" si="157"/>
        <v>2.025</v>
      </c>
      <c r="AE354" s="45" t="s">
        <v>3849</v>
      </c>
      <c r="AF354" s="20" t="s">
        <v>3851</v>
      </c>
      <c r="AG354" s="85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</row>
    <row r="355">
      <c r="A355" s="19">
        <f t="shared" si="33"/>
        <v>354</v>
      </c>
      <c r="B355" s="31" t="s">
        <v>3852</v>
      </c>
      <c r="C355" s="32"/>
      <c r="D355" s="32"/>
      <c r="E355" s="32"/>
      <c r="F355" s="31" t="s">
        <v>3853</v>
      </c>
      <c r="G355" s="31" t="s">
        <v>115</v>
      </c>
      <c r="H355" s="31" t="s">
        <v>32</v>
      </c>
      <c r="I355" s="31" t="s">
        <v>719</v>
      </c>
      <c r="J355" s="92">
        <v>45701.0</v>
      </c>
      <c r="K355" s="31">
        <v>1030.0</v>
      </c>
      <c r="L355" s="33" t="s">
        <v>3854</v>
      </c>
      <c r="M355" s="157">
        <v>2016.0</v>
      </c>
      <c r="N355" s="32"/>
      <c r="O355" s="32"/>
      <c r="P355" s="32"/>
      <c r="Q355" s="134"/>
      <c r="R355" s="32"/>
      <c r="S355" s="135"/>
      <c r="T355" s="131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32"/>
      <c r="AF355" s="20" t="s">
        <v>3855</v>
      </c>
      <c r="AG355" s="26">
        <v>219273.0</v>
      </c>
      <c r="AH355" s="20">
        <v>2024.0</v>
      </c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</row>
    <row r="356">
      <c r="A356" s="19">
        <f t="shared" si="33"/>
        <v>355</v>
      </c>
      <c r="B356" s="31" t="s">
        <v>3856</v>
      </c>
      <c r="C356" s="32"/>
      <c r="D356" s="32"/>
      <c r="E356" s="32"/>
      <c r="F356" s="31" t="s">
        <v>3225</v>
      </c>
      <c r="G356" s="31" t="s">
        <v>76</v>
      </c>
      <c r="H356" s="31" t="s">
        <v>43</v>
      </c>
      <c r="I356" s="31" t="s">
        <v>33</v>
      </c>
      <c r="J356" s="92">
        <v>45702.0</v>
      </c>
      <c r="K356" s="31">
        <v>150.0</v>
      </c>
      <c r="L356" s="33" t="s">
        <v>3857</v>
      </c>
      <c r="M356" s="156"/>
      <c r="N356" s="32"/>
      <c r="O356" s="32"/>
      <c r="P356" s="32"/>
      <c r="Q356" s="134"/>
      <c r="R356" s="32"/>
      <c r="S356" s="132">
        <v>5200.0</v>
      </c>
      <c r="T356" s="45" t="s">
        <v>3858</v>
      </c>
      <c r="U356" s="168">
        <v>9.8</v>
      </c>
      <c r="V356" s="228">
        <f t="shared" ref="V356:V360" si="158">(U356*$K356)/100</f>
        <v>14.7</v>
      </c>
      <c r="W356" s="168">
        <v>74.0</v>
      </c>
      <c r="X356" s="228">
        <f t="shared" ref="X356:X360" si="159">(W356*$K356)/100</f>
        <v>111</v>
      </c>
      <c r="Y356" s="168">
        <v>3.9</v>
      </c>
      <c r="Z356" s="228">
        <f t="shared" ref="Z356:Z360" si="160">(Y356*$K356)/100</f>
        <v>5.85</v>
      </c>
      <c r="AA356" s="168">
        <v>4.4</v>
      </c>
      <c r="AB356" s="228">
        <f t="shared" ref="AB356:AB360" si="161">(AA356*$K356)/100</f>
        <v>6.6</v>
      </c>
      <c r="AC356" s="271">
        <f t="shared" ref="AC356:AC360" si="162">100-(U356+W356+Y356+AA356)</f>
        <v>7.9</v>
      </c>
      <c r="AD356" s="228">
        <f t="shared" ref="AD356:AD360" si="163">(AC356*$K356)/100</f>
        <v>11.85</v>
      </c>
      <c r="AE356" s="32"/>
      <c r="AF356" s="20" t="s">
        <v>3859</v>
      </c>
      <c r="AG356" s="26">
        <v>45549.0</v>
      </c>
      <c r="AH356" s="20">
        <v>2024.0</v>
      </c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</row>
    <row r="357">
      <c r="A357" s="19">
        <f t="shared" si="33"/>
        <v>356</v>
      </c>
      <c r="B357" s="31" t="s">
        <v>3860</v>
      </c>
      <c r="C357" s="31"/>
      <c r="D357" s="32"/>
      <c r="E357" s="32"/>
      <c r="F357" s="31" t="s">
        <v>3225</v>
      </c>
      <c r="G357" s="31" t="s">
        <v>76</v>
      </c>
      <c r="H357" s="31" t="s">
        <v>43</v>
      </c>
      <c r="I357" s="31" t="s">
        <v>33</v>
      </c>
      <c r="J357" s="92">
        <v>45702.0</v>
      </c>
      <c r="K357" s="31">
        <v>325.0</v>
      </c>
      <c r="L357" s="33" t="s">
        <v>3861</v>
      </c>
      <c r="M357" s="156"/>
      <c r="N357" s="32"/>
      <c r="O357" s="32"/>
      <c r="P357" s="32"/>
      <c r="Q357" s="134"/>
      <c r="R357" s="32"/>
      <c r="S357" s="132">
        <v>6450.0</v>
      </c>
      <c r="T357" s="45" t="s">
        <v>3862</v>
      </c>
      <c r="U357" s="168">
        <v>20.2</v>
      </c>
      <c r="V357" s="228">
        <f t="shared" si="158"/>
        <v>65.65</v>
      </c>
      <c r="W357" s="168">
        <v>58.6</v>
      </c>
      <c r="X357" s="228">
        <f t="shared" si="159"/>
        <v>190.45</v>
      </c>
      <c r="Y357" s="168">
        <v>13.7</v>
      </c>
      <c r="Z357" s="228">
        <f t="shared" si="160"/>
        <v>44.525</v>
      </c>
      <c r="AA357" s="168">
        <v>6.5</v>
      </c>
      <c r="AB357" s="228">
        <f t="shared" si="161"/>
        <v>21.125</v>
      </c>
      <c r="AC357" s="271">
        <f t="shared" si="162"/>
        <v>1</v>
      </c>
      <c r="AD357" s="228">
        <f t="shared" si="163"/>
        <v>3.25</v>
      </c>
      <c r="AE357" s="45" t="s">
        <v>3863</v>
      </c>
      <c r="AF357" s="20" t="s">
        <v>3864</v>
      </c>
      <c r="AG357" s="26">
        <v>49737.0</v>
      </c>
      <c r="AH357" s="20">
        <v>2024.0</v>
      </c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</row>
    <row r="358">
      <c r="A358" s="19">
        <f t="shared" si="33"/>
        <v>357</v>
      </c>
      <c r="B358" s="31" t="s">
        <v>3865</v>
      </c>
      <c r="C358" s="32"/>
      <c r="D358" s="32"/>
      <c r="E358" s="32"/>
      <c r="F358" s="31" t="s">
        <v>1337</v>
      </c>
      <c r="G358" s="31" t="s">
        <v>76</v>
      </c>
      <c r="H358" s="31" t="s">
        <v>43</v>
      </c>
      <c r="I358" s="31" t="s">
        <v>33</v>
      </c>
      <c r="J358" s="92">
        <v>45702.0</v>
      </c>
      <c r="K358" s="31">
        <v>277.0</v>
      </c>
      <c r="L358" s="45" t="s">
        <v>3866</v>
      </c>
      <c r="M358" s="156"/>
      <c r="N358" s="32"/>
      <c r="O358" s="32"/>
      <c r="P358" s="32"/>
      <c r="Q358" s="134"/>
      <c r="R358" s="32"/>
      <c r="S358" s="132">
        <v>4450.0</v>
      </c>
      <c r="T358" s="45" t="s">
        <v>3867</v>
      </c>
      <c r="U358" s="168">
        <v>94.4</v>
      </c>
      <c r="V358" s="228">
        <f t="shared" si="158"/>
        <v>261.488</v>
      </c>
      <c r="W358" s="168">
        <v>4.1</v>
      </c>
      <c r="X358" s="228">
        <f t="shared" si="159"/>
        <v>11.357</v>
      </c>
      <c r="Y358" s="168">
        <v>0.0</v>
      </c>
      <c r="Z358" s="228">
        <f t="shared" si="160"/>
        <v>0</v>
      </c>
      <c r="AA358" s="168">
        <v>0.0</v>
      </c>
      <c r="AB358" s="228">
        <f t="shared" si="161"/>
        <v>0</v>
      </c>
      <c r="AC358" s="271">
        <f t="shared" si="162"/>
        <v>1.5</v>
      </c>
      <c r="AD358" s="228">
        <f t="shared" si="163"/>
        <v>4.155</v>
      </c>
      <c r="AE358" s="45" t="s">
        <v>3868</v>
      </c>
      <c r="AF358" s="20" t="s">
        <v>3869</v>
      </c>
      <c r="AG358" s="26">
        <v>121669.0</v>
      </c>
      <c r="AH358" s="20">
        <v>2024.0</v>
      </c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</row>
    <row r="359">
      <c r="A359" s="19">
        <f t="shared" si="33"/>
        <v>358</v>
      </c>
      <c r="B359" s="31" t="s">
        <v>2418</v>
      </c>
      <c r="C359" s="139"/>
      <c r="D359" s="32"/>
      <c r="E359" s="32"/>
      <c r="F359" s="31" t="s">
        <v>3870</v>
      </c>
      <c r="G359" s="31" t="s">
        <v>91</v>
      </c>
      <c r="H359" s="31" t="s">
        <v>43</v>
      </c>
      <c r="I359" s="31" t="s">
        <v>33</v>
      </c>
      <c r="J359" s="92">
        <v>45702.0</v>
      </c>
      <c r="K359" s="31">
        <v>178.0</v>
      </c>
      <c r="L359" s="45" t="s">
        <v>3871</v>
      </c>
      <c r="M359" s="157">
        <v>1939.0</v>
      </c>
      <c r="N359" s="32"/>
      <c r="O359" s="32"/>
      <c r="P359" s="32"/>
      <c r="Q359" s="134"/>
      <c r="R359" s="32"/>
      <c r="S359" s="135"/>
      <c r="T359" s="131"/>
      <c r="U359" s="168">
        <v>6.0</v>
      </c>
      <c r="V359" s="228">
        <f t="shared" si="158"/>
        <v>10.68</v>
      </c>
      <c r="W359" s="168">
        <v>4.6</v>
      </c>
      <c r="X359" s="228">
        <f t="shared" si="159"/>
        <v>8.188</v>
      </c>
      <c r="Y359" s="168">
        <v>1.4</v>
      </c>
      <c r="Z359" s="228">
        <f t="shared" si="160"/>
        <v>2.492</v>
      </c>
      <c r="AA359" s="168">
        <v>78.7</v>
      </c>
      <c r="AB359" s="228">
        <f t="shared" si="161"/>
        <v>140.086</v>
      </c>
      <c r="AC359" s="271">
        <f t="shared" si="162"/>
        <v>9.3</v>
      </c>
      <c r="AD359" s="228">
        <f t="shared" si="163"/>
        <v>16.554</v>
      </c>
      <c r="AE359" s="236" t="s">
        <v>3872</v>
      </c>
      <c r="AF359" s="20" t="s">
        <v>3873</v>
      </c>
      <c r="AG359" s="26">
        <v>58226.0</v>
      </c>
      <c r="AH359" s="20">
        <v>2024.0</v>
      </c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</row>
    <row r="360" ht="87.0" customHeight="1">
      <c r="A360" s="19">
        <f t="shared" si="33"/>
        <v>359</v>
      </c>
      <c r="B360" s="31" t="s">
        <v>2370</v>
      </c>
      <c r="C360" s="32"/>
      <c r="D360" s="32"/>
      <c r="E360" s="139"/>
      <c r="F360" s="31" t="s">
        <v>3874</v>
      </c>
      <c r="G360" s="31" t="s">
        <v>740</v>
      </c>
      <c r="H360" s="31" t="s">
        <v>43</v>
      </c>
      <c r="I360" s="31" t="s">
        <v>33</v>
      </c>
      <c r="J360" s="92">
        <v>45709.0</v>
      </c>
      <c r="K360" s="31">
        <v>106.0</v>
      </c>
      <c r="L360" s="45" t="s">
        <v>3875</v>
      </c>
      <c r="M360" s="157">
        <v>1917.0</v>
      </c>
      <c r="N360" s="32"/>
      <c r="O360" s="32"/>
      <c r="P360" s="32"/>
      <c r="Q360" s="134"/>
      <c r="R360" s="32"/>
      <c r="S360" s="132">
        <v>5200.0</v>
      </c>
      <c r="T360" s="152" t="s">
        <v>3876</v>
      </c>
      <c r="U360" s="168">
        <v>9.4</v>
      </c>
      <c r="V360" s="228">
        <f t="shared" si="158"/>
        <v>9.964</v>
      </c>
      <c r="W360" s="168">
        <v>7.8</v>
      </c>
      <c r="X360" s="228">
        <f t="shared" si="159"/>
        <v>8.268</v>
      </c>
      <c r="Y360" s="168">
        <v>10.9</v>
      </c>
      <c r="Z360" s="228">
        <f t="shared" si="160"/>
        <v>11.554</v>
      </c>
      <c r="AA360" s="168">
        <v>71.9</v>
      </c>
      <c r="AB360" s="228">
        <f t="shared" si="161"/>
        <v>76.214</v>
      </c>
      <c r="AC360" s="271">
        <f t="shared" si="162"/>
        <v>0</v>
      </c>
      <c r="AD360" s="228">
        <f t="shared" si="163"/>
        <v>0</v>
      </c>
      <c r="AE360" s="45" t="s">
        <v>3877</v>
      </c>
      <c r="AF360" s="20" t="s">
        <v>3878</v>
      </c>
      <c r="AG360" s="26">
        <v>92790.0</v>
      </c>
      <c r="AH360" s="20">
        <v>2024.0</v>
      </c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</row>
    <row r="361">
      <c r="A361" s="19">
        <f t="shared" si="33"/>
        <v>360</v>
      </c>
      <c r="B361" s="31" t="s">
        <v>3879</v>
      </c>
      <c r="C361" s="32"/>
      <c r="D361" s="32"/>
      <c r="E361" s="32"/>
      <c r="F361" s="31" t="s">
        <v>3880</v>
      </c>
      <c r="G361" s="31" t="s">
        <v>122</v>
      </c>
      <c r="H361" s="31" t="s">
        <v>32</v>
      </c>
      <c r="I361" s="31" t="s">
        <v>33</v>
      </c>
      <c r="J361" s="92">
        <v>45705.0</v>
      </c>
      <c r="K361" s="31">
        <v>30.0</v>
      </c>
      <c r="L361" s="45" t="s">
        <v>3881</v>
      </c>
      <c r="M361" s="157">
        <v>1924.0</v>
      </c>
      <c r="N361" s="32"/>
      <c r="O361" s="32"/>
      <c r="P361" s="32"/>
      <c r="Q361" s="134"/>
      <c r="R361" s="32"/>
      <c r="S361" s="132">
        <v>4400.0</v>
      </c>
      <c r="T361" s="131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32"/>
      <c r="AF361" s="20" t="s">
        <v>3882</v>
      </c>
      <c r="AG361" s="26">
        <v>49605.0</v>
      </c>
      <c r="AH361" s="20">
        <v>2024.0</v>
      </c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</row>
    <row r="362">
      <c r="A362" s="19">
        <f t="shared" si="33"/>
        <v>361</v>
      </c>
      <c r="B362" s="31" t="s">
        <v>3883</v>
      </c>
      <c r="C362" s="32"/>
      <c r="D362" s="31" t="s">
        <v>1142</v>
      </c>
      <c r="E362" s="31" t="s">
        <v>1402</v>
      </c>
      <c r="F362" s="31" t="s">
        <v>3884</v>
      </c>
      <c r="G362" s="31" t="s">
        <v>76</v>
      </c>
      <c r="H362" s="31" t="s">
        <v>43</v>
      </c>
      <c r="I362" s="31" t="s">
        <v>33</v>
      </c>
      <c r="J362" s="92">
        <v>45715.0</v>
      </c>
      <c r="K362" s="31">
        <v>270.0</v>
      </c>
      <c r="L362" s="45" t="s">
        <v>3885</v>
      </c>
      <c r="M362" s="156"/>
      <c r="N362" s="32"/>
      <c r="O362" s="32"/>
      <c r="P362" s="32"/>
      <c r="Q362" s="134"/>
      <c r="R362" s="32"/>
      <c r="S362" s="135"/>
      <c r="T362" s="131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32"/>
      <c r="AF362" s="27"/>
      <c r="AG362" s="85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</row>
    <row r="363">
      <c r="A363" s="19">
        <f t="shared" si="33"/>
        <v>362</v>
      </c>
      <c r="B363" s="31" t="s">
        <v>3886</v>
      </c>
      <c r="C363" s="32"/>
      <c r="D363" s="31" t="s">
        <v>1142</v>
      </c>
      <c r="E363" s="31" t="s">
        <v>1402</v>
      </c>
      <c r="F363" s="31" t="s">
        <v>1404</v>
      </c>
      <c r="G363" s="31" t="s">
        <v>76</v>
      </c>
      <c r="H363" s="31" t="s">
        <v>43</v>
      </c>
      <c r="I363" s="31" t="s">
        <v>33</v>
      </c>
      <c r="J363" s="92">
        <v>45715.0</v>
      </c>
      <c r="K363" s="31">
        <v>250.0</v>
      </c>
      <c r="L363" s="45" t="s">
        <v>3887</v>
      </c>
      <c r="M363" s="157">
        <v>1963.0</v>
      </c>
      <c r="N363" s="33" t="s">
        <v>3888</v>
      </c>
      <c r="O363" s="32"/>
      <c r="P363" s="32"/>
      <c r="Q363" s="134"/>
      <c r="R363" s="32"/>
      <c r="S363" s="132"/>
      <c r="T363" s="131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32"/>
      <c r="AF363" s="20"/>
      <c r="AG363" s="26"/>
      <c r="AH363" s="20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</row>
    <row r="364">
      <c r="A364" s="19">
        <f t="shared" si="33"/>
        <v>363</v>
      </c>
      <c r="B364" s="31" t="s">
        <v>3889</v>
      </c>
      <c r="C364" s="32"/>
      <c r="D364" s="32"/>
      <c r="E364" s="32"/>
      <c r="F364" s="31" t="s">
        <v>171</v>
      </c>
      <c r="G364" s="31" t="s">
        <v>91</v>
      </c>
      <c r="H364" s="31" t="s">
        <v>43</v>
      </c>
      <c r="I364" s="31" t="s">
        <v>33</v>
      </c>
      <c r="J364" s="92">
        <v>45730.0</v>
      </c>
      <c r="K364" s="31">
        <v>36.0</v>
      </c>
      <c r="L364" s="33" t="s">
        <v>3890</v>
      </c>
      <c r="M364" s="157">
        <v>1899.0</v>
      </c>
      <c r="N364" s="32"/>
      <c r="O364" s="32"/>
      <c r="P364" s="32"/>
      <c r="Q364" s="134"/>
      <c r="R364" s="32"/>
      <c r="S364" s="132">
        <v>1800.0</v>
      </c>
      <c r="T364" s="131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32"/>
      <c r="AF364" s="20" t="s">
        <v>3891</v>
      </c>
      <c r="AG364" s="26">
        <v>86683.0</v>
      </c>
      <c r="AH364" s="20">
        <v>2024.0</v>
      </c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</row>
    <row r="365">
      <c r="A365" s="19">
        <f t="shared" si="33"/>
        <v>364</v>
      </c>
      <c r="B365" s="31" t="s">
        <v>39</v>
      </c>
      <c r="C365" s="32"/>
      <c r="D365" s="32"/>
      <c r="E365" s="32"/>
      <c r="F365" s="31" t="s">
        <v>3008</v>
      </c>
      <c r="G365" s="31" t="s">
        <v>76</v>
      </c>
      <c r="H365" s="31" t="s">
        <v>43</v>
      </c>
      <c r="I365" s="31" t="s">
        <v>33</v>
      </c>
      <c r="J365" s="92">
        <v>45730.0</v>
      </c>
      <c r="K365" s="31">
        <v>179.0</v>
      </c>
      <c r="L365" s="33" t="s">
        <v>3892</v>
      </c>
      <c r="M365" s="157">
        <v>1959.0</v>
      </c>
      <c r="N365" s="32"/>
      <c r="O365" s="32"/>
      <c r="P365" s="32"/>
      <c r="Q365" s="134"/>
      <c r="R365" s="32"/>
      <c r="S365" s="132">
        <v>6400.0</v>
      </c>
      <c r="T365" s="131"/>
      <c r="U365" s="168">
        <v>22.0</v>
      </c>
      <c r="V365" s="228">
        <f t="shared" ref="V365:V368" si="164">(U365*$K365)/100</f>
        <v>39.38</v>
      </c>
      <c r="W365" s="168">
        <v>7.5</v>
      </c>
      <c r="X365" s="228">
        <f t="shared" ref="X365:X368" si="165">(W365*$K365)/100</f>
        <v>13.425</v>
      </c>
      <c r="Y365" s="168">
        <v>1.5</v>
      </c>
      <c r="Z365" s="228">
        <f t="shared" ref="Z365:Z368" si="166">(Y365*$K365)/100</f>
        <v>2.685</v>
      </c>
      <c r="AA365" s="168">
        <v>40.5</v>
      </c>
      <c r="AB365" s="228">
        <f t="shared" ref="AB365:AB368" si="167">(AA365*$K365)/100</f>
        <v>72.495</v>
      </c>
      <c r="AC365" s="271">
        <f t="shared" ref="AC365:AC368" si="168">100-(U365+W365+Y365+AA365)</f>
        <v>28.5</v>
      </c>
      <c r="AD365" s="228">
        <f t="shared" ref="AD365:AD368" si="169">(AC365*$K365)/100</f>
        <v>51.015</v>
      </c>
      <c r="AE365" s="32"/>
      <c r="AF365" s="20" t="s">
        <v>3893</v>
      </c>
      <c r="AG365" s="26">
        <v>119060.0</v>
      </c>
      <c r="AH365" s="20">
        <v>2024.0</v>
      </c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</row>
    <row r="366">
      <c r="A366" s="19">
        <f t="shared" si="33"/>
        <v>365</v>
      </c>
      <c r="B366" s="31" t="s">
        <v>3894</v>
      </c>
      <c r="C366" s="32"/>
      <c r="D366" s="32"/>
      <c r="E366" s="32"/>
      <c r="F366" s="31" t="s">
        <v>3108</v>
      </c>
      <c r="G366" s="31" t="s">
        <v>122</v>
      </c>
      <c r="H366" s="31" t="s">
        <v>32</v>
      </c>
      <c r="I366" s="31" t="s">
        <v>33</v>
      </c>
      <c r="J366" s="92">
        <v>45742.0</v>
      </c>
      <c r="K366" s="31">
        <v>100.0</v>
      </c>
      <c r="L366" s="45" t="s">
        <v>3895</v>
      </c>
      <c r="M366" s="157">
        <v>1953.0</v>
      </c>
      <c r="N366" s="32"/>
      <c r="O366" s="32"/>
      <c r="P366" s="32"/>
      <c r="Q366" s="134"/>
      <c r="R366" s="32"/>
      <c r="S366" s="135"/>
      <c r="T366" s="131"/>
      <c r="U366" s="168">
        <v>0.0</v>
      </c>
      <c r="V366" s="228">
        <f t="shared" si="164"/>
        <v>0</v>
      </c>
      <c r="W366" s="168">
        <v>95.6</v>
      </c>
      <c r="X366" s="228">
        <f t="shared" si="165"/>
        <v>95.6</v>
      </c>
      <c r="Y366" s="168">
        <v>0.0</v>
      </c>
      <c r="Z366" s="228">
        <f t="shared" si="166"/>
        <v>0</v>
      </c>
      <c r="AA366" s="168">
        <v>3.0</v>
      </c>
      <c r="AB366" s="228">
        <f t="shared" si="167"/>
        <v>3</v>
      </c>
      <c r="AC366" s="271">
        <f t="shared" si="168"/>
        <v>1.4</v>
      </c>
      <c r="AD366" s="228">
        <f t="shared" si="169"/>
        <v>1.4</v>
      </c>
      <c r="AE366" s="180" t="s">
        <v>3896</v>
      </c>
      <c r="AF366" s="20" t="s">
        <v>3897</v>
      </c>
      <c r="AG366" s="26">
        <v>45230.0</v>
      </c>
      <c r="AH366" s="20">
        <v>2024.0</v>
      </c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</row>
    <row r="367">
      <c r="A367" s="19">
        <f t="shared" si="33"/>
        <v>366</v>
      </c>
      <c r="B367" s="31" t="s">
        <v>3898</v>
      </c>
      <c r="C367" s="32"/>
      <c r="D367" s="32"/>
      <c r="E367" s="32"/>
      <c r="F367" s="31" t="s">
        <v>3899</v>
      </c>
      <c r="G367" s="31" t="s">
        <v>1306</v>
      </c>
      <c r="H367" s="31" t="s">
        <v>32</v>
      </c>
      <c r="I367" s="31" t="s">
        <v>68</v>
      </c>
      <c r="J367" s="92">
        <v>45744.0</v>
      </c>
      <c r="K367" s="31">
        <v>218.0</v>
      </c>
      <c r="L367" s="45" t="s">
        <v>3900</v>
      </c>
      <c r="M367" s="157">
        <v>1970.0</v>
      </c>
      <c r="N367" s="32"/>
      <c r="O367" s="32"/>
      <c r="P367" s="32"/>
      <c r="Q367" s="134"/>
      <c r="R367" s="32"/>
      <c r="S367" s="132">
        <v>4260.0</v>
      </c>
      <c r="T367" s="152" t="s">
        <v>3901</v>
      </c>
      <c r="U367" s="168">
        <v>6.4</v>
      </c>
      <c r="V367" s="228">
        <f t="shared" si="164"/>
        <v>13.952</v>
      </c>
      <c r="W367" s="168">
        <v>6.9</v>
      </c>
      <c r="X367" s="228">
        <f t="shared" si="165"/>
        <v>15.042</v>
      </c>
      <c r="Y367" s="168">
        <v>0.0</v>
      </c>
      <c r="Z367" s="228">
        <f t="shared" si="166"/>
        <v>0</v>
      </c>
      <c r="AA367" s="168">
        <v>60.6</v>
      </c>
      <c r="AB367" s="228">
        <f t="shared" si="167"/>
        <v>132.108</v>
      </c>
      <c r="AC367" s="271">
        <f t="shared" si="168"/>
        <v>26.1</v>
      </c>
      <c r="AD367" s="228">
        <f t="shared" si="169"/>
        <v>56.898</v>
      </c>
      <c r="AE367" s="180" t="s">
        <v>3902</v>
      </c>
      <c r="AF367" s="20" t="s">
        <v>3903</v>
      </c>
      <c r="AG367" s="26">
        <v>89489.0</v>
      </c>
      <c r="AH367" s="20">
        <v>2024.0</v>
      </c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</row>
    <row r="368">
      <c r="A368" s="19">
        <f t="shared" si="33"/>
        <v>367</v>
      </c>
      <c r="B368" s="31" t="s">
        <v>3904</v>
      </c>
      <c r="C368" s="32"/>
      <c r="D368" s="32"/>
      <c r="E368" s="32"/>
      <c r="F368" s="31" t="s">
        <v>2824</v>
      </c>
      <c r="G368" s="31" t="s">
        <v>66</v>
      </c>
      <c r="H368" s="31" t="s">
        <v>32</v>
      </c>
      <c r="I368" s="31" t="s">
        <v>33</v>
      </c>
      <c r="J368" s="92">
        <v>45743.0</v>
      </c>
      <c r="K368" s="31">
        <v>70.0</v>
      </c>
      <c r="L368" s="45" t="s">
        <v>3905</v>
      </c>
      <c r="M368" s="157">
        <v>1960.0</v>
      </c>
      <c r="N368" s="32"/>
      <c r="O368" s="32"/>
      <c r="P368" s="32"/>
      <c r="Q368" s="134"/>
      <c r="R368" s="32"/>
      <c r="S368" s="132">
        <v>6680.0</v>
      </c>
      <c r="T368" s="45" t="s">
        <v>3906</v>
      </c>
      <c r="U368" s="168">
        <v>2.4</v>
      </c>
      <c r="V368" s="228">
        <f t="shared" si="164"/>
        <v>1.68</v>
      </c>
      <c r="W368" s="168">
        <v>3.2</v>
      </c>
      <c r="X368" s="228">
        <f t="shared" si="165"/>
        <v>2.24</v>
      </c>
      <c r="Y368" s="168">
        <v>0.0</v>
      </c>
      <c r="Z368" s="228">
        <f t="shared" si="166"/>
        <v>0</v>
      </c>
      <c r="AA368" s="168">
        <v>92.1</v>
      </c>
      <c r="AB368" s="228">
        <f t="shared" si="167"/>
        <v>64.47</v>
      </c>
      <c r="AC368" s="271">
        <f t="shared" si="168"/>
        <v>2.3</v>
      </c>
      <c r="AD368" s="228">
        <f t="shared" si="169"/>
        <v>1.61</v>
      </c>
      <c r="AE368" s="180" t="s">
        <v>3907</v>
      </c>
      <c r="AF368" s="20" t="s">
        <v>3908</v>
      </c>
      <c r="AG368" s="26">
        <v>110145.0</v>
      </c>
      <c r="AH368" s="20">
        <v>2024.0</v>
      </c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</row>
    <row r="369">
      <c r="A369" s="19">
        <f t="shared" si="33"/>
        <v>368</v>
      </c>
      <c r="B369" s="31" t="s">
        <v>3909</v>
      </c>
      <c r="C369" s="32"/>
      <c r="D369" s="32"/>
      <c r="E369" s="32"/>
      <c r="F369" s="31" t="s">
        <v>90</v>
      </c>
      <c r="G369" s="31" t="s">
        <v>91</v>
      </c>
      <c r="H369" s="31" t="s">
        <v>43</v>
      </c>
      <c r="I369" s="31" t="s">
        <v>33</v>
      </c>
      <c r="J369" s="92">
        <v>45751.0</v>
      </c>
      <c r="K369" s="31">
        <v>102.0</v>
      </c>
      <c r="L369" s="45" t="s">
        <v>3910</v>
      </c>
      <c r="M369" s="157">
        <v>1991.0</v>
      </c>
      <c r="N369" s="32"/>
      <c r="O369" s="32"/>
      <c r="P369" s="32"/>
      <c r="Q369" s="134"/>
      <c r="R369" s="32"/>
      <c r="S369" s="135"/>
      <c r="T369" s="131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32"/>
      <c r="AF369" s="20" t="s">
        <v>3911</v>
      </c>
      <c r="AG369" s="26">
        <v>91549.0</v>
      </c>
      <c r="AH369" s="20">
        <v>2024.0</v>
      </c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</row>
    <row r="370">
      <c r="A370" s="19">
        <f t="shared" si="33"/>
        <v>369</v>
      </c>
      <c r="B370" s="31" t="s">
        <v>3912</v>
      </c>
      <c r="C370" s="32"/>
      <c r="D370" s="32"/>
      <c r="E370" s="32"/>
      <c r="F370" s="31" t="s">
        <v>3913</v>
      </c>
      <c r="G370" s="31" t="s">
        <v>52</v>
      </c>
      <c r="H370" s="31" t="s">
        <v>22</v>
      </c>
      <c r="I370" s="31" t="s">
        <v>68</v>
      </c>
      <c r="J370" s="92">
        <v>45750.0</v>
      </c>
      <c r="K370" s="31">
        <v>281.0</v>
      </c>
      <c r="L370" s="45" t="s">
        <v>3914</v>
      </c>
      <c r="M370" s="156"/>
      <c r="N370" s="32"/>
      <c r="O370" s="32"/>
      <c r="P370" s="32"/>
      <c r="Q370" s="134"/>
      <c r="R370" s="32"/>
      <c r="S370" s="132">
        <v>13200.0</v>
      </c>
      <c r="T370" s="45" t="s">
        <v>3915</v>
      </c>
      <c r="U370" s="168">
        <v>5.7</v>
      </c>
      <c r="V370" s="228">
        <f>(U370*$K370)/100</f>
        <v>16.017</v>
      </c>
      <c r="W370" s="168">
        <v>3.6</v>
      </c>
      <c r="X370" s="228">
        <f>(W370*$K370)/100</f>
        <v>10.116</v>
      </c>
      <c r="Y370" s="168">
        <v>5.7</v>
      </c>
      <c r="Z370" s="228">
        <f>(Y370*$K370)/100</f>
        <v>16.017</v>
      </c>
      <c r="AA370" s="168">
        <v>65.8</v>
      </c>
      <c r="AB370" s="228">
        <f>(AA370*$K370)/100</f>
        <v>184.898</v>
      </c>
      <c r="AC370" s="271">
        <f>100-(U370+W370+Y370+AA370)</f>
        <v>19.2</v>
      </c>
      <c r="AD370" s="228">
        <f>(AC370*$K370)/100</f>
        <v>53.952</v>
      </c>
      <c r="AE370" s="32"/>
      <c r="AF370" s="20" t="s">
        <v>3916</v>
      </c>
      <c r="AG370" s="26">
        <v>86078.0</v>
      </c>
      <c r="AH370" s="20">
        <v>2024.0</v>
      </c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>
      <c r="A371" s="19">
        <f t="shared" si="33"/>
        <v>370</v>
      </c>
      <c r="B371" s="31" t="s">
        <v>3917</v>
      </c>
      <c r="C371" s="32"/>
      <c r="D371" s="32"/>
      <c r="E371" s="32"/>
      <c r="F371" s="31" t="s">
        <v>3918</v>
      </c>
      <c r="G371" s="31" t="s">
        <v>100</v>
      </c>
      <c r="H371" s="31" t="s">
        <v>43</v>
      </c>
      <c r="I371" s="31" t="s">
        <v>33</v>
      </c>
      <c r="J371" s="92">
        <v>45754.0</v>
      </c>
      <c r="K371" s="31">
        <v>39.0</v>
      </c>
      <c r="L371" s="45" t="s">
        <v>3919</v>
      </c>
      <c r="M371" s="157">
        <v>1960.0</v>
      </c>
      <c r="N371" s="32"/>
      <c r="O371" s="32"/>
      <c r="P371" s="32"/>
      <c r="Q371" s="134"/>
      <c r="R371" s="32"/>
      <c r="S371" s="132">
        <v>6875.0</v>
      </c>
      <c r="T371" s="45" t="s">
        <v>3920</v>
      </c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32"/>
      <c r="AF371" s="20" t="s">
        <v>3921</v>
      </c>
      <c r="AG371" s="26">
        <v>118478.0</v>
      </c>
      <c r="AH371" s="20">
        <v>2024.0</v>
      </c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>
      <c r="A372" s="19">
        <f t="shared" si="33"/>
        <v>371</v>
      </c>
      <c r="B372" s="31" t="s">
        <v>3922</v>
      </c>
      <c r="C372" s="32"/>
      <c r="D372" s="32"/>
      <c r="E372" s="32"/>
      <c r="F372" s="31" t="s">
        <v>320</v>
      </c>
      <c r="G372" s="31" t="s">
        <v>321</v>
      </c>
      <c r="H372" s="31" t="s">
        <v>22</v>
      </c>
      <c r="I372" s="31" t="s">
        <v>33</v>
      </c>
      <c r="J372" s="92">
        <v>45631.0</v>
      </c>
      <c r="K372" s="31">
        <v>100.0</v>
      </c>
      <c r="L372" s="45" t="s">
        <v>3923</v>
      </c>
      <c r="M372" s="157">
        <v>1956.0</v>
      </c>
      <c r="N372" s="32"/>
      <c r="O372" s="32"/>
      <c r="P372" s="32"/>
      <c r="Q372" s="134"/>
      <c r="R372" s="32"/>
      <c r="S372" s="132">
        <v>6150.0</v>
      </c>
      <c r="T372" s="45" t="s">
        <v>3924</v>
      </c>
      <c r="U372" s="168">
        <v>2.8</v>
      </c>
      <c r="V372" s="228">
        <f t="shared" ref="V372:V375" si="170">(U372*$K372)/100</f>
        <v>2.8</v>
      </c>
      <c r="W372" s="168">
        <v>25.5</v>
      </c>
      <c r="X372" s="228">
        <f t="shared" ref="X372:X375" si="171">(W372*$K372)/100</f>
        <v>25.5</v>
      </c>
      <c r="Y372" s="168">
        <v>3.2</v>
      </c>
      <c r="Z372" s="228">
        <f t="shared" ref="Z372:Z375" si="172">(Y372*$K372)/100</f>
        <v>3.2</v>
      </c>
      <c r="AA372" s="168">
        <v>53.2</v>
      </c>
      <c r="AB372" s="228">
        <f t="shared" ref="AB372:AB375" si="173">(AA372*$K372)/100</f>
        <v>53.2</v>
      </c>
      <c r="AC372" s="271">
        <f t="shared" ref="AC372:AC375" si="174">100-(U372+W372+Y372+AA372)</f>
        <v>15.3</v>
      </c>
      <c r="AD372" s="228">
        <f t="shared" ref="AD372:AD375" si="175">(AC372*$K372)/100</f>
        <v>15.3</v>
      </c>
      <c r="AE372" s="31" t="s">
        <v>3925</v>
      </c>
      <c r="AF372" s="20" t="s">
        <v>3926</v>
      </c>
      <c r="AG372" s="26">
        <v>118550.0</v>
      </c>
      <c r="AH372" s="20">
        <v>2024.0</v>
      </c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>
      <c r="A373" s="19">
        <f t="shared" si="33"/>
        <v>372</v>
      </c>
      <c r="B373" s="31" t="s">
        <v>3927</v>
      </c>
      <c r="C373" s="32"/>
      <c r="D373" s="32"/>
      <c r="E373" s="32"/>
      <c r="F373" s="31" t="s">
        <v>3928</v>
      </c>
      <c r="G373" s="31" t="s">
        <v>21</v>
      </c>
      <c r="H373" s="31" t="s">
        <v>22</v>
      </c>
      <c r="I373" s="31" t="s">
        <v>23</v>
      </c>
      <c r="J373" s="92">
        <v>45769.0</v>
      </c>
      <c r="K373" s="31">
        <v>550.0</v>
      </c>
      <c r="L373" s="33" t="s">
        <v>3929</v>
      </c>
      <c r="M373" s="157">
        <v>2016.0</v>
      </c>
      <c r="N373" s="31" t="s">
        <v>3930</v>
      </c>
      <c r="O373" s="32"/>
      <c r="P373" s="32"/>
      <c r="Q373" s="134"/>
      <c r="R373" s="32"/>
      <c r="S373" s="132">
        <v>0.0</v>
      </c>
      <c r="T373" s="131"/>
      <c r="U373" s="168">
        <v>6.5</v>
      </c>
      <c r="V373" s="228">
        <f t="shared" si="170"/>
        <v>35.75</v>
      </c>
      <c r="W373" s="168">
        <v>49.5</v>
      </c>
      <c r="X373" s="228">
        <f t="shared" si="171"/>
        <v>272.25</v>
      </c>
      <c r="Y373" s="168">
        <v>0.3</v>
      </c>
      <c r="Z373" s="228">
        <f t="shared" si="172"/>
        <v>1.65</v>
      </c>
      <c r="AA373" s="168">
        <v>0.0</v>
      </c>
      <c r="AB373" s="228">
        <f t="shared" si="173"/>
        <v>0</v>
      </c>
      <c r="AC373" s="271">
        <f t="shared" si="174"/>
        <v>43.7</v>
      </c>
      <c r="AD373" s="228">
        <f t="shared" si="175"/>
        <v>240.35</v>
      </c>
      <c r="AE373" s="239" t="s">
        <v>3931</v>
      </c>
      <c r="AF373" s="20" t="s">
        <v>3932</v>
      </c>
      <c r="AG373" s="26">
        <v>148999.0</v>
      </c>
      <c r="AH373" s="20">
        <v>2024.0</v>
      </c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>
      <c r="A374" s="19">
        <f t="shared" si="33"/>
        <v>373</v>
      </c>
      <c r="B374" s="31" t="s">
        <v>3933</v>
      </c>
      <c r="C374" s="32"/>
      <c r="D374" s="32"/>
      <c r="E374" s="32"/>
      <c r="F374" s="31" t="s">
        <v>3934</v>
      </c>
      <c r="G374" s="31" t="s">
        <v>21</v>
      </c>
      <c r="H374" s="31" t="s">
        <v>22</v>
      </c>
      <c r="I374" s="31" t="s">
        <v>33</v>
      </c>
      <c r="J374" s="92">
        <v>45761.0</v>
      </c>
      <c r="K374" s="31">
        <v>94.0</v>
      </c>
      <c r="L374" s="33" t="s">
        <v>3935</v>
      </c>
      <c r="M374" s="157">
        <v>1918.0</v>
      </c>
      <c r="N374" s="32"/>
      <c r="O374" s="32"/>
      <c r="P374" s="32"/>
      <c r="Q374" s="134"/>
      <c r="R374" s="32"/>
      <c r="S374" s="132">
        <v>5414.0</v>
      </c>
      <c r="T374" s="45" t="s">
        <v>3936</v>
      </c>
      <c r="U374" s="168">
        <v>3.6</v>
      </c>
      <c r="V374" s="228">
        <f t="shared" si="170"/>
        <v>3.384</v>
      </c>
      <c r="W374" s="168">
        <v>79.7</v>
      </c>
      <c r="X374" s="228">
        <f t="shared" si="171"/>
        <v>74.918</v>
      </c>
      <c r="Y374" s="168">
        <v>0.0</v>
      </c>
      <c r="Z374" s="228">
        <f t="shared" si="172"/>
        <v>0</v>
      </c>
      <c r="AA374" s="168">
        <v>10.1</v>
      </c>
      <c r="AB374" s="228">
        <f t="shared" si="173"/>
        <v>9.494</v>
      </c>
      <c r="AC374" s="271">
        <f t="shared" si="174"/>
        <v>6.6</v>
      </c>
      <c r="AD374" s="228">
        <f t="shared" si="175"/>
        <v>6.204</v>
      </c>
      <c r="AE374" s="45" t="s">
        <v>3937</v>
      </c>
      <c r="AF374" s="20" t="s">
        <v>3938</v>
      </c>
      <c r="AG374" s="26">
        <v>69839.0</v>
      </c>
      <c r="AH374" s="20">
        <v>2024.0</v>
      </c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>
      <c r="A375" s="19">
        <f t="shared" si="33"/>
        <v>374</v>
      </c>
      <c r="B375" s="31" t="s">
        <v>3939</v>
      </c>
      <c r="C375" s="32"/>
      <c r="D375" s="32"/>
      <c r="E375" s="32"/>
      <c r="F375" s="31" t="s">
        <v>3940</v>
      </c>
      <c r="G375" s="31" t="s">
        <v>42</v>
      </c>
      <c r="H375" s="31" t="s">
        <v>43</v>
      </c>
      <c r="I375" s="31" t="s">
        <v>33</v>
      </c>
      <c r="J375" s="92">
        <v>45782.0</v>
      </c>
      <c r="K375" s="31">
        <v>105.0</v>
      </c>
      <c r="L375" s="45" t="s">
        <v>3941</v>
      </c>
      <c r="M375" s="157">
        <v>2017.0</v>
      </c>
      <c r="N375" s="32"/>
      <c r="O375" s="32"/>
      <c r="P375" s="32"/>
      <c r="Q375" s="134"/>
      <c r="R375" s="32"/>
      <c r="S375" s="135"/>
      <c r="T375" s="131"/>
      <c r="U375" s="168">
        <v>10.3</v>
      </c>
      <c r="V375" s="228">
        <f t="shared" si="170"/>
        <v>10.815</v>
      </c>
      <c r="W375" s="168">
        <v>16.2</v>
      </c>
      <c r="X375" s="228">
        <f t="shared" si="171"/>
        <v>17.01</v>
      </c>
      <c r="Y375" s="168">
        <v>0.7</v>
      </c>
      <c r="Z375" s="228">
        <f t="shared" si="172"/>
        <v>0.735</v>
      </c>
      <c r="AA375" s="168">
        <v>44.1</v>
      </c>
      <c r="AB375" s="228">
        <f t="shared" si="173"/>
        <v>46.305</v>
      </c>
      <c r="AC375" s="271">
        <f t="shared" si="174"/>
        <v>28.7</v>
      </c>
      <c r="AD375" s="228">
        <f t="shared" si="175"/>
        <v>30.135</v>
      </c>
      <c r="AE375" s="45" t="s">
        <v>3942</v>
      </c>
      <c r="AF375" s="20" t="s">
        <v>3943</v>
      </c>
      <c r="AG375" s="26">
        <v>154936.0</v>
      </c>
      <c r="AH375" s="20">
        <v>2024.0</v>
      </c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>
      <c r="A376" s="19">
        <f t="shared" si="33"/>
        <v>375</v>
      </c>
      <c r="B376" s="31" t="s">
        <v>969</v>
      </c>
      <c r="C376" s="32"/>
      <c r="D376" s="32"/>
      <c r="E376" s="32"/>
      <c r="F376" s="31" t="s">
        <v>3944</v>
      </c>
      <c r="G376" s="31" t="s">
        <v>468</v>
      </c>
      <c r="H376" s="31" t="s">
        <v>32</v>
      </c>
      <c r="I376" s="31" t="s">
        <v>68</v>
      </c>
      <c r="J376" s="92">
        <v>45784.0</v>
      </c>
      <c r="K376" s="31">
        <v>163.0</v>
      </c>
      <c r="L376" s="45" t="s">
        <v>3945</v>
      </c>
      <c r="M376" s="157">
        <v>2004.0</v>
      </c>
      <c r="N376" s="32"/>
      <c r="O376" s="32"/>
      <c r="P376" s="32"/>
      <c r="Q376" s="134"/>
      <c r="R376" s="32"/>
      <c r="S376" s="135"/>
      <c r="T376" s="131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32"/>
      <c r="AF376" s="20" t="s">
        <v>3946</v>
      </c>
      <c r="AG376" s="26">
        <v>105377.0</v>
      </c>
      <c r="AH376" s="20">
        <v>2024.0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ht="84.75" customHeight="1">
      <c r="A377" s="19">
        <f t="shared" si="33"/>
        <v>376</v>
      </c>
      <c r="B377" s="31" t="s">
        <v>3947</v>
      </c>
      <c r="C377" s="32"/>
      <c r="D377" s="32"/>
      <c r="E377" s="32"/>
      <c r="F377" s="31" t="s">
        <v>3948</v>
      </c>
      <c r="G377" s="31" t="s">
        <v>21</v>
      </c>
      <c r="H377" s="31" t="s">
        <v>22</v>
      </c>
      <c r="I377" s="31" t="s">
        <v>33</v>
      </c>
      <c r="J377" s="92">
        <v>45794.0</v>
      </c>
      <c r="K377" s="31">
        <v>100.0</v>
      </c>
      <c r="L377" s="33" t="s">
        <v>3949</v>
      </c>
      <c r="M377" s="157">
        <v>1953.0</v>
      </c>
      <c r="N377" s="32"/>
      <c r="O377" s="32"/>
      <c r="P377" s="32"/>
      <c r="Q377" s="134"/>
      <c r="R377" s="32"/>
      <c r="S377" s="132">
        <v>7000.0</v>
      </c>
      <c r="T377" s="45" t="s">
        <v>3950</v>
      </c>
      <c r="U377" s="168">
        <v>2.5</v>
      </c>
      <c r="V377" s="228">
        <f t="shared" ref="V377:V381" si="176">(U377*$K377)/100</f>
        <v>2.5</v>
      </c>
      <c r="W377" s="168">
        <v>18.8</v>
      </c>
      <c r="X377" s="228">
        <f t="shared" ref="X377:X381" si="177">(W377*$K377)/100</f>
        <v>18.8</v>
      </c>
      <c r="Y377" s="168">
        <v>4.5</v>
      </c>
      <c r="Z377" s="228">
        <f t="shared" ref="Z377:Z381" si="178">(Y377*$K377)/100</f>
        <v>4.5</v>
      </c>
      <c r="AA377" s="168">
        <v>74.3</v>
      </c>
      <c r="AB377" s="228">
        <f t="shared" ref="AB377:AB381" si="179">(AA377*$K377)/100</f>
        <v>74.3</v>
      </c>
      <c r="AC377" s="274">
        <v>0.0</v>
      </c>
      <c r="AD377" s="228">
        <f t="shared" ref="AD377:AD381" si="180">(AC377*$K377)/100</f>
        <v>0</v>
      </c>
      <c r="AE377" s="31" t="s">
        <v>3951</v>
      </c>
      <c r="AF377" s="20" t="s">
        <v>3952</v>
      </c>
      <c r="AG377" s="26">
        <v>141112.0</v>
      </c>
      <c r="AH377" s="20">
        <v>2024.0</v>
      </c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>
      <c r="A378" s="19">
        <f t="shared" si="33"/>
        <v>377</v>
      </c>
      <c r="B378" s="31" t="s">
        <v>3953</v>
      </c>
      <c r="C378" s="32"/>
      <c r="D378" s="32"/>
      <c r="E378" s="32"/>
      <c r="F378" s="31" t="s">
        <v>3954</v>
      </c>
      <c r="G378" s="31" t="s">
        <v>1162</v>
      </c>
      <c r="H378" s="31" t="s">
        <v>67</v>
      </c>
      <c r="I378" s="31" t="s">
        <v>33</v>
      </c>
      <c r="J378" s="92">
        <v>45796.0</v>
      </c>
      <c r="K378" s="31">
        <v>137.0</v>
      </c>
      <c r="L378" s="45" t="s">
        <v>3955</v>
      </c>
      <c r="M378" s="157">
        <v>1958.0</v>
      </c>
      <c r="N378" s="32"/>
      <c r="O378" s="32"/>
      <c r="P378" s="32"/>
      <c r="Q378" s="134"/>
      <c r="R378" s="32"/>
      <c r="S378" s="132">
        <v>6185.0</v>
      </c>
      <c r="T378" s="45" t="s">
        <v>3956</v>
      </c>
      <c r="U378" s="168">
        <v>1.5</v>
      </c>
      <c r="V378" s="228">
        <f t="shared" si="176"/>
        <v>2.055</v>
      </c>
      <c r="W378" s="168">
        <v>2.3</v>
      </c>
      <c r="X378" s="228">
        <f t="shared" si="177"/>
        <v>3.151</v>
      </c>
      <c r="Y378" s="168">
        <v>8.4</v>
      </c>
      <c r="Z378" s="228">
        <f t="shared" si="178"/>
        <v>11.508</v>
      </c>
      <c r="AA378" s="168">
        <v>81.7</v>
      </c>
      <c r="AB378" s="228">
        <f t="shared" si="179"/>
        <v>111.929</v>
      </c>
      <c r="AC378" s="271">
        <f t="shared" ref="AC378:AC381" si="181">100-(U378+W378+Y378+AA378)</f>
        <v>6.1</v>
      </c>
      <c r="AD378" s="228">
        <f t="shared" si="180"/>
        <v>8.357</v>
      </c>
      <c r="AE378" s="45" t="s">
        <v>3957</v>
      </c>
      <c r="AF378" s="20" t="s">
        <v>3958</v>
      </c>
      <c r="AG378" s="26">
        <v>135175.0</v>
      </c>
      <c r="AH378" s="20">
        <v>2024.0</v>
      </c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>
      <c r="A379" s="19">
        <f t="shared" si="33"/>
        <v>378</v>
      </c>
      <c r="B379" s="275" t="s">
        <v>3959</v>
      </c>
      <c r="C379" s="32"/>
      <c r="D379" s="32"/>
      <c r="E379" s="32"/>
      <c r="F379" s="31" t="s">
        <v>3108</v>
      </c>
      <c r="G379" s="31" t="s">
        <v>122</v>
      </c>
      <c r="H379" s="31" t="s">
        <v>32</v>
      </c>
      <c r="I379" s="31" t="s">
        <v>33</v>
      </c>
      <c r="J379" s="92">
        <v>45812.0</v>
      </c>
      <c r="K379" s="31">
        <v>272.0</v>
      </c>
      <c r="L379" s="45" t="s">
        <v>3960</v>
      </c>
      <c r="M379" s="157">
        <v>1994.0</v>
      </c>
      <c r="N379" s="31"/>
      <c r="O379" s="32"/>
      <c r="P379" s="32"/>
      <c r="Q379" s="175">
        <v>17.0</v>
      </c>
      <c r="R379" s="32"/>
      <c r="S379" s="132">
        <v>10670.0</v>
      </c>
      <c r="T379" s="45" t="s">
        <v>3961</v>
      </c>
      <c r="U379" s="168">
        <v>0.4</v>
      </c>
      <c r="V379" s="228">
        <f t="shared" si="176"/>
        <v>1.088</v>
      </c>
      <c r="W379" s="168">
        <v>38.2</v>
      </c>
      <c r="X379" s="228">
        <f t="shared" si="177"/>
        <v>103.904</v>
      </c>
      <c r="Y379" s="168">
        <v>9.6</v>
      </c>
      <c r="Z379" s="228">
        <f t="shared" si="178"/>
        <v>26.112</v>
      </c>
      <c r="AA379" s="168">
        <v>14.3</v>
      </c>
      <c r="AB379" s="228">
        <f t="shared" si="179"/>
        <v>38.896</v>
      </c>
      <c r="AC379" s="271">
        <f t="shared" si="181"/>
        <v>37.5</v>
      </c>
      <c r="AD379" s="228">
        <f t="shared" si="180"/>
        <v>102</v>
      </c>
      <c r="AE379" s="32"/>
      <c r="AF379" s="20" t="s">
        <v>3962</v>
      </c>
      <c r="AG379" s="26">
        <v>180815.0</v>
      </c>
      <c r="AH379" s="20">
        <v>2024.0</v>
      </c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>
      <c r="A380" s="19">
        <f t="shared" si="33"/>
        <v>379</v>
      </c>
      <c r="B380" s="31" t="s">
        <v>3963</v>
      </c>
      <c r="C380" s="32"/>
      <c r="D380" s="32"/>
      <c r="E380" s="32"/>
      <c r="F380" s="31" t="s">
        <v>379</v>
      </c>
      <c r="G380" s="31" t="s">
        <v>76</v>
      </c>
      <c r="H380" s="31" t="s">
        <v>43</v>
      </c>
      <c r="I380" s="31" t="s">
        <v>33</v>
      </c>
      <c r="J380" s="92">
        <v>45811.0</v>
      </c>
      <c r="K380" s="31">
        <v>85.0</v>
      </c>
      <c r="L380" s="45" t="s">
        <v>3964</v>
      </c>
      <c r="M380" s="157">
        <v>1903.0</v>
      </c>
      <c r="N380" s="32"/>
      <c r="O380" s="32"/>
      <c r="P380" s="32"/>
      <c r="Q380" s="134"/>
      <c r="R380" s="32"/>
      <c r="S380" s="132">
        <v>5600.0</v>
      </c>
      <c r="T380" s="152" t="s">
        <v>3965</v>
      </c>
      <c r="U380" s="168">
        <v>2.4</v>
      </c>
      <c r="V380" s="228">
        <f t="shared" si="176"/>
        <v>2.04</v>
      </c>
      <c r="W380" s="168">
        <v>56.6</v>
      </c>
      <c r="X380" s="228">
        <f t="shared" si="177"/>
        <v>48.11</v>
      </c>
      <c r="Y380" s="168">
        <v>27.1</v>
      </c>
      <c r="Z380" s="228">
        <f t="shared" si="178"/>
        <v>23.035</v>
      </c>
      <c r="AA380" s="168">
        <v>3.6</v>
      </c>
      <c r="AB380" s="228">
        <f t="shared" si="179"/>
        <v>3.06</v>
      </c>
      <c r="AC380" s="271">
        <f t="shared" si="181"/>
        <v>10.3</v>
      </c>
      <c r="AD380" s="228">
        <f t="shared" si="180"/>
        <v>8.755</v>
      </c>
      <c r="AE380" s="180" t="s">
        <v>3966</v>
      </c>
      <c r="AF380" s="20" t="s">
        <v>3967</v>
      </c>
      <c r="AG380" s="26">
        <v>69598.0</v>
      </c>
      <c r="AH380" s="20">
        <v>2024.0</v>
      </c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>
      <c r="A381" s="19">
        <f t="shared" si="33"/>
        <v>380</v>
      </c>
      <c r="B381" s="31" t="s">
        <v>3968</v>
      </c>
      <c r="C381" s="32"/>
      <c r="D381" s="32"/>
      <c r="E381" s="32"/>
      <c r="F381" s="31" t="s">
        <v>3969</v>
      </c>
      <c r="G381" s="31" t="s">
        <v>713</v>
      </c>
      <c r="H381" s="31" t="s">
        <v>67</v>
      </c>
      <c r="I381" s="31" t="s">
        <v>33</v>
      </c>
      <c r="J381" s="92">
        <v>45812.0</v>
      </c>
      <c r="K381" s="31">
        <v>127.0</v>
      </c>
      <c r="L381" s="45" t="s">
        <v>3970</v>
      </c>
      <c r="M381" s="157">
        <v>1950.0</v>
      </c>
      <c r="N381" s="32"/>
      <c r="O381" s="32"/>
      <c r="P381" s="32"/>
      <c r="Q381" s="134"/>
      <c r="R381" s="32"/>
      <c r="S381" s="132"/>
      <c r="T381" s="25"/>
      <c r="U381" s="168">
        <v>0.0</v>
      </c>
      <c r="V381" s="228">
        <f t="shared" si="176"/>
        <v>0</v>
      </c>
      <c r="W381" s="168">
        <v>33.9</v>
      </c>
      <c r="X381" s="228">
        <f t="shared" si="177"/>
        <v>43.053</v>
      </c>
      <c r="Y381" s="168">
        <v>0.8</v>
      </c>
      <c r="Z381" s="228">
        <f t="shared" si="178"/>
        <v>1.016</v>
      </c>
      <c r="AA381" s="168">
        <v>37.8</v>
      </c>
      <c r="AB381" s="228">
        <f t="shared" si="179"/>
        <v>48.006</v>
      </c>
      <c r="AC381" s="271">
        <f t="shared" si="181"/>
        <v>27.5</v>
      </c>
      <c r="AD381" s="228">
        <f t="shared" si="180"/>
        <v>34.925</v>
      </c>
      <c r="AE381" s="180" t="s">
        <v>3971</v>
      </c>
      <c r="AF381" s="20" t="s">
        <v>3972</v>
      </c>
      <c r="AG381" s="26">
        <v>114013.0</v>
      </c>
      <c r="AH381" s="20">
        <v>2024.0</v>
      </c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>
      <c r="A382" s="19">
        <f t="shared" si="33"/>
        <v>381</v>
      </c>
      <c r="B382" s="31" t="s">
        <v>3973</v>
      </c>
      <c r="C382" s="32"/>
      <c r="D382" s="32"/>
      <c r="E382" s="32"/>
      <c r="F382" s="31" t="s">
        <v>3974</v>
      </c>
      <c r="G382" s="31" t="s">
        <v>702</v>
      </c>
      <c r="H382" s="31" t="s">
        <v>67</v>
      </c>
      <c r="I382" s="31" t="s">
        <v>33</v>
      </c>
      <c r="J382" s="92">
        <v>45827.0</v>
      </c>
      <c r="K382" s="32"/>
      <c r="L382" s="32"/>
      <c r="M382" s="157">
        <v>1857.0</v>
      </c>
      <c r="N382" s="31" t="s">
        <v>3975</v>
      </c>
      <c r="O382" s="32"/>
      <c r="P382" s="45" t="s">
        <v>3976</v>
      </c>
      <c r="Q382" s="134"/>
      <c r="R382" s="32"/>
      <c r="S382" s="135"/>
      <c r="T382" s="131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32"/>
      <c r="AF382" s="20" t="s">
        <v>3977</v>
      </c>
      <c r="AG382" s="26">
        <v>55630.0</v>
      </c>
      <c r="AH382" s="20">
        <v>2024.0</v>
      </c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>
      <c r="A383" s="19">
        <f t="shared" si="33"/>
        <v>382</v>
      </c>
      <c r="B383" s="239" t="s">
        <v>3978</v>
      </c>
      <c r="C383" s="139"/>
      <c r="D383" s="139"/>
      <c r="E383" s="139"/>
      <c r="F383" s="239" t="s">
        <v>3979</v>
      </c>
      <c r="G383" s="239" t="s">
        <v>1262</v>
      </c>
      <c r="H383" s="239" t="s">
        <v>22</v>
      </c>
      <c r="I383" s="239" t="s">
        <v>23</v>
      </c>
      <c r="J383" s="92">
        <v>45860.0</v>
      </c>
      <c r="K383" s="139"/>
      <c r="L383" s="139"/>
      <c r="M383" s="156"/>
      <c r="N383" s="31" t="s">
        <v>3980</v>
      </c>
      <c r="O383" s="32"/>
      <c r="P383" s="180" t="s">
        <v>3981</v>
      </c>
      <c r="Q383" s="134"/>
      <c r="R383" s="32"/>
      <c r="S383" s="135"/>
      <c r="T383" s="131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32"/>
      <c r="AF383" s="20" t="s">
        <v>3982</v>
      </c>
      <c r="AG383" s="26">
        <v>81206.0</v>
      </c>
      <c r="AH383" s="20">
        <v>2025.0</v>
      </c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>
      <c r="A384" s="276">
        <f t="shared" si="33"/>
        <v>383</v>
      </c>
      <c r="B384" s="31" t="s">
        <v>3983</v>
      </c>
      <c r="C384" s="32"/>
      <c r="D384" s="32"/>
      <c r="E384" s="32"/>
      <c r="F384" s="31" t="s">
        <v>1503</v>
      </c>
      <c r="G384" s="31" t="s">
        <v>3984</v>
      </c>
      <c r="H384" s="31" t="s">
        <v>43</v>
      </c>
      <c r="I384" s="31" t="s">
        <v>33</v>
      </c>
      <c r="J384" s="92">
        <v>45922.0</v>
      </c>
      <c r="K384" s="31">
        <v>400.0</v>
      </c>
      <c r="L384" s="31" t="s">
        <v>3985</v>
      </c>
      <c r="M384" s="157">
        <v>1905.0</v>
      </c>
      <c r="N384" s="32"/>
      <c r="O384" s="32"/>
      <c r="P384" s="33" t="s">
        <v>3986</v>
      </c>
      <c r="Q384" s="134"/>
      <c r="R384" s="32"/>
      <c r="S384" s="132">
        <v>13000.0</v>
      </c>
      <c r="T384" s="131"/>
      <c r="U384" s="168">
        <v>24.4</v>
      </c>
      <c r="V384" s="228">
        <f t="shared" ref="V384:V386" si="182">(U384*$K384)/100</f>
        <v>97.6</v>
      </c>
      <c r="W384" s="168">
        <v>57.8</v>
      </c>
      <c r="X384" s="228">
        <f t="shared" ref="X384:X386" si="183">(W384*$K384)/100</f>
        <v>231.2</v>
      </c>
      <c r="Y384" s="168">
        <v>3.3</v>
      </c>
      <c r="Z384" s="228">
        <f t="shared" ref="Z384:Z386" si="184">(Y384*$K384)/100</f>
        <v>13.2</v>
      </c>
      <c r="AA384" s="168">
        <v>3.3</v>
      </c>
      <c r="AB384" s="228">
        <f t="shared" ref="AB384:AB386" si="185">(AA384*$K384)/100</f>
        <v>13.2</v>
      </c>
      <c r="AC384" s="271">
        <f t="shared" ref="AC384:AC386" si="186">100-(U384+W384+Y384+AA384)</f>
        <v>11.2</v>
      </c>
      <c r="AD384" s="228">
        <f t="shared" ref="AD384:AD386" si="187">(AC384*$K384)/100</f>
        <v>44.8</v>
      </c>
      <c r="AE384" s="33" t="s">
        <v>3987</v>
      </c>
      <c r="AF384" s="36" t="s">
        <v>3988</v>
      </c>
      <c r="AG384" s="277">
        <v>206192.0</v>
      </c>
      <c r="AH384" s="36">
        <v>2025.0</v>
      </c>
      <c r="AI384" s="185"/>
      <c r="AJ384" s="185"/>
      <c r="AK384" s="185"/>
      <c r="AL384" s="185"/>
      <c r="AM384" s="185"/>
      <c r="AN384" s="185"/>
      <c r="AO384" s="185"/>
      <c r="AP384" s="185"/>
      <c r="AQ384" s="185"/>
      <c r="AR384" s="185"/>
      <c r="AS384" s="185"/>
    </row>
    <row r="385">
      <c r="A385" s="276">
        <f t="shared" si="33"/>
        <v>384</v>
      </c>
      <c r="B385" s="31" t="s">
        <v>3566</v>
      </c>
      <c r="C385" s="32"/>
      <c r="D385" s="32"/>
      <c r="E385" s="32"/>
      <c r="F385" s="31" t="s">
        <v>141</v>
      </c>
      <c r="G385" s="31" t="s">
        <v>142</v>
      </c>
      <c r="H385" s="31" t="s">
        <v>67</v>
      </c>
      <c r="I385" s="31" t="s">
        <v>33</v>
      </c>
      <c r="J385" s="92">
        <v>45918.0</v>
      </c>
      <c r="K385" s="31">
        <v>116.0</v>
      </c>
      <c r="L385" s="45" t="s">
        <v>3989</v>
      </c>
      <c r="M385" s="157">
        <v>1955.0</v>
      </c>
      <c r="N385" s="32"/>
      <c r="O385" s="32"/>
      <c r="P385" s="45" t="s">
        <v>3990</v>
      </c>
      <c r="Q385" s="134"/>
      <c r="R385" s="32"/>
      <c r="S385" s="132">
        <v>6560.0</v>
      </c>
      <c r="T385" s="152" t="s">
        <v>3991</v>
      </c>
      <c r="U385" s="168">
        <v>6.1</v>
      </c>
      <c r="V385" s="228">
        <f t="shared" si="182"/>
        <v>7.076</v>
      </c>
      <c r="W385" s="168">
        <v>11.0</v>
      </c>
      <c r="X385" s="228">
        <f t="shared" si="183"/>
        <v>12.76</v>
      </c>
      <c r="Y385" s="168">
        <v>1.8</v>
      </c>
      <c r="Z385" s="228">
        <f t="shared" si="184"/>
        <v>2.088</v>
      </c>
      <c r="AA385" s="168">
        <v>72.0</v>
      </c>
      <c r="AB385" s="228">
        <f t="shared" si="185"/>
        <v>83.52</v>
      </c>
      <c r="AC385" s="271">
        <f t="shared" si="186"/>
        <v>9.1</v>
      </c>
      <c r="AD385" s="228">
        <f t="shared" si="187"/>
        <v>10.556</v>
      </c>
      <c r="AE385" s="180" t="s">
        <v>3992</v>
      </c>
      <c r="AF385" s="36" t="s">
        <v>3993</v>
      </c>
      <c r="AG385" s="277">
        <v>87428.0</v>
      </c>
      <c r="AH385" s="36">
        <v>2025.0</v>
      </c>
      <c r="AI385" s="185"/>
      <c r="AJ385" s="185"/>
      <c r="AK385" s="185"/>
      <c r="AL385" s="185"/>
      <c r="AM385" s="185"/>
      <c r="AN385" s="185"/>
      <c r="AO385" s="185"/>
      <c r="AP385" s="185"/>
      <c r="AQ385" s="185"/>
      <c r="AR385" s="185"/>
      <c r="AS385" s="185"/>
    </row>
    <row r="386">
      <c r="A386" s="276">
        <f t="shared" si="33"/>
        <v>385</v>
      </c>
      <c r="B386" s="31" t="s">
        <v>3994</v>
      </c>
      <c r="C386" s="32"/>
      <c r="D386" s="32"/>
      <c r="E386" s="32"/>
      <c r="F386" s="31" t="s">
        <v>403</v>
      </c>
      <c r="G386" s="31" t="s">
        <v>321</v>
      </c>
      <c r="H386" s="31" t="s">
        <v>22</v>
      </c>
      <c r="I386" s="31" t="s">
        <v>1939</v>
      </c>
      <c r="J386" s="92">
        <v>45938.0</v>
      </c>
      <c r="K386" s="31">
        <v>124.0</v>
      </c>
      <c r="L386" s="45" t="s">
        <v>3995</v>
      </c>
      <c r="M386" s="156"/>
      <c r="N386" s="32"/>
      <c r="O386" s="32"/>
      <c r="P386" s="32"/>
      <c r="Q386" s="134"/>
      <c r="R386" s="32"/>
      <c r="S386" s="135"/>
      <c r="T386" s="25" t="s">
        <v>3996</v>
      </c>
      <c r="U386" s="168">
        <v>29.8</v>
      </c>
      <c r="V386" s="228">
        <f t="shared" si="182"/>
        <v>36.952</v>
      </c>
      <c r="W386" s="168">
        <v>25.0</v>
      </c>
      <c r="X386" s="228">
        <f t="shared" si="183"/>
        <v>31</v>
      </c>
      <c r="Y386" s="168">
        <v>0.8</v>
      </c>
      <c r="Z386" s="228">
        <f t="shared" si="184"/>
        <v>0.992</v>
      </c>
      <c r="AA386" s="168">
        <v>33.1</v>
      </c>
      <c r="AB386" s="228">
        <f t="shared" si="185"/>
        <v>41.044</v>
      </c>
      <c r="AC386" s="271">
        <f t="shared" si="186"/>
        <v>11.3</v>
      </c>
      <c r="AD386" s="228">
        <f t="shared" si="187"/>
        <v>14.012</v>
      </c>
      <c r="AE386" s="32"/>
      <c r="AF386" s="20" t="s">
        <v>3997</v>
      </c>
      <c r="AG386" s="26">
        <v>216090.0</v>
      </c>
      <c r="AH386" s="36">
        <v>2025.0</v>
      </c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>
      <c r="A387" s="276">
        <f t="shared" si="33"/>
        <v>386</v>
      </c>
      <c r="B387" s="31" t="s">
        <v>3998</v>
      </c>
      <c r="C387" s="32"/>
      <c r="D387" s="32"/>
      <c r="E387" s="32"/>
      <c r="F387" s="31" t="s">
        <v>3999</v>
      </c>
      <c r="G387" s="31" t="s">
        <v>321</v>
      </c>
      <c r="H387" s="31" t="s">
        <v>22</v>
      </c>
      <c r="I387" s="31" t="s">
        <v>33</v>
      </c>
      <c r="J387" s="92">
        <v>45934.0</v>
      </c>
      <c r="K387" s="31">
        <v>85.0</v>
      </c>
      <c r="L387" s="45" t="s">
        <v>4000</v>
      </c>
      <c r="M387" s="157">
        <v>1905.0</v>
      </c>
      <c r="N387" s="32"/>
      <c r="O387" s="32"/>
      <c r="P387" s="236"/>
      <c r="Q387" s="134"/>
      <c r="R387" s="32"/>
      <c r="S387" s="132">
        <v>8530.0</v>
      </c>
      <c r="T387" s="25" t="s">
        <v>4001</v>
      </c>
      <c r="U387" s="168"/>
      <c r="V387" s="228"/>
      <c r="W387" s="168"/>
      <c r="X387" s="228"/>
      <c r="Y387" s="168"/>
      <c r="Z387" s="228"/>
      <c r="AA387" s="168"/>
      <c r="AB387" s="228"/>
      <c r="AC387" s="271"/>
      <c r="AD387" s="228"/>
      <c r="AE387" s="31"/>
      <c r="AF387" s="20" t="s">
        <v>4002</v>
      </c>
      <c r="AG387" s="26">
        <v>192693.0</v>
      </c>
      <c r="AH387" s="36">
        <v>2025.0</v>
      </c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>
      <c r="A388" s="276">
        <f t="shared" si="33"/>
        <v>387</v>
      </c>
      <c r="B388" s="31" t="s">
        <v>4003</v>
      </c>
      <c r="C388" s="32"/>
      <c r="D388" s="32"/>
      <c r="E388" s="32"/>
      <c r="F388" s="31" t="s">
        <v>819</v>
      </c>
      <c r="G388" s="31" t="s">
        <v>21</v>
      </c>
      <c r="H388" s="31" t="s">
        <v>22</v>
      </c>
      <c r="I388" s="31" t="s">
        <v>23</v>
      </c>
      <c r="J388" s="92">
        <v>45968.0</v>
      </c>
      <c r="K388" s="31">
        <v>105.0</v>
      </c>
      <c r="L388" s="45" t="s">
        <v>4004</v>
      </c>
      <c r="M388" s="156"/>
      <c r="N388" s="32"/>
      <c r="O388" s="32"/>
      <c r="P388" s="45" t="s">
        <v>4005</v>
      </c>
      <c r="Q388" s="134"/>
      <c r="R388" s="32"/>
      <c r="S388" s="132">
        <v>28990.0</v>
      </c>
      <c r="T388" s="25" t="s">
        <v>4006</v>
      </c>
      <c r="U388" s="168">
        <v>2.9</v>
      </c>
      <c r="V388" s="228">
        <f t="shared" ref="V388:V390" si="188">(U388*$K388)/100</f>
        <v>3.045</v>
      </c>
      <c r="W388" s="168">
        <v>6.7</v>
      </c>
      <c r="X388" s="228">
        <f t="shared" ref="X388:X390" si="189">(W388*$K388)/100</f>
        <v>7.035</v>
      </c>
      <c r="Y388" s="168">
        <v>55.2</v>
      </c>
      <c r="Z388" s="228">
        <f t="shared" ref="Z388:Z390" si="190">(Y388*$K388)/100</f>
        <v>57.96</v>
      </c>
      <c r="AA388" s="168">
        <v>20.0</v>
      </c>
      <c r="AB388" s="228">
        <f t="shared" ref="AB388:AB390" si="191">(AA388*$K388)/100</f>
        <v>21</v>
      </c>
      <c r="AC388" s="271">
        <f t="shared" ref="AC388:AC390" si="192">100-(U388+W388+Y388+AA388)</f>
        <v>15.2</v>
      </c>
      <c r="AD388" s="228">
        <f t="shared" ref="AD388:AD390" si="193">(AC388*$K388)/100</f>
        <v>15.96</v>
      </c>
      <c r="AE388" s="33" t="s">
        <v>4004</v>
      </c>
      <c r="AF388" s="20" t="s">
        <v>4007</v>
      </c>
      <c r="AG388" s="26">
        <v>219225.0</v>
      </c>
      <c r="AH388" s="36">
        <v>2025.0</v>
      </c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>
      <c r="A389" s="276">
        <f t="shared" si="33"/>
        <v>388</v>
      </c>
      <c r="B389" s="31" t="s">
        <v>4008</v>
      </c>
      <c r="C389" s="32"/>
      <c r="D389" s="32"/>
      <c r="E389" s="32"/>
      <c r="F389" s="31" t="s">
        <v>184</v>
      </c>
      <c r="G389" s="31" t="s">
        <v>91</v>
      </c>
      <c r="H389" s="31" t="s">
        <v>43</v>
      </c>
      <c r="I389" s="31" t="s">
        <v>33</v>
      </c>
      <c r="J389" s="92">
        <v>45971.0</v>
      </c>
      <c r="K389" s="31">
        <v>145.0</v>
      </c>
      <c r="L389" s="45" t="s">
        <v>4009</v>
      </c>
      <c r="M389" s="157">
        <v>2011.0</v>
      </c>
      <c r="N389" s="31" t="s">
        <v>4010</v>
      </c>
      <c r="O389" s="32"/>
      <c r="P389" s="45" t="s">
        <v>1622</v>
      </c>
      <c r="Q389" s="134"/>
      <c r="R389" s="32"/>
      <c r="S389" s="132">
        <v>4400.0</v>
      </c>
      <c r="T389" s="45" t="s">
        <v>4009</v>
      </c>
      <c r="U389" s="168">
        <v>10.0</v>
      </c>
      <c r="V389" s="228">
        <f t="shared" si="188"/>
        <v>14.5</v>
      </c>
      <c r="W389" s="168">
        <v>2.8</v>
      </c>
      <c r="X389" s="228">
        <f t="shared" si="189"/>
        <v>4.06</v>
      </c>
      <c r="Y389" s="168">
        <v>0.0</v>
      </c>
      <c r="Z389" s="228">
        <f t="shared" si="190"/>
        <v>0</v>
      </c>
      <c r="AA389" s="168">
        <v>60.7</v>
      </c>
      <c r="AB389" s="228">
        <f t="shared" si="191"/>
        <v>88.015</v>
      </c>
      <c r="AC389" s="271">
        <f t="shared" si="192"/>
        <v>26.5</v>
      </c>
      <c r="AD389" s="228">
        <f t="shared" si="193"/>
        <v>38.425</v>
      </c>
      <c r="AE389" s="31" t="s">
        <v>4011</v>
      </c>
      <c r="AF389" s="20" t="s">
        <v>1624</v>
      </c>
      <c r="AG389" s="26">
        <v>104792.0</v>
      </c>
      <c r="AH389" s="36">
        <v>2025.0</v>
      </c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>
      <c r="A390" s="276">
        <f t="shared" si="33"/>
        <v>389</v>
      </c>
      <c r="B390" s="31" t="s">
        <v>4008</v>
      </c>
      <c r="C390" s="32"/>
      <c r="D390" s="32"/>
      <c r="E390" s="32"/>
      <c r="F390" s="31" t="s">
        <v>4012</v>
      </c>
      <c r="G390" s="31" t="s">
        <v>107</v>
      </c>
      <c r="H390" s="31" t="s">
        <v>67</v>
      </c>
      <c r="I390" s="31" t="s">
        <v>33</v>
      </c>
      <c r="J390" s="92">
        <v>46000.0</v>
      </c>
      <c r="K390" s="31">
        <v>180.0</v>
      </c>
      <c r="L390" s="45" t="s">
        <v>4013</v>
      </c>
      <c r="M390" s="157">
        <v>1950.0</v>
      </c>
      <c r="N390" s="32"/>
      <c r="O390" s="32"/>
      <c r="P390" s="45" t="s">
        <v>4014</v>
      </c>
      <c r="Q390" s="134"/>
      <c r="R390" s="32"/>
      <c r="S390" s="135"/>
      <c r="T390" s="131"/>
      <c r="U390" s="168">
        <v>0.0</v>
      </c>
      <c r="V390" s="228">
        <f t="shared" si="188"/>
        <v>0</v>
      </c>
      <c r="W390" s="168">
        <v>75.0</v>
      </c>
      <c r="X390" s="228">
        <f t="shared" si="189"/>
        <v>135</v>
      </c>
      <c r="Y390" s="168">
        <v>1.1</v>
      </c>
      <c r="Z390" s="228">
        <f t="shared" si="190"/>
        <v>1.98</v>
      </c>
      <c r="AA390" s="168">
        <v>7.8</v>
      </c>
      <c r="AB390" s="228">
        <f t="shared" si="191"/>
        <v>14.04</v>
      </c>
      <c r="AC390" s="271">
        <f t="shared" si="192"/>
        <v>16.1</v>
      </c>
      <c r="AD390" s="228">
        <f t="shared" si="193"/>
        <v>28.98</v>
      </c>
      <c r="AE390" s="45" t="s">
        <v>4013</v>
      </c>
      <c r="AF390" s="20" t="s">
        <v>4015</v>
      </c>
      <c r="AG390" s="26">
        <v>79450.0</v>
      </c>
      <c r="AH390" s="36">
        <v>2025.0</v>
      </c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>
      <c r="A391" s="276">
        <f t="shared" si="33"/>
        <v>390</v>
      </c>
      <c r="B391" s="31" t="s">
        <v>1129</v>
      </c>
      <c r="C391" s="32"/>
      <c r="D391" s="32"/>
      <c r="E391" s="32"/>
      <c r="F391" s="31" t="s">
        <v>1485</v>
      </c>
      <c r="G391" s="31" t="s">
        <v>31</v>
      </c>
      <c r="H391" s="31" t="s">
        <v>32</v>
      </c>
      <c r="I391" s="31" t="s">
        <v>68</v>
      </c>
      <c r="J391" s="92">
        <v>46013.0</v>
      </c>
      <c r="K391" s="31">
        <v>133.0</v>
      </c>
      <c r="L391" s="45" t="s">
        <v>4016</v>
      </c>
      <c r="M391" s="157">
        <v>2018.0</v>
      </c>
      <c r="N391" s="32"/>
      <c r="O391" s="32"/>
      <c r="P391" s="45" t="s">
        <v>4017</v>
      </c>
      <c r="Q391" s="134"/>
      <c r="R391" s="32"/>
      <c r="S391" s="132">
        <v>15750.0</v>
      </c>
      <c r="T391" s="152" t="s">
        <v>4018</v>
      </c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32"/>
      <c r="AF391" s="20" t="s">
        <v>4019</v>
      </c>
      <c r="AG391" s="26">
        <v>172851.0</v>
      </c>
      <c r="AH391" s="36">
        <v>2025.0</v>
      </c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>
      <c r="A392" s="276">
        <f t="shared" si="33"/>
        <v>391</v>
      </c>
      <c r="B392" s="31" t="s">
        <v>4020</v>
      </c>
      <c r="C392" s="32"/>
      <c r="D392" s="32"/>
      <c r="E392" s="32"/>
      <c r="F392" s="31" t="s">
        <v>2824</v>
      </c>
      <c r="G392" s="31" t="s">
        <v>66</v>
      </c>
      <c r="H392" s="31" t="s">
        <v>32</v>
      </c>
      <c r="I392" s="31" t="s">
        <v>33</v>
      </c>
      <c r="J392" s="92">
        <v>46032.0</v>
      </c>
      <c r="K392" s="31">
        <v>220.0</v>
      </c>
      <c r="L392" s="45" t="s">
        <v>4021</v>
      </c>
      <c r="M392" s="156"/>
      <c r="N392" s="32"/>
      <c r="O392" s="32"/>
      <c r="P392" s="45" t="s">
        <v>4022</v>
      </c>
      <c r="Q392" s="134"/>
      <c r="R392" s="32"/>
      <c r="S392" s="132">
        <v>6340.0</v>
      </c>
      <c r="T392" s="152" t="s">
        <v>4023</v>
      </c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32"/>
      <c r="AF392" s="20" t="s">
        <v>4024</v>
      </c>
      <c r="AG392" s="26">
        <v>105729.0</v>
      </c>
      <c r="AH392" s="36">
        <v>2025.0</v>
      </c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>
      <c r="A393" s="276">
        <f t="shared" si="33"/>
        <v>392</v>
      </c>
      <c r="B393" s="31" t="s">
        <v>4025</v>
      </c>
      <c r="C393" s="32"/>
      <c r="D393" s="32"/>
      <c r="E393" s="32"/>
      <c r="F393" s="31" t="s">
        <v>1698</v>
      </c>
      <c r="G393" s="31" t="s">
        <v>1162</v>
      </c>
      <c r="H393" s="31" t="s">
        <v>67</v>
      </c>
      <c r="I393" s="31" t="s">
        <v>33</v>
      </c>
      <c r="J393" s="92">
        <v>46038.0</v>
      </c>
      <c r="K393" s="31">
        <v>105.0</v>
      </c>
      <c r="L393" s="45" t="s">
        <v>4026</v>
      </c>
      <c r="M393" s="157">
        <v>1874.0</v>
      </c>
      <c r="N393" s="32"/>
      <c r="O393" s="32"/>
      <c r="P393" s="45" t="s">
        <v>4027</v>
      </c>
      <c r="Q393" s="134"/>
      <c r="R393" s="32"/>
      <c r="S393" s="132">
        <v>8250.0</v>
      </c>
      <c r="T393" s="45" t="s">
        <v>4028</v>
      </c>
      <c r="U393" s="168">
        <v>3.0</v>
      </c>
      <c r="V393" s="228">
        <f t="shared" ref="V393:V394" si="194">(U393*$K393)/100</f>
        <v>3.15</v>
      </c>
      <c r="W393" s="168">
        <v>65.0</v>
      </c>
      <c r="X393" s="228">
        <f t="shared" ref="X393:X394" si="195">(W393*$K393)/100</f>
        <v>68.25</v>
      </c>
      <c r="Y393" s="168">
        <v>2.0</v>
      </c>
      <c r="Z393" s="228">
        <f t="shared" ref="Z393:Z394" si="196">(Y393*$K393)/100</f>
        <v>2.1</v>
      </c>
      <c r="AA393" s="168">
        <v>10.0</v>
      </c>
      <c r="AB393" s="228">
        <f t="shared" ref="AB393:AB394" si="197">(AA393*$K393)/100</f>
        <v>10.5</v>
      </c>
      <c r="AC393" s="271">
        <f t="shared" ref="AC393:AC409" si="198">100-(U393+W393+Y393+AA393)</f>
        <v>20</v>
      </c>
      <c r="AD393" s="228">
        <f t="shared" ref="AD393:AD394" si="199">(AC393*$K393)/100</f>
        <v>21</v>
      </c>
      <c r="AE393" s="180" t="s">
        <v>4029</v>
      </c>
      <c r="AF393" s="20" t="s">
        <v>4030</v>
      </c>
      <c r="AG393" s="26">
        <v>228531.0</v>
      </c>
      <c r="AH393" s="36">
        <v>2025.0</v>
      </c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>
      <c r="A394" s="276">
        <f t="shared" si="33"/>
        <v>393</v>
      </c>
      <c r="B394" s="31" t="s">
        <v>4031</v>
      </c>
      <c r="C394" s="32"/>
      <c r="D394" s="32"/>
      <c r="E394" s="32"/>
      <c r="F394" s="31" t="s">
        <v>4032</v>
      </c>
      <c r="G394" s="31" t="s">
        <v>1162</v>
      </c>
      <c r="H394" s="31" t="s">
        <v>67</v>
      </c>
      <c r="I394" s="31" t="s">
        <v>33</v>
      </c>
      <c r="J394" s="92">
        <v>46045.0</v>
      </c>
      <c r="K394" s="32">
        <f>0.66*200</f>
        <v>132</v>
      </c>
      <c r="L394" s="33" t="s">
        <v>4033</v>
      </c>
      <c r="M394" s="157">
        <v>1960.0</v>
      </c>
      <c r="N394" s="32"/>
      <c r="O394" s="32"/>
      <c r="P394" s="32"/>
      <c r="Q394" s="134"/>
      <c r="R394" s="32"/>
      <c r="S394" s="132">
        <v>7983.0</v>
      </c>
      <c r="T394" s="45" t="s">
        <v>4034</v>
      </c>
      <c r="U394" s="168">
        <v>3.4</v>
      </c>
      <c r="V394" s="228">
        <f t="shared" si="194"/>
        <v>4.488</v>
      </c>
      <c r="W394" s="168">
        <v>15.5</v>
      </c>
      <c r="X394" s="228">
        <f t="shared" si="195"/>
        <v>20.46</v>
      </c>
      <c r="Y394" s="168">
        <v>12.1</v>
      </c>
      <c r="Z394" s="228">
        <f t="shared" si="196"/>
        <v>15.972</v>
      </c>
      <c r="AA394" s="168">
        <v>58.0</v>
      </c>
      <c r="AB394" s="228">
        <f t="shared" si="197"/>
        <v>76.56</v>
      </c>
      <c r="AC394" s="271">
        <f t="shared" si="198"/>
        <v>11</v>
      </c>
      <c r="AD394" s="228">
        <f t="shared" si="199"/>
        <v>14.52</v>
      </c>
      <c r="AE394" s="31" t="s">
        <v>4035</v>
      </c>
      <c r="AF394" s="20" t="s">
        <v>4036</v>
      </c>
      <c r="AG394" s="26">
        <v>106153.0</v>
      </c>
      <c r="AH394" s="36">
        <v>2025.0</v>
      </c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>
      <c r="A395" s="276">
        <f t="shared" si="33"/>
        <v>394</v>
      </c>
      <c r="B395" s="31" t="s">
        <v>4037</v>
      </c>
      <c r="C395" s="32"/>
      <c r="D395" s="31"/>
      <c r="E395" s="31"/>
      <c r="F395" s="31" t="s">
        <v>4038</v>
      </c>
      <c r="G395" s="31" t="s">
        <v>1162</v>
      </c>
      <c r="H395" s="31" t="s">
        <v>67</v>
      </c>
      <c r="I395" s="31" t="s">
        <v>33</v>
      </c>
      <c r="J395" s="92">
        <v>46047.0</v>
      </c>
      <c r="K395" s="31">
        <v>200.0</v>
      </c>
      <c r="L395" s="237" t="s">
        <v>4039</v>
      </c>
      <c r="M395" s="157">
        <v>1958.0</v>
      </c>
      <c r="N395" s="31" t="s">
        <v>4040</v>
      </c>
      <c r="O395" s="32"/>
      <c r="P395" s="236"/>
      <c r="Q395" s="134"/>
      <c r="R395" s="32"/>
      <c r="S395" s="132"/>
      <c r="T395" s="236"/>
      <c r="U395" s="239">
        <v>5.6</v>
      </c>
      <c r="V395" s="228">
        <f t="shared" ref="V395:V398" si="200">(U395*$K396)/100</f>
        <v>10.696</v>
      </c>
      <c r="W395" s="239">
        <v>37.2</v>
      </c>
      <c r="X395" s="228">
        <f t="shared" ref="X395:X398" si="201">(W395*$K396)/100</f>
        <v>71.052</v>
      </c>
      <c r="Y395" s="239">
        <v>2.8</v>
      </c>
      <c r="Z395" s="228">
        <f t="shared" ref="Z395:Z398" si="202">(Y395*$K396)/100</f>
        <v>5.348</v>
      </c>
      <c r="AA395" s="239">
        <v>45.1</v>
      </c>
      <c r="AB395" s="228">
        <f t="shared" ref="AB395:AB398" si="203">(AA395*$K396)/100</f>
        <v>86.141</v>
      </c>
      <c r="AC395" s="271">
        <f t="shared" si="198"/>
        <v>9.3</v>
      </c>
      <c r="AD395" s="228">
        <f t="shared" ref="AD395:AD398" si="204">(AC395*$K396)/100</f>
        <v>17.763</v>
      </c>
      <c r="AE395" s="21" t="s">
        <v>4041</v>
      </c>
      <c r="AF395" s="20" t="s">
        <v>4042</v>
      </c>
      <c r="AG395" s="26">
        <v>80595.0</v>
      </c>
      <c r="AH395" s="36">
        <v>2025.0</v>
      </c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>
      <c r="A396" s="276">
        <f t="shared" si="33"/>
        <v>395</v>
      </c>
      <c r="B396" s="31" t="s">
        <v>4043</v>
      </c>
      <c r="C396" s="32"/>
      <c r="D396" s="31"/>
      <c r="E396" s="31"/>
      <c r="F396" s="31" t="s">
        <v>1698</v>
      </c>
      <c r="G396" s="31" t="s">
        <v>1162</v>
      </c>
      <c r="H396" s="31" t="s">
        <v>67</v>
      </c>
      <c r="I396" s="31" t="s">
        <v>33</v>
      </c>
      <c r="J396" s="92">
        <v>46047.0</v>
      </c>
      <c r="K396" s="31">
        <v>191.0</v>
      </c>
      <c r="L396" s="237" t="s">
        <v>4039</v>
      </c>
      <c r="M396" s="157"/>
      <c r="N396" s="31" t="s">
        <v>4044</v>
      </c>
      <c r="O396" s="32"/>
      <c r="P396" s="236"/>
      <c r="Q396" s="134"/>
      <c r="R396" s="32"/>
      <c r="S396" s="132">
        <v>6175.0</v>
      </c>
      <c r="T396" s="45" t="s">
        <v>4045</v>
      </c>
      <c r="U396" s="239">
        <v>1.8</v>
      </c>
      <c r="V396" s="228">
        <f t="shared" si="200"/>
        <v>2.826</v>
      </c>
      <c r="W396" s="239">
        <v>88.1</v>
      </c>
      <c r="X396" s="228">
        <f t="shared" si="201"/>
        <v>138.317</v>
      </c>
      <c r="Y396" s="239">
        <v>3.1</v>
      </c>
      <c r="Z396" s="228">
        <f t="shared" si="202"/>
        <v>4.867</v>
      </c>
      <c r="AA396" s="239">
        <v>4.4</v>
      </c>
      <c r="AB396" s="228">
        <f t="shared" si="203"/>
        <v>6.908</v>
      </c>
      <c r="AC396" s="271">
        <f t="shared" si="198"/>
        <v>2.6</v>
      </c>
      <c r="AD396" s="228">
        <f t="shared" si="204"/>
        <v>4.082</v>
      </c>
      <c r="AE396" s="20" t="s">
        <v>4046</v>
      </c>
      <c r="AF396" s="20" t="s">
        <v>4047</v>
      </c>
      <c r="AG396" s="26">
        <v>76838.0</v>
      </c>
      <c r="AH396" s="36">
        <v>2025.0</v>
      </c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>
      <c r="A397" s="276">
        <f t="shared" si="33"/>
        <v>396</v>
      </c>
      <c r="B397" s="31" t="s">
        <v>4048</v>
      </c>
      <c r="C397" s="32"/>
      <c r="D397" s="31"/>
      <c r="E397" s="31"/>
      <c r="F397" s="31" t="s">
        <v>1698</v>
      </c>
      <c r="G397" s="31" t="s">
        <v>1162</v>
      </c>
      <c r="H397" s="31" t="s">
        <v>67</v>
      </c>
      <c r="I397" s="31" t="s">
        <v>33</v>
      </c>
      <c r="J397" s="92">
        <v>46047.0</v>
      </c>
      <c r="K397" s="31">
        <v>157.0</v>
      </c>
      <c r="L397" s="237" t="s">
        <v>4039</v>
      </c>
      <c r="M397" s="157"/>
      <c r="N397" s="31" t="s">
        <v>4049</v>
      </c>
      <c r="O397" s="32"/>
      <c r="P397" s="236"/>
      <c r="Q397" s="134"/>
      <c r="R397" s="32"/>
      <c r="S397" s="132">
        <v>6617.0</v>
      </c>
      <c r="T397" s="45" t="s">
        <v>4050</v>
      </c>
      <c r="U397" s="239">
        <v>0.0</v>
      </c>
      <c r="V397" s="228">
        <f t="shared" si="200"/>
        <v>0</v>
      </c>
      <c r="W397" s="239">
        <v>24.1</v>
      </c>
      <c r="X397" s="228">
        <f t="shared" si="201"/>
        <v>27.474</v>
      </c>
      <c r="Y397" s="239">
        <v>4.4</v>
      </c>
      <c r="Z397" s="228">
        <f t="shared" si="202"/>
        <v>5.016</v>
      </c>
      <c r="AA397" s="239">
        <v>58.9</v>
      </c>
      <c r="AB397" s="228">
        <f t="shared" si="203"/>
        <v>67.146</v>
      </c>
      <c r="AC397" s="271">
        <f t="shared" si="198"/>
        <v>12.6</v>
      </c>
      <c r="AD397" s="228">
        <f t="shared" si="204"/>
        <v>14.364</v>
      </c>
      <c r="AE397" s="237" t="s">
        <v>4051</v>
      </c>
      <c r="AF397" s="20" t="s">
        <v>4052</v>
      </c>
      <c r="AG397" s="26">
        <v>108642.0</v>
      </c>
      <c r="AH397" s="36">
        <v>2025.0</v>
      </c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</row>
    <row r="398">
      <c r="A398" s="276">
        <f t="shared" si="33"/>
        <v>397</v>
      </c>
      <c r="B398" s="31" t="s">
        <v>4053</v>
      </c>
      <c r="C398" s="32"/>
      <c r="D398" s="31"/>
      <c r="E398" s="31"/>
      <c r="F398" s="31" t="s">
        <v>1698</v>
      </c>
      <c r="G398" s="31" t="s">
        <v>1162</v>
      </c>
      <c r="H398" s="31" t="s">
        <v>67</v>
      </c>
      <c r="I398" s="31" t="s">
        <v>33</v>
      </c>
      <c r="J398" s="92">
        <v>46047.0</v>
      </c>
      <c r="K398" s="31">
        <v>114.0</v>
      </c>
      <c r="L398" s="237" t="s">
        <v>4039</v>
      </c>
      <c r="M398" s="157">
        <v>1922.0</v>
      </c>
      <c r="N398" s="31" t="s">
        <v>4054</v>
      </c>
      <c r="O398" s="32"/>
      <c r="P398" s="236"/>
      <c r="Q398" s="134"/>
      <c r="R398" s="32"/>
      <c r="S398" s="132">
        <v>7000.0</v>
      </c>
      <c r="T398" s="45" t="s">
        <v>4055</v>
      </c>
      <c r="U398" s="239">
        <v>5.0</v>
      </c>
      <c r="V398" s="228">
        <f t="shared" si="200"/>
        <v>9.45</v>
      </c>
      <c r="W398" s="239">
        <v>30.0</v>
      </c>
      <c r="X398" s="228">
        <f t="shared" si="201"/>
        <v>56.7</v>
      </c>
      <c r="Y398" s="239">
        <v>0.8</v>
      </c>
      <c r="Z398" s="228">
        <f t="shared" si="202"/>
        <v>1.512</v>
      </c>
      <c r="AA398" s="239">
        <v>51.7</v>
      </c>
      <c r="AB398" s="228">
        <f t="shared" si="203"/>
        <v>97.713</v>
      </c>
      <c r="AC398" s="271">
        <f t="shared" si="198"/>
        <v>12.5</v>
      </c>
      <c r="AD398" s="228">
        <f t="shared" si="204"/>
        <v>23.625</v>
      </c>
      <c r="AE398" s="237" t="s">
        <v>4056</v>
      </c>
      <c r="AF398" s="20" t="s">
        <v>4057</v>
      </c>
      <c r="AG398" s="26">
        <v>87299.0</v>
      </c>
      <c r="AH398" s="36">
        <v>2025.0</v>
      </c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</row>
    <row r="399">
      <c r="A399" s="276">
        <f t="shared" si="33"/>
        <v>398</v>
      </c>
      <c r="B399" s="31" t="s">
        <v>4058</v>
      </c>
      <c r="C399" s="32"/>
      <c r="D399" s="31" t="s">
        <v>1324</v>
      </c>
      <c r="E399" s="31" t="s">
        <v>4059</v>
      </c>
      <c r="F399" s="31" t="s">
        <v>1833</v>
      </c>
      <c r="G399" s="31" t="s">
        <v>21</v>
      </c>
      <c r="H399" s="31" t="s">
        <v>22</v>
      </c>
      <c r="I399" s="31" t="s">
        <v>33</v>
      </c>
      <c r="J399" s="92">
        <v>46045.0</v>
      </c>
      <c r="K399" s="31">
        <v>189.0</v>
      </c>
      <c r="L399" s="237" t="s">
        <v>4060</v>
      </c>
      <c r="M399" s="157">
        <v>1961.0</v>
      </c>
      <c r="N399" s="32"/>
      <c r="O399" s="32"/>
      <c r="P399" s="45" t="s">
        <v>4061</v>
      </c>
      <c r="Q399" s="134"/>
      <c r="R399" s="32"/>
      <c r="S399" s="132">
        <v>5551.0</v>
      </c>
      <c r="T399" s="45" t="s">
        <v>4062</v>
      </c>
      <c r="U399" s="239">
        <v>6.9</v>
      </c>
      <c r="V399" s="228">
        <f>(U399*$K399)/100</f>
        <v>13.041</v>
      </c>
      <c r="W399" s="239">
        <v>34.4</v>
      </c>
      <c r="X399" s="228">
        <f>(W399*$K399)/100</f>
        <v>65.016</v>
      </c>
      <c r="Y399" s="239">
        <v>4.8</v>
      </c>
      <c r="Z399" s="228">
        <f>(Y399*$K399)/100</f>
        <v>9.072</v>
      </c>
      <c r="AA399" s="239">
        <v>25.9</v>
      </c>
      <c r="AB399" s="228">
        <f>(AA399*$K399)/100</f>
        <v>48.951</v>
      </c>
      <c r="AC399" s="271">
        <f t="shared" si="198"/>
        <v>28</v>
      </c>
      <c r="AD399" s="228">
        <f>(AC399*$K399)/100</f>
        <v>52.92</v>
      </c>
      <c r="AE399" s="237" t="s">
        <v>4063</v>
      </c>
      <c r="AF399" s="20" t="s">
        <v>4064</v>
      </c>
      <c r="AG399" s="26">
        <v>51625.0</v>
      </c>
      <c r="AH399" s="36">
        <v>2025.0</v>
      </c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</row>
    <row r="400">
      <c r="A400" s="276">
        <f t="shared" si="33"/>
        <v>399</v>
      </c>
      <c r="B400" s="31" t="s">
        <v>4065</v>
      </c>
      <c r="C400" s="32"/>
      <c r="D400" s="31" t="s">
        <v>1324</v>
      </c>
      <c r="E400" s="31" t="s">
        <v>4059</v>
      </c>
      <c r="F400" s="31" t="s">
        <v>1833</v>
      </c>
      <c r="G400" s="31" t="s">
        <v>21</v>
      </c>
      <c r="H400" s="31" t="s">
        <v>22</v>
      </c>
      <c r="I400" s="31" t="s">
        <v>33</v>
      </c>
      <c r="J400" s="92">
        <v>46045.0</v>
      </c>
      <c r="K400" s="31">
        <v>192.0</v>
      </c>
      <c r="L400" s="237" t="s">
        <v>4066</v>
      </c>
      <c r="M400" s="156"/>
      <c r="N400" s="32"/>
      <c r="O400" s="32"/>
      <c r="P400" s="45" t="s">
        <v>4061</v>
      </c>
      <c r="Q400" s="134"/>
      <c r="R400" s="32"/>
      <c r="S400" s="132">
        <v>7007.0</v>
      </c>
      <c r="T400" s="45" t="s">
        <v>4067</v>
      </c>
      <c r="U400" s="168">
        <v>2.6</v>
      </c>
      <c r="V400" s="228">
        <f t="shared" ref="V400:V409" si="205">(U400*$K399)/100</f>
        <v>4.914</v>
      </c>
      <c r="W400" s="168">
        <v>40.1</v>
      </c>
      <c r="X400" s="228">
        <f t="shared" ref="X400:X409" si="206">(W400*$K399)/100</f>
        <v>75.789</v>
      </c>
      <c r="Y400" s="168">
        <v>20.8</v>
      </c>
      <c r="Z400" s="228">
        <f t="shared" ref="Z400:Z409" si="207">(Y400*$K399)/100</f>
        <v>39.312</v>
      </c>
      <c r="AA400" s="168">
        <v>9.4</v>
      </c>
      <c r="AB400" s="228">
        <f t="shared" ref="AB400:AB409" si="208">(AA400*$K399)/100</f>
        <v>17.766</v>
      </c>
      <c r="AC400" s="271">
        <f t="shared" si="198"/>
        <v>27.1</v>
      </c>
      <c r="AD400" s="228">
        <f t="shared" ref="AD400:AD409" si="209">(AC400*$K399)/100</f>
        <v>51.219</v>
      </c>
      <c r="AE400" s="237" t="s">
        <v>4066</v>
      </c>
      <c r="AF400" s="20" t="s">
        <v>4068</v>
      </c>
      <c r="AG400" s="26">
        <v>78246.0</v>
      </c>
      <c r="AH400" s="36">
        <v>2025.0</v>
      </c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</row>
    <row r="401">
      <c r="A401" s="276">
        <f t="shared" si="33"/>
        <v>400</v>
      </c>
      <c r="B401" s="31" t="s">
        <v>4069</v>
      </c>
      <c r="C401" s="32"/>
      <c r="D401" s="31" t="s">
        <v>1324</v>
      </c>
      <c r="E401" s="31" t="s">
        <v>4059</v>
      </c>
      <c r="F401" s="31" t="s">
        <v>1833</v>
      </c>
      <c r="G401" s="31" t="s">
        <v>21</v>
      </c>
      <c r="H401" s="31" t="s">
        <v>22</v>
      </c>
      <c r="I401" s="31" t="s">
        <v>33</v>
      </c>
      <c r="J401" s="92">
        <v>46045.0</v>
      </c>
      <c r="K401" s="31">
        <v>226.0</v>
      </c>
      <c r="L401" s="45" t="s">
        <v>4070</v>
      </c>
      <c r="M401" s="156"/>
      <c r="N401" s="32"/>
      <c r="O401" s="32"/>
      <c r="P401" s="45" t="s">
        <v>4061</v>
      </c>
      <c r="Q401" s="134"/>
      <c r="R401" s="32"/>
      <c r="S401" s="132">
        <v>7500.0</v>
      </c>
      <c r="T401" s="45" t="s">
        <v>4071</v>
      </c>
      <c r="U401" s="168">
        <v>5.8</v>
      </c>
      <c r="V401" s="228">
        <f t="shared" si="205"/>
        <v>11.136</v>
      </c>
      <c r="W401" s="168">
        <v>31.4</v>
      </c>
      <c r="X401" s="228">
        <f t="shared" si="206"/>
        <v>60.288</v>
      </c>
      <c r="Y401" s="168">
        <v>7.7</v>
      </c>
      <c r="Z401" s="228">
        <f t="shared" si="207"/>
        <v>14.784</v>
      </c>
      <c r="AA401" s="168">
        <v>17.7</v>
      </c>
      <c r="AB401" s="228">
        <f t="shared" si="208"/>
        <v>33.984</v>
      </c>
      <c r="AC401" s="271">
        <f t="shared" si="198"/>
        <v>37.4</v>
      </c>
      <c r="AD401" s="228">
        <f t="shared" si="209"/>
        <v>71.808</v>
      </c>
      <c r="AE401" s="33" t="s">
        <v>4072</v>
      </c>
      <c r="AF401" s="20" t="s">
        <v>4073</v>
      </c>
      <c r="AG401" s="26">
        <v>116907.0</v>
      </c>
      <c r="AH401" s="36">
        <v>2025.0</v>
      </c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</row>
    <row r="402">
      <c r="A402" s="276">
        <f t="shared" si="33"/>
        <v>401</v>
      </c>
      <c r="B402" s="31" t="s">
        <v>2418</v>
      </c>
      <c r="C402" s="32"/>
      <c r="D402" s="32"/>
      <c r="E402" s="32"/>
      <c r="F402" s="31" t="s">
        <v>4074</v>
      </c>
      <c r="G402" s="31" t="s">
        <v>83</v>
      </c>
      <c r="H402" s="31" t="s">
        <v>43</v>
      </c>
      <c r="I402" s="31" t="s">
        <v>33</v>
      </c>
      <c r="J402" s="92">
        <v>46045.0</v>
      </c>
      <c r="K402" s="31">
        <v>112.0</v>
      </c>
      <c r="L402" s="45" t="s">
        <v>4075</v>
      </c>
      <c r="M402" s="157">
        <v>1925.0</v>
      </c>
      <c r="N402" s="31" t="s">
        <v>4076</v>
      </c>
      <c r="O402" s="32"/>
      <c r="P402" s="32"/>
      <c r="Q402" s="134"/>
      <c r="R402" s="32"/>
      <c r="S402" s="132">
        <v>4850.0</v>
      </c>
      <c r="T402" s="45" t="s">
        <v>4077</v>
      </c>
      <c r="U402" s="168">
        <v>1.1</v>
      </c>
      <c r="V402" s="228">
        <f t="shared" si="205"/>
        <v>2.486</v>
      </c>
      <c r="W402" s="168">
        <v>2.8</v>
      </c>
      <c r="X402" s="228">
        <f t="shared" si="206"/>
        <v>6.328</v>
      </c>
      <c r="Y402" s="168">
        <v>0.0</v>
      </c>
      <c r="Z402" s="228">
        <f t="shared" si="207"/>
        <v>0</v>
      </c>
      <c r="AA402" s="168">
        <v>69.8</v>
      </c>
      <c r="AB402" s="228">
        <f t="shared" si="208"/>
        <v>157.748</v>
      </c>
      <c r="AC402" s="271">
        <f t="shared" si="198"/>
        <v>26.3</v>
      </c>
      <c r="AD402" s="228">
        <f t="shared" si="209"/>
        <v>59.438</v>
      </c>
      <c r="AE402" s="31" t="s">
        <v>4078</v>
      </c>
      <c r="AF402" s="20" t="s">
        <v>4079</v>
      </c>
      <c r="AG402" s="26">
        <v>74892.0</v>
      </c>
      <c r="AH402" s="36">
        <v>2025.0</v>
      </c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</row>
    <row r="403">
      <c r="A403" s="276">
        <f t="shared" si="33"/>
        <v>402</v>
      </c>
      <c r="B403" s="31" t="s">
        <v>4080</v>
      </c>
      <c r="C403" s="32"/>
      <c r="D403" s="32"/>
      <c r="E403" s="32"/>
      <c r="F403" s="31" t="s">
        <v>4081</v>
      </c>
      <c r="G403" s="31" t="s">
        <v>76</v>
      </c>
      <c r="H403" s="31" t="s">
        <v>43</v>
      </c>
      <c r="I403" s="31" t="s">
        <v>33</v>
      </c>
      <c r="J403" s="92">
        <v>46064.0</v>
      </c>
      <c r="K403" s="31">
        <v>134.0</v>
      </c>
      <c r="L403" s="45" t="s">
        <v>4082</v>
      </c>
      <c r="M403" s="128">
        <v>1949.0</v>
      </c>
      <c r="N403" s="42" t="s">
        <v>4083</v>
      </c>
      <c r="O403" s="136" t="s">
        <v>4084</v>
      </c>
      <c r="P403" s="136" t="s">
        <v>4085</v>
      </c>
      <c r="Q403" s="278" t="s">
        <v>640</v>
      </c>
      <c r="R403" s="42" t="s">
        <v>640</v>
      </c>
      <c r="S403" s="132">
        <v>5150.0</v>
      </c>
      <c r="T403" s="36" t="s">
        <v>4086</v>
      </c>
      <c r="U403" s="137">
        <v>95.6</v>
      </c>
      <c r="V403" s="228">
        <f t="shared" si="205"/>
        <v>107.072</v>
      </c>
      <c r="W403" s="137">
        <v>4.4</v>
      </c>
      <c r="X403" s="228">
        <f t="shared" si="206"/>
        <v>4.928</v>
      </c>
      <c r="Y403" s="137">
        <v>0.0</v>
      </c>
      <c r="Z403" s="228">
        <f t="shared" si="207"/>
        <v>0</v>
      </c>
      <c r="AA403" s="137">
        <v>0.0</v>
      </c>
      <c r="AB403" s="228">
        <f t="shared" si="208"/>
        <v>0</v>
      </c>
      <c r="AC403" s="271">
        <f t="shared" si="198"/>
        <v>0</v>
      </c>
      <c r="AD403" s="228">
        <f t="shared" si="209"/>
        <v>0</v>
      </c>
      <c r="AE403" s="42" t="s">
        <v>4087</v>
      </c>
      <c r="AF403" s="42" t="s">
        <v>4088</v>
      </c>
      <c r="AG403" s="279">
        <v>153203.0</v>
      </c>
      <c r="AH403" s="128">
        <v>2025.0</v>
      </c>
      <c r="AI403" s="185"/>
      <c r="AJ403" s="185"/>
      <c r="AK403" s="185"/>
      <c r="AL403" s="185"/>
      <c r="AM403" s="185"/>
      <c r="AN403" s="185"/>
      <c r="AO403" s="185"/>
      <c r="AP403" s="185"/>
      <c r="AQ403" s="185"/>
      <c r="AR403" s="185"/>
      <c r="AS403" s="185"/>
    </row>
    <row r="404">
      <c r="A404" s="276">
        <f t="shared" si="33"/>
        <v>403</v>
      </c>
      <c r="B404" s="31" t="s">
        <v>4089</v>
      </c>
      <c r="C404" s="32"/>
      <c r="D404" s="32"/>
      <c r="E404" s="32"/>
      <c r="F404" s="31" t="s">
        <v>4081</v>
      </c>
      <c r="G404" s="31" t="s">
        <v>76</v>
      </c>
      <c r="H404" s="31" t="s">
        <v>43</v>
      </c>
      <c r="I404" s="31" t="s">
        <v>33</v>
      </c>
      <c r="J404" s="92">
        <v>46064.0</v>
      </c>
      <c r="K404" s="31">
        <v>138.0</v>
      </c>
      <c r="L404" s="136" t="s">
        <v>4090</v>
      </c>
      <c r="M404" s="128">
        <v>1924.0</v>
      </c>
      <c r="N404" s="42" t="s">
        <v>4091</v>
      </c>
      <c r="O404" s="280"/>
      <c r="P404" s="136" t="s">
        <v>4092</v>
      </c>
      <c r="Q404" s="278" t="s">
        <v>640</v>
      </c>
      <c r="R404" s="42" t="s">
        <v>640</v>
      </c>
      <c r="S404" s="132">
        <v>7569.0</v>
      </c>
      <c r="T404" s="36" t="s">
        <v>4093</v>
      </c>
      <c r="U404" s="137">
        <v>1.2</v>
      </c>
      <c r="V404" s="228">
        <f t="shared" si="205"/>
        <v>1.608</v>
      </c>
      <c r="W404" s="137">
        <v>78.8</v>
      </c>
      <c r="X404" s="228">
        <f t="shared" si="206"/>
        <v>105.592</v>
      </c>
      <c r="Y404" s="137">
        <v>18.8</v>
      </c>
      <c r="Z404" s="228">
        <f t="shared" si="207"/>
        <v>25.192</v>
      </c>
      <c r="AA404" s="137">
        <v>1.2</v>
      </c>
      <c r="AB404" s="228">
        <f t="shared" si="208"/>
        <v>1.608</v>
      </c>
      <c r="AC404" s="271">
        <f t="shared" si="198"/>
        <v>0</v>
      </c>
      <c r="AD404" s="228">
        <f t="shared" si="209"/>
        <v>0</v>
      </c>
      <c r="AE404" s="42" t="s">
        <v>4094</v>
      </c>
      <c r="AF404" s="42" t="s">
        <v>4095</v>
      </c>
      <c r="AG404" s="281">
        <v>54841.0</v>
      </c>
      <c r="AH404" s="185"/>
      <c r="AI404" s="185"/>
      <c r="AJ404" s="185"/>
      <c r="AK404" s="185"/>
      <c r="AL404" s="185"/>
      <c r="AM404" s="185"/>
      <c r="AN404" s="185"/>
      <c r="AO404" s="185"/>
      <c r="AP404" s="185"/>
      <c r="AQ404" s="185"/>
      <c r="AR404" s="185"/>
      <c r="AS404" s="185"/>
    </row>
    <row r="405">
      <c r="A405" s="276">
        <f t="shared" si="33"/>
        <v>404</v>
      </c>
      <c r="B405" s="31" t="s">
        <v>4096</v>
      </c>
      <c r="C405" s="32"/>
      <c r="D405" s="32"/>
      <c r="E405" s="32"/>
      <c r="F405" s="31" t="s">
        <v>4081</v>
      </c>
      <c r="G405" s="31" t="s">
        <v>76</v>
      </c>
      <c r="H405" s="31" t="s">
        <v>43</v>
      </c>
      <c r="I405" s="31" t="s">
        <v>33</v>
      </c>
      <c r="J405" s="92">
        <v>46064.0</v>
      </c>
      <c r="K405" s="31">
        <v>144.0</v>
      </c>
      <c r="L405" s="45" t="s">
        <v>4082</v>
      </c>
      <c r="M405" s="128">
        <v>1929.0</v>
      </c>
      <c r="N405" s="42" t="s">
        <v>4097</v>
      </c>
      <c r="O405" s="280"/>
      <c r="P405" s="136" t="s">
        <v>4098</v>
      </c>
      <c r="Q405" s="278" t="s">
        <v>640</v>
      </c>
      <c r="R405" s="42" t="s">
        <v>640</v>
      </c>
      <c r="S405" s="132">
        <v>5680.0</v>
      </c>
      <c r="T405" s="136" t="s">
        <v>4099</v>
      </c>
      <c r="U405" s="137">
        <v>18.8</v>
      </c>
      <c r="V405" s="228">
        <f t="shared" si="205"/>
        <v>25.944</v>
      </c>
      <c r="W405" s="137">
        <v>36.5</v>
      </c>
      <c r="X405" s="228">
        <f t="shared" si="206"/>
        <v>50.37</v>
      </c>
      <c r="Y405" s="137">
        <v>28.5</v>
      </c>
      <c r="Z405" s="228">
        <f t="shared" si="207"/>
        <v>39.33</v>
      </c>
      <c r="AA405" s="137">
        <v>16.0</v>
      </c>
      <c r="AB405" s="228">
        <f t="shared" si="208"/>
        <v>22.08</v>
      </c>
      <c r="AC405" s="271">
        <f t="shared" si="198"/>
        <v>0.2</v>
      </c>
      <c r="AD405" s="228">
        <f t="shared" si="209"/>
        <v>0.276</v>
      </c>
      <c r="AE405" s="42" t="s">
        <v>4100</v>
      </c>
      <c r="AF405" s="42" t="s">
        <v>4101</v>
      </c>
      <c r="AG405" s="282">
        <v>118578.0</v>
      </c>
      <c r="AH405" s="128">
        <v>2025.0</v>
      </c>
      <c r="AI405" s="185"/>
      <c r="AJ405" s="185"/>
      <c r="AK405" s="185"/>
      <c r="AL405" s="185"/>
      <c r="AM405" s="185"/>
      <c r="AN405" s="185"/>
      <c r="AO405" s="185"/>
      <c r="AP405" s="185"/>
      <c r="AQ405" s="185"/>
      <c r="AR405" s="185"/>
      <c r="AS405" s="185"/>
    </row>
    <row r="406">
      <c r="A406" s="276">
        <f t="shared" si="33"/>
        <v>405</v>
      </c>
      <c r="B406" s="31" t="s">
        <v>4102</v>
      </c>
      <c r="C406" s="32"/>
      <c r="D406" s="32"/>
      <c r="E406" s="32"/>
      <c r="F406" s="31" t="s">
        <v>4081</v>
      </c>
      <c r="G406" s="31" t="s">
        <v>76</v>
      </c>
      <c r="H406" s="31" t="s">
        <v>43</v>
      </c>
      <c r="I406" s="31" t="s">
        <v>33</v>
      </c>
      <c r="J406" s="92">
        <v>46064.0</v>
      </c>
      <c r="K406" s="31">
        <v>98.0</v>
      </c>
      <c r="L406" s="45" t="s">
        <v>4082</v>
      </c>
      <c r="M406" s="128">
        <v>1952.0</v>
      </c>
      <c r="N406" s="42" t="s">
        <v>4103</v>
      </c>
      <c r="O406" s="280"/>
      <c r="P406" s="136" t="s">
        <v>4104</v>
      </c>
      <c r="Q406" s="278" t="s">
        <v>640</v>
      </c>
      <c r="R406" s="42" t="s">
        <v>640</v>
      </c>
      <c r="S406" s="132">
        <v>8000.0</v>
      </c>
      <c r="T406" s="36" t="s">
        <v>4105</v>
      </c>
      <c r="U406" s="137">
        <v>59.0</v>
      </c>
      <c r="V406" s="228">
        <f t="shared" si="205"/>
        <v>84.96</v>
      </c>
      <c r="W406" s="137">
        <v>14.7</v>
      </c>
      <c r="X406" s="228">
        <f t="shared" si="206"/>
        <v>21.168</v>
      </c>
      <c r="Y406" s="137">
        <v>17.7</v>
      </c>
      <c r="Z406" s="228">
        <f t="shared" si="207"/>
        <v>25.488</v>
      </c>
      <c r="AA406" s="137">
        <v>0.9</v>
      </c>
      <c r="AB406" s="228">
        <f t="shared" si="208"/>
        <v>1.296</v>
      </c>
      <c r="AC406" s="271">
        <f t="shared" si="198"/>
        <v>7.7</v>
      </c>
      <c r="AD406" s="228">
        <f t="shared" si="209"/>
        <v>11.088</v>
      </c>
      <c r="AE406" s="42" t="s">
        <v>4106</v>
      </c>
      <c r="AF406" s="42" t="s">
        <v>4107</v>
      </c>
      <c r="AG406" s="282">
        <v>119418.0</v>
      </c>
      <c r="AH406" s="128">
        <v>2025.0</v>
      </c>
      <c r="AI406" s="185"/>
      <c r="AJ406" s="185"/>
      <c r="AK406" s="185"/>
      <c r="AL406" s="185"/>
      <c r="AM406" s="185"/>
      <c r="AN406" s="185"/>
      <c r="AO406" s="185"/>
      <c r="AP406" s="185"/>
      <c r="AQ406" s="185"/>
      <c r="AR406" s="185"/>
      <c r="AS406" s="185"/>
    </row>
    <row r="407">
      <c r="A407" s="276">
        <f t="shared" si="33"/>
        <v>406</v>
      </c>
      <c r="B407" s="31" t="s">
        <v>4108</v>
      </c>
      <c r="C407" s="32"/>
      <c r="D407" s="32"/>
      <c r="E407" s="32"/>
      <c r="F407" s="31" t="s">
        <v>4081</v>
      </c>
      <c r="G407" s="31" t="s">
        <v>76</v>
      </c>
      <c r="H407" s="31" t="s">
        <v>43</v>
      </c>
      <c r="I407" s="31" t="s">
        <v>33</v>
      </c>
      <c r="J407" s="92">
        <v>46064.0</v>
      </c>
      <c r="K407" s="31">
        <v>105.0</v>
      </c>
      <c r="L407" s="45" t="s">
        <v>4082</v>
      </c>
      <c r="M407" s="128">
        <v>1916.0</v>
      </c>
      <c r="N407" s="42" t="s">
        <v>4109</v>
      </c>
      <c r="O407" s="136" t="s">
        <v>4110</v>
      </c>
      <c r="P407" s="136" t="s">
        <v>4111</v>
      </c>
      <c r="Q407" s="278" t="s">
        <v>640</v>
      </c>
      <c r="R407" s="42" t="s">
        <v>640</v>
      </c>
      <c r="S407" s="132">
        <v>6050.0</v>
      </c>
      <c r="T407" s="136" t="s">
        <v>4112</v>
      </c>
      <c r="U407" s="137">
        <v>1.0</v>
      </c>
      <c r="V407" s="228">
        <f t="shared" si="205"/>
        <v>0.98</v>
      </c>
      <c r="W407" s="137">
        <v>71.2</v>
      </c>
      <c r="X407" s="228">
        <f t="shared" si="206"/>
        <v>69.776</v>
      </c>
      <c r="Y407" s="137">
        <v>2.0</v>
      </c>
      <c r="Z407" s="228">
        <f t="shared" si="207"/>
        <v>1.96</v>
      </c>
      <c r="AA407" s="137">
        <v>1.0</v>
      </c>
      <c r="AB407" s="228">
        <f t="shared" si="208"/>
        <v>0.98</v>
      </c>
      <c r="AC407" s="271">
        <f t="shared" si="198"/>
        <v>24.8</v>
      </c>
      <c r="AD407" s="228">
        <f t="shared" si="209"/>
        <v>24.304</v>
      </c>
      <c r="AE407" s="42" t="s">
        <v>4113</v>
      </c>
      <c r="AF407" s="42" t="s">
        <v>4114</v>
      </c>
      <c r="AG407" s="282">
        <v>106569.0</v>
      </c>
      <c r="AH407" s="128">
        <v>2025.0</v>
      </c>
      <c r="AI407" s="185"/>
      <c r="AJ407" s="185"/>
      <c r="AK407" s="185"/>
      <c r="AL407" s="185"/>
      <c r="AM407" s="185"/>
      <c r="AN407" s="185"/>
      <c r="AO407" s="185"/>
      <c r="AP407" s="185"/>
      <c r="AQ407" s="185"/>
      <c r="AR407" s="185"/>
      <c r="AS407" s="185"/>
    </row>
    <row r="408">
      <c r="A408" s="276">
        <f t="shared" si="33"/>
        <v>407</v>
      </c>
      <c r="B408" s="31" t="s">
        <v>4115</v>
      </c>
      <c r="C408" s="32"/>
      <c r="D408" s="32"/>
      <c r="E408" s="32"/>
      <c r="F408" s="31" t="s">
        <v>4081</v>
      </c>
      <c r="G408" s="31" t="s">
        <v>76</v>
      </c>
      <c r="H408" s="31" t="s">
        <v>43</v>
      </c>
      <c r="I408" s="31" t="s">
        <v>33</v>
      </c>
      <c r="J408" s="92">
        <v>46064.0</v>
      </c>
      <c r="K408" s="31">
        <v>157.0</v>
      </c>
      <c r="L408" s="45" t="s">
        <v>4082</v>
      </c>
      <c r="M408" s="128">
        <v>1885.0</v>
      </c>
      <c r="N408" s="42" t="s">
        <v>4116</v>
      </c>
      <c r="O408" s="280"/>
      <c r="P408" s="136" t="s">
        <v>4117</v>
      </c>
      <c r="Q408" s="278" t="s">
        <v>640</v>
      </c>
      <c r="R408" s="42" t="s">
        <v>640</v>
      </c>
      <c r="S408" s="132">
        <v>6000.0</v>
      </c>
      <c r="T408" s="136" t="s">
        <v>4118</v>
      </c>
      <c r="U408" s="137">
        <v>11.2</v>
      </c>
      <c r="V408" s="228">
        <f t="shared" si="205"/>
        <v>11.76</v>
      </c>
      <c r="W408" s="137">
        <v>74.9</v>
      </c>
      <c r="X408" s="228">
        <f t="shared" si="206"/>
        <v>78.645</v>
      </c>
      <c r="Y408" s="137">
        <v>5.2</v>
      </c>
      <c r="Z408" s="228">
        <f t="shared" si="207"/>
        <v>5.46</v>
      </c>
      <c r="AA408" s="137">
        <v>6.0</v>
      </c>
      <c r="AB408" s="228">
        <f t="shared" si="208"/>
        <v>6.3</v>
      </c>
      <c r="AC408" s="271">
        <f t="shared" si="198"/>
        <v>2.7</v>
      </c>
      <c r="AD408" s="228">
        <f t="shared" si="209"/>
        <v>2.835</v>
      </c>
      <c r="AE408" s="42" t="s">
        <v>4119</v>
      </c>
      <c r="AF408" s="42" t="s">
        <v>4120</v>
      </c>
      <c r="AG408" s="282">
        <v>88637.0</v>
      </c>
      <c r="AH408" s="128">
        <v>2025.0</v>
      </c>
      <c r="AI408" s="185"/>
      <c r="AJ408" s="185"/>
      <c r="AK408" s="185"/>
      <c r="AL408" s="185"/>
      <c r="AM408" s="185"/>
      <c r="AN408" s="185"/>
      <c r="AO408" s="185"/>
      <c r="AP408" s="185"/>
      <c r="AQ408" s="185"/>
      <c r="AR408" s="185"/>
      <c r="AS408" s="185"/>
    </row>
    <row r="409">
      <c r="A409" s="276">
        <f t="shared" si="33"/>
        <v>408</v>
      </c>
      <c r="B409" s="31" t="s">
        <v>4121</v>
      </c>
      <c r="C409" s="32"/>
      <c r="D409" s="32"/>
      <c r="E409" s="32"/>
      <c r="F409" s="31" t="s">
        <v>379</v>
      </c>
      <c r="G409" s="31" t="s">
        <v>76</v>
      </c>
      <c r="H409" s="31" t="s">
        <v>43</v>
      </c>
      <c r="I409" s="31" t="s">
        <v>33</v>
      </c>
      <c r="J409" s="92">
        <v>46064.0</v>
      </c>
      <c r="K409" s="31">
        <v>115.0</v>
      </c>
      <c r="L409" s="45" t="s">
        <v>4082</v>
      </c>
      <c r="M409" s="128">
        <v>1966.0</v>
      </c>
      <c r="N409" s="42" t="s">
        <v>4122</v>
      </c>
      <c r="O409" s="136" t="s">
        <v>4123</v>
      </c>
      <c r="P409" s="136" t="s">
        <v>4124</v>
      </c>
      <c r="Q409" s="278" t="s">
        <v>640</v>
      </c>
      <c r="R409" s="42" t="s">
        <v>640</v>
      </c>
      <c r="S409" s="132">
        <v>5200.0</v>
      </c>
      <c r="T409" s="136" t="s">
        <v>4125</v>
      </c>
      <c r="U409" s="137">
        <v>84.4</v>
      </c>
      <c r="V409" s="228">
        <f t="shared" si="205"/>
        <v>132.508</v>
      </c>
      <c r="W409" s="137">
        <v>2.6</v>
      </c>
      <c r="X409" s="228">
        <f t="shared" si="206"/>
        <v>4.082</v>
      </c>
      <c r="Y409" s="137">
        <v>0.0</v>
      </c>
      <c r="Z409" s="228">
        <f t="shared" si="207"/>
        <v>0</v>
      </c>
      <c r="AA409" s="137">
        <v>1.7</v>
      </c>
      <c r="AB409" s="228">
        <f t="shared" si="208"/>
        <v>2.669</v>
      </c>
      <c r="AC409" s="271">
        <f t="shared" si="198"/>
        <v>11.3</v>
      </c>
      <c r="AD409" s="228">
        <f t="shared" si="209"/>
        <v>17.741</v>
      </c>
      <c r="AE409" s="42" t="s">
        <v>4126</v>
      </c>
      <c r="AF409" s="42" t="s">
        <v>4127</v>
      </c>
      <c r="AG409" s="282">
        <v>133257.0</v>
      </c>
      <c r="AH409" s="128">
        <v>2025.0</v>
      </c>
      <c r="AI409" s="185"/>
      <c r="AJ409" s="185"/>
      <c r="AK409" s="185"/>
      <c r="AL409" s="185"/>
      <c r="AM409" s="185"/>
      <c r="AN409" s="185"/>
      <c r="AO409" s="185"/>
      <c r="AP409" s="185"/>
      <c r="AQ409" s="185"/>
      <c r="AR409" s="185"/>
      <c r="AS409" s="185"/>
    </row>
    <row r="410">
      <c r="A410" s="276">
        <f t="shared" si="33"/>
        <v>409</v>
      </c>
      <c r="B410" s="31" t="s">
        <v>4128</v>
      </c>
      <c r="C410" s="32"/>
      <c r="D410" s="32"/>
      <c r="E410" s="32"/>
      <c r="F410" s="31" t="s">
        <v>4129</v>
      </c>
      <c r="G410" s="31" t="s">
        <v>436</v>
      </c>
      <c r="H410" s="31" t="s">
        <v>32</v>
      </c>
      <c r="I410" s="31" t="s">
        <v>68</v>
      </c>
      <c r="J410" s="92">
        <v>46065.0</v>
      </c>
      <c r="K410" s="31">
        <v>70.0</v>
      </c>
      <c r="L410" s="45" t="s">
        <v>4130</v>
      </c>
      <c r="M410" s="156"/>
      <c r="N410" s="32"/>
      <c r="O410" s="32"/>
      <c r="P410" s="32"/>
      <c r="Q410" s="134"/>
      <c r="R410" s="32"/>
      <c r="S410" s="135"/>
      <c r="T410" s="131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32"/>
      <c r="AF410" s="27"/>
      <c r="AG410" s="85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</row>
    <row r="411">
      <c r="A411" s="276">
        <f t="shared" si="33"/>
        <v>410</v>
      </c>
      <c r="B411" s="31" t="s">
        <v>4131</v>
      </c>
      <c r="C411" s="32"/>
      <c r="D411" s="32"/>
      <c r="E411" s="32"/>
      <c r="F411" s="31" t="s">
        <v>2837</v>
      </c>
      <c r="G411" s="31" t="s">
        <v>76</v>
      </c>
      <c r="H411" s="31" t="s">
        <v>43</v>
      </c>
      <c r="I411" s="31" t="s">
        <v>33</v>
      </c>
      <c r="J411" s="92">
        <v>46066.0</v>
      </c>
      <c r="K411" s="31">
        <v>286.0</v>
      </c>
      <c r="L411" s="45" t="s">
        <v>4132</v>
      </c>
      <c r="M411" s="157">
        <v>1978.0</v>
      </c>
      <c r="N411" s="31" t="s">
        <v>4133</v>
      </c>
      <c r="O411" s="32"/>
      <c r="P411" s="45" t="s">
        <v>4134</v>
      </c>
      <c r="Q411" s="134"/>
      <c r="R411" s="32"/>
      <c r="S411" s="135"/>
      <c r="T411" s="131"/>
      <c r="U411" s="168">
        <v>44.1</v>
      </c>
      <c r="V411" s="228">
        <f>(U411*$K410)/100</f>
        <v>30.87</v>
      </c>
      <c r="W411" s="168">
        <v>9.1</v>
      </c>
      <c r="X411" s="228">
        <f>(W411*$K410)/100</f>
        <v>6.37</v>
      </c>
      <c r="Y411" s="168">
        <v>18.5</v>
      </c>
      <c r="Z411" s="228">
        <f>(Y411*$K410)/100</f>
        <v>12.95</v>
      </c>
      <c r="AA411" s="168">
        <v>16.4</v>
      </c>
      <c r="AB411" s="228">
        <f>(AA411*$K410)/100</f>
        <v>11.48</v>
      </c>
      <c r="AC411" s="271">
        <f>100-(U411+W411+Y411+AA411)</f>
        <v>11.9</v>
      </c>
      <c r="AD411" s="228">
        <f>(AC411*$K410)/100</f>
        <v>8.33</v>
      </c>
      <c r="AE411" s="45" t="s">
        <v>4132</v>
      </c>
      <c r="AF411" s="20" t="s">
        <v>4135</v>
      </c>
      <c r="AG411" s="26">
        <v>195364.0</v>
      </c>
      <c r="AH411" s="20">
        <v>2025.0</v>
      </c>
      <c r="AI411" s="139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</row>
    <row r="412">
      <c r="A412" s="276">
        <f t="shared" si="33"/>
        <v>411</v>
      </c>
      <c r="B412" s="31" t="s">
        <v>4136</v>
      </c>
      <c r="C412" s="32"/>
      <c r="D412" s="32"/>
      <c r="E412" s="32"/>
      <c r="F412" s="31" t="s">
        <v>4137</v>
      </c>
      <c r="G412" s="31" t="s">
        <v>327</v>
      </c>
      <c r="H412" s="31" t="s">
        <v>67</v>
      </c>
      <c r="I412" s="31" t="s">
        <v>23</v>
      </c>
      <c r="J412" s="92">
        <v>46073.0</v>
      </c>
      <c r="K412" s="32"/>
      <c r="L412" s="32"/>
      <c r="M412" s="156"/>
      <c r="N412" s="33" t="s">
        <v>4138</v>
      </c>
      <c r="O412" s="32"/>
      <c r="P412" s="47" t="s">
        <v>4139</v>
      </c>
      <c r="Q412" s="134"/>
      <c r="R412" s="32"/>
      <c r="S412" s="132">
        <v>35600.0</v>
      </c>
      <c r="T412" s="45" t="s">
        <v>4140</v>
      </c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32"/>
      <c r="AF412" s="20" t="s">
        <v>4141</v>
      </c>
      <c r="AG412" s="26">
        <v>67855.0</v>
      </c>
      <c r="AH412" s="20">
        <v>2025.0</v>
      </c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</row>
    <row r="413">
      <c r="A413" s="276">
        <f t="shared" si="33"/>
        <v>412</v>
      </c>
      <c r="B413" s="31" t="s">
        <v>4142</v>
      </c>
      <c r="C413" s="32"/>
      <c r="D413" s="32"/>
      <c r="E413" s="32"/>
      <c r="F413" s="31" t="s">
        <v>4143</v>
      </c>
      <c r="G413" s="31" t="s">
        <v>1062</v>
      </c>
      <c r="H413" s="31" t="s">
        <v>67</v>
      </c>
      <c r="I413" s="31" t="s">
        <v>33</v>
      </c>
      <c r="J413" s="92">
        <v>46090.0</v>
      </c>
      <c r="K413" s="31">
        <v>42.0</v>
      </c>
      <c r="L413" s="45" t="s">
        <v>4144</v>
      </c>
      <c r="M413" s="157">
        <v>1956.0</v>
      </c>
      <c r="N413" s="32"/>
      <c r="O413" s="32"/>
      <c r="P413" s="32"/>
      <c r="Q413" s="134"/>
      <c r="R413" s="32"/>
      <c r="S413" s="135"/>
      <c r="T413" s="131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32"/>
      <c r="AF413" s="27"/>
      <c r="AG413" s="85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</row>
    <row r="414">
      <c r="A414" s="276">
        <f t="shared" si="33"/>
        <v>413</v>
      </c>
      <c r="B414" s="31" t="s">
        <v>4145</v>
      </c>
      <c r="C414" s="32"/>
      <c r="D414" s="32"/>
      <c r="E414" s="32"/>
      <c r="F414" s="31" t="s">
        <v>4146</v>
      </c>
      <c r="G414" s="31" t="s">
        <v>83</v>
      </c>
      <c r="H414" s="31" t="s">
        <v>43</v>
      </c>
      <c r="I414" s="31" t="s">
        <v>33</v>
      </c>
      <c r="J414" s="92">
        <v>46090.0</v>
      </c>
      <c r="K414" s="31">
        <v>169.0</v>
      </c>
      <c r="L414" s="45" t="s">
        <v>4147</v>
      </c>
      <c r="M414" s="157">
        <v>1929.0</v>
      </c>
      <c r="N414" s="32"/>
      <c r="O414" s="32"/>
      <c r="P414" s="32"/>
      <c r="Q414" s="134"/>
      <c r="R414" s="32"/>
      <c r="S414" s="135"/>
      <c r="T414" s="131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32"/>
      <c r="AF414" s="27"/>
      <c r="AG414" s="85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</row>
    <row r="415">
      <c r="A415" s="276">
        <f t="shared" si="33"/>
        <v>414</v>
      </c>
      <c r="B415" s="31" t="s">
        <v>4148</v>
      </c>
      <c r="C415" s="32"/>
      <c r="D415" s="32"/>
      <c r="E415" s="32"/>
      <c r="F415" s="31" t="s">
        <v>4149</v>
      </c>
      <c r="G415" s="31" t="s">
        <v>66</v>
      </c>
      <c r="H415" s="31" t="s">
        <v>67</v>
      </c>
      <c r="I415" s="31" t="s">
        <v>33</v>
      </c>
      <c r="J415" s="92">
        <v>46088.0</v>
      </c>
      <c r="K415" s="32"/>
      <c r="L415" s="32"/>
      <c r="M415" s="157">
        <v>1876.0</v>
      </c>
      <c r="N415" s="236" t="s">
        <v>4150</v>
      </c>
      <c r="O415" s="32"/>
      <c r="P415" s="33" t="s">
        <v>4151</v>
      </c>
      <c r="Q415" s="134"/>
      <c r="R415" s="32"/>
      <c r="S415" s="135"/>
      <c r="T415" s="131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32"/>
      <c r="AF415" s="27"/>
      <c r="AG415" s="85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</row>
    <row r="416">
      <c r="A416" s="276">
        <f t="shared" si="33"/>
        <v>415</v>
      </c>
      <c r="B416" s="31" t="s">
        <v>4152</v>
      </c>
      <c r="C416" s="32"/>
      <c r="D416" s="32"/>
      <c r="E416" s="32"/>
      <c r="F416" s="31" t="s">
        <v>1452</v>
      </c>
      <c r="G416" s="31" t="s">
        <v>1162</v>
      </c>
      <c r="H416" s="31" t="s">
        <v>67</v>
      </c>
      <c r="I416" s="31" t="s">
        <v>33</v>
      </c>
      <c r="J416" s="92">
        <v>46086.0</v>
      </c>
      <c r="K416" s="32"/>
      <c r="L416" s="32"/>
      <c r="M416" s="157">
        <v>1911.0</v>
      </c>
      <c r="N416" s="236" t="s">
        <v>4153</v>
      </c>
      <c r="O416" s="32"/>
      <c r="P416" s="180" t="s">
        <v>4154</v>
      </c>
      <c r="Q416" s="134"/>
      <c r="R416" s="32"/>
      <c r="S416" s="135"/>
      <c r="T416" s="131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32"/>
      <c r="AF416" s="27"/>
      <c r="AG416" s="85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</row>
    <row r="417">
      <c r="A417" s="276">
        <f t="shared" si="33"/>
        <v>416</v>
      </c>
      <c r="B417" s="31" t="s">
        <v>4155</v>
      </c>
      <c r="C417" s="32"/>
      <c r="D417" s="32"/>
      <c r="E417" s="32"/>
      <c r="F417" s="31" t="s">
        <v>4156</v>
      </c>
      <c r="G417" s="31" t="s">
        <v>21</v>
      </c>
      <c r="H417" s="31" t="s">
        <v>22</v>
      </c>
      <c r="I417" s="31" t="s">
        <v>33</v>
      </c>
      <c r="J417" s="92">
        <v>46080.0</v>
      </c>
      <c r="K417" s="31">
        <v>60.0</v>
      </c>
      <c r="L417" s="45" t="s">
        <v>4157</v>
      </c>
      <c r="M417" s="157">
        <v>1951.0</v>
      </c>
      <c r="N417" s="32"/>
      <c r="O417" s="32"/>
      <c r="P417" s="32"/>
      <c r="Q417" s="134"/>
      <c r="R417" s="32"/>
      <c r="S417" s="135"/>
      <c r="T417" s="131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32"/>
      <c r="AF417" s="27"/>
      <c r="AG417" s="85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</row>
    <row r="418">
      <c r="A418" s="276">
        <f t="shared" si="33"/>
        <v>417</v>
      </c>
      <c r="B418" s="31" t="s">
        <v>4158</v>
      </c>
      <c r="C418" s="32"/>
      <c r="D418" s="32"/>
      <c r="E418" s="32"/>
      <c r="F418" s="31" t="s">
        <v>4159</v>
      </c>
      <c r="G418" s="31" t="s">
        <v>66</v>
      </c>
      <c r="H418" s="31" t="s">
        <v>67</v>
      </c>
      <c r="I418" s="31" t="s">
        <v>33</v>
      </c>
      <c r="J418" s="92">
        <v>46079.0</v>
      </c>
      <c r="K418" s="32"/>
      <c r="L418" s="32"/>
      <c r="M418" s="156"/>
      <c r="N418" s="236" t="s">
        <v>4160</v>
      </c>
      <c r="O418" s="32"/>
      <c r="P418" s="45" t="s">
        <v>4161</v>
      </c>
      <c r="Q418" s="134"/>
      <c r="R418" s="32"/>
      <c r="S418" s="135"/>
      <c r="T418" s="131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32"/>
      <c r="AF418" s="27"/>
      <c r="AG418" s="85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</row>
    <row r="419">
      <c r="A419" s="276">
        <f t="shared" si="33"/>
        <v>418</v>
      </c>
      <c r="B419" s="31" t="s">
        <v>4162</v>
      </c>
      <c r="C419" s="32"/>
      <c r="D419" s="31" t="s">
        <v>1324</v>
      </c>
      <c r="E419" s="31" t="s">
        <v>4163</v>
      </c>
      <c r="F419" s="31" t="s">
        <v>4164</v>
      </c>
      <c r="G419" s="31" t="s">
        <v>91</v>
      </c>
      <c r="H419" s="31" t="s">
        <v>43</v>
      </c>
      <c r="I419" s="31" t="s">
        <v>1338</v>
      </c>
      <c r="J419" s="92">
        <v>46084.0</v>
      </c>
      <c r="K419" s="32"/>
      <c r="L419" s="32"/>
      <c r="M419" s="156"/>
      <c r="N419" s="31" t="s">
        <v>4165</v>
      </c>
      <c r="O419" s="32"/>
      <c r="P419" s="45" t="s">
        <v>1737</v>
      </c>
      <c r="Q419" s="134"/>
      <c r="R419" s="32"/>
      <c r="S419" s="135"/>
      <c r="T419" s="131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32"/>
      <c r="AF419" s="27"/>
      <c r="AG419" s="85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</row>
    <row r="420">
      <c r="A420" s="276">
        <f t="shared" si="33"/>
        <v>419</v>
      </c>
      <c r="B420" s="31" t="s">
        <v>4166</v>
      </c>
      <c r="C420" s="32"/>
      <c r="D420" s="31" t="s">
        <v>1324</v>
      </c>
      <c r="E420" s="31" t="s">
        <v>4163</v>
      </c>
      <c r="F420" s="31" t="s">
        <v>4167</v>
      </c>
      <c r="G420" s="31" t="s">
        <v>91</v>
      </c>
      <c r="H420" s="31" t="s">
        <v>43</v>
      </c>
      <c r="I420" s="31" t="s">
        <v>1338</v>
      </c>
      <c r="J420" s="92">
        <v>46084.0</v>
      </c>
      <c r="K420" s="32"/>
      <c r="L420" s="32"/>
      <c r="M420" s="156"/>
      <c r="N420" s="31" t="s">
        <v>4165</v>
      </c>
      <c r="O420" s="32"/>
      <c r="P420" s="45" t="s">
        <v>1737</v>
      </c>
      <c r="Q420" s="134"/>
      <c r="R420" s="32"/>
      <c r="S420" s="135"/>
      <c r="T420" s="131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32"/>
      <c r="AF420" s="27"/>
      <c r="AG420" s="85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</row>
    <row r="421">
      <c r="A421" s="276">
        <f t="shared" si="33"/>
        <v>420</v>
      </c>
      <c r="B421" s="31" t="s">
        <v>4168</v>
      </c>
      <c r="C421" s="32"/>
      <c r="D421" s="32"/>
      <c r="E421" s="32"/>
      <c r="F421" s="31" t="s">
        <v>4169</v>
      </c>
      <c r="G421" s="31" t="s">
        <v>327</v>
      </c>
      <c r="H421" s="31" t="s">
        <v>67</v>
      </c>
      <c r="I421" s="31" t="s">
        <v>33</v>
      </c>
      <c r="J421" s="92">
        <v>46107.0</v>
      </c>
      <c r="K421" s="31">
        <v>18.0</v>
      </c>
      <c r="L421" s="45" t="s">
        <v>4170</v>
      </c>
      <c r="M421" s="157"/>
      <c r="N421" s="32"/>
      <c r="O421" s="32"/>
      <c r="P421" s="32"/>
      <c r="Q421" s="134"/>
      <c r="R421" s="32"/>
      <c r="S421" s="132"/>
      <c r="T421" s="236"/>
      <c r="U421" s="163"/>
      <c r="V421" s="228"/>
      <c r="W421" s="168"/>
      <c r="X421" s="228"/>
      <c r="Y421" s="163"/>
      <c r="Z421" s="228"/>
      <c r="AA421" s="168"/>
      <c r="AB421" s="228"/>
      <c r="AC421" s="271"/>
      <c r="AD421" s="228"/>
      <c r="AE421" s="31"/>
      <c r="AF421" s="20" t="s">
        <v>4171</v>
      </c>
      <c r="AG421" s="26">
        <v>102748.0</v>
      </c>
      <c r="AH421" s="20">
        <v>2025.0</v>
      </c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</row>
    <row r="422">
      <c r="A422" s="276">
        <f t="shared" si="33"/>
        <v>421</v>
      </c>
      <c r="B422" s="31" t="s">
        <v>4172</v>
      </c>
      <c r="C422" s="32"/>
      <c r="D422" s="32"/>
      <c r="E422" s="32"/>
      <c r="F422" s="31" t="s">
        <v>4173</v>
      </c>
      <c r="G422" s="31" t="s">
        <v>76</v>
      </c>
      <c r="H422" s="31" t="s">
        <v>43</v>
      </c>
      <c r="I422" s="31" t="s">
        <v>33</v>
      </c>
      <c r="J422" s="92">
        <v>46099.0</v>
      </c>
      <c r="K422" s="31">
        <v>275.0</v>
      </c>
      <c r="L422" s="45" t="s">
        <v>4174</v>
      </c>
      <c r="M422" s="157">
        <v>1832.0</v>
      </c>
      <c r="N422" s="32"/>
      <c r="O422" s="32"/>
      <c r="P422" s="32"/>
      <c r="Q422" s="134"/>
      <c r="R422" s="32"/>
      <c r="S422" s="132">
        <v>6175.0</v>
      </c>
      <c r="T422" s="45" t="s">
        <v>4175</v>
      </c>
      <c r="U422" s="31">
        <v>59.5</v>
      </c>
      <c r="V422" s="228">
        <f t="shared" ref="V422:V423" si="210">(U422*$K421)/100</f>
        <v>10.71</v>
      </c>
      <c r="W422" s="168">
        <v>14.7</v>
      </c>
      <c r="X422" s="228">
        <f t="shared" ref="X422:X423" si="211">(W422*$K421)/100</f>
        <v>2.646</v>
      </c>
      <c r="Y422" s="168">
        <v>17.7</v>
      </c>
      <c r="Z422" s="228">
        <f t="shared" ref="Z422:Z423" si="212">(Y422*$K421)/100</f>
        <v>3.186</v>
      </c>
      <c r="AA422" s="168">
        <v>0.9</v>
      </c>
      <c r="AB422" s="228">
        <f t="shared" ref="AB422:AB423" si="213">(AA422*$K421)/100</f>
        <v>0.162</v>
      </c>
      <c r="AC422" s="271">
        <f t="shared" ref="AC422:AC423" si="214">100-(U422+W422+Y422+AA422)</f>
        <v>7.2</v>
      </c>
      <c r="AD422" s="228">
        <f t="shared" ref="AD422:AD423" si="215">(AC422*$K421)/100</f>
        <v>1.296</v>
      </c>
      <c r="AE422" s="45" t="s">
        <v>4176</v>
      </c>
      <c r="AF422" s="20" t="s">
        <v>4177</v>
      </c>
      <c r="AG422" s="26">
        <v>72988.0</v>
      </c>
      <c r="AH422" s="20">
        <v>2025.0</v>
      </c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</row>
    <row r="423">
      <c r="A423" s="276">
        <f t="shared" si="33"/>
        <v>422</v>
      </c>
      <c r="B423" s="31" t="s">
        <v>4178</v>
      </c>
      <c r="C423" s="32"/>
      <c r="D423" s="32"/>
      <c r="E423" s="32"/>
      <c r="F423" s="31" t="s">
        <v>4179</v>
      </c>
      <c r="G423" s="31" t="s">
        <v>468</v>
      </c>
      <c r="H423" s="31" t="s">
        <v>32</v>
      </c>
      <c r="I423" s="31" t="s">
        <v>33</v>
      </c>
      <c r="J423" s="92">
        <v>46109.0</v>
      </c>
      <c r="K423" s="31">
        <v>81.0</v>
      </c>
      <c r="L423" s="45" t="s">
        <v>4180</v>
      </c>
      <c r="M423" s="157">
        <v>1949.0</v>
      </c>
      <c r="N423" s="32"/>
      <c r="O423" s="32"/>
      <c r="P423" s="32"/>
      <c r="Q423" s="134"/>
      <c r="R423" s="32"/>
      <c r="S423" s="132">
        <v>7000.0</v>
      </c>
      <c r="T423" s="45" t="s">
        <v>4181</v>
      </c>
      <c r="U423" s="163"/>
      <c r="V423" s="228">
        <f t="shared" si="210"/>
        <v>0</v>
      </c>
      <c r="W423" s="168">
        <v>4.3</v>
      </c>
      <c r="X423" s="228">
        <f t="shared" si="211"/>
        <v>11.825</v>
      </c>
      <c r="Y423" s="163"/>
      <c r="Z423" s="228">
        <f t="shared" si="212"/>
        <v>0</v>
      </c>
      <c r="AA423" s="168">
        <v>94.8</v>
      </c>
      <c r="AB423" s="228">
        <f t="shared" si="213"/>
        <v>260.7</v>
      </c>
      <c r="AC423" s="271">
        <f t="shared" si="214"/>
        <v>0.9</v>
      </c>
      <c r="AD423" s="228">
        <f t="shared" si="215"/>
        <v>2.475</v>
      </c>
      <c r="AE423" s="33" t="s">
        <v>4182</v>
      </c>
      <c r="AF423" s="20" t="s">
        <v>4183</v>
      </c>
      <c r="AG423" s="26">
        <v>151891.0</v>
      </c>
      <c r="AH423" s="20">
        <v>2025.0</v>
      </c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</row>
    <row r="424">
      <c r="A424" s="276">
        <f t="shared" si="33"/>
        <v>423</v>
      </c>
      <c r="B424" s="31" t="s">
        <v>2509</v>
      </c>
      <c r="C424" s="32"/>
      <c r="D424" s="32"/>
      <c r="E424" s="32"/>
      <c r="F424" s="31" t="s">
        <v>4184</v>
      </c>
      <c r="G424" s="31" t="s">
        <v>76</v>
      </c>
      <c r="H424" s="31" t="s">
        <v>43</v>
      </c>
      <c r="I424" s="31" t="s">
        <v>33</v>
      </c>
      <c r="J424" s="92">
        <v>46099.0</v>
      </c>
      <c r="K424" s="31">
        <v>119.0</v>
      </c>
      <c r="L424" s="32"/>
      <c r="M424" s="157">
        <v>1956.0</v>
      </c>
      <c r="N424" s="32"/>
      <c r="O424" s="32"/>
      <c r="P424" s="32"/>
      <c r="Q424" s="134"/>
      <c r="R424" s="32"/>
      <c r="S424" s="135"/>
      <c r="T424" s="131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32"/>
      <c r="AF424" s="20" t="s">
        <v>4185</v>
      </c>
      <c r="AG424" s="26">
        <v>200861.0</v>
      </c>
      <c r="AH424" s="20">
        <v>2025.0</v>
      </c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</row>
    <row r="425">
      <c r="A425" s="276">
        <f t="shared" si="33"/>
        <v>424</v>
      </c>
      <c r="B425" s="31" t="s">
        <v>4186</v>
      </c>
      <c r="C425" s="32"/>
      <c r="D425" s="32"/>
      <c r="E425" s="32"/>
      <c r="F425" s="31" t="s">
        <v>4187</v>
      </c>
      <c r="G425" s="31" t="s">
        <v>76</v>
      </c>
      <c r="H425" s="31" t="s">
        <v>43</v>
      </c>
      <c r="I425" s="31" t="s">
        <v>33</v>
      </c>
      <c r="J425" s="92">
        <v>46099.0</v>
      </c>
      <c r="K425" s="31">
        <v>143.0</v>
      </c>
      <c r="L425" s="32"/>
      <c r="M425" s="157">
        <v>1966.0</v>
      </c>
      <c r="N425" s="32"/>
      <c r="O425" s="32"/>
      <c r="P425" s="32"/>
      <c r="Q425" s="134"/>
      <c r="R425" s="32"/>
      <c r="S425" s="135"/>
      <c r="T425" s="131"/>
      <c r="U425" s="168">
        <v>4.5</v>
      </c>
      <c r="V425" s="228">
        <f>(U425*$K424)/100</f>
        <v>5.355</v>
      </c>
      <c r="W425" s="168">
        <v>11.4</v>
      </c>
      <c r="X425" s="228">
        <f>(W425*$K424)/100</f>
        <v>13.566</v>
      </c>
      <c r="Y425" s="168">
        <v>6.3</v>
      </c>
      <c r="Z425" s="228">
        <f>(Y425*$K424)/100</f>
        <v>7.497</v>
      </c>
      <c r="AA425" s="168">
        <v>52.8</v>
      </c>
      <c r="AB425" s="228">
        <f>(AA425*$K424)/100</f>
        <v>62.832</v>
      </c>
      <c r="AC425" s="271">
        <f>100-(U425+W425+Y425+AA425)</f>
        <v>25</v>
      </c>
      <c r="AD425" s="228">
        <f>(AC425*$K424)/100</f>
        <v>29.75</v>
      </c>
      <c r="AE425" s="32"/>
      <c r="AF425" s="20" t="s">
        <v>4188</v>
      </c>
      <c r="AG425" s="26">
        <v>108658.0</v>
      </c>
      <c r="AH425" s="20">
        <v>2025.0</v>
      </c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</row>
    <row r="426">
      <c r="A426" s="276">
        <f t="shared" si="33"/>
        <v>425</v>
      </c>
      <c r="B426" s="42" t="s">
        <v>4189</v>
      </c>
      <c r="C426" s="57"/>
      <c r="D426" s="283"/>
      <c r="E426" s="283"/>
      <c r="F426" s="57" t="s">
        <v>4190</v>
      </c>
      <c r="G426" s="57" t="s">
        <v>1095</v>
      </c>
      <c r="H426" s="57" t="s">
        <v>32</v>
      </c>
      <c r="I426" s="57" t="s">
        <v>23</v>
      </c>
      <c r="J426" s="92">
        <v>46094.0</v>
      </c>
      <c r="K426" s="60">
        <v>63.0</v>
      </c>
      <c r="L426" s="77" t="s">
        <v>4191</v>
      </c>
      <c r="M426" s="60">
        <v>1988.0</v>
      </c>
      <c r="N426" s="57" t="s">
        <v>4192</v>
      </c>
      <c r="O426" s="57" t="s">
        <v>4193</v>
      </c>
      <c r="P426" s="77" t="s">
        <v>4194</v>
      </c>
      <c r="Q426" s="57"/>
      <c r="R426" s="57"/>
      <c r="S426" s="284">
        <v>7500.0</v>
      </c>
      <c r="T426" s="77" t="s">
        <v>4195</v>
      </c>
      <c r="U426" s="57"/>
      <c r="V426" s="57"/>
      <c r="W426" s="57"/>
      <c r="X426" s="57"/>
      <c r="Y426" s="285"/>
      <c r="Z426" s="285"/>
      <c r="AA426" s="285"/>
      <c r="AB426" s="285"/>
      <c r="AC426" s="285"/>
      <c r="AD426" s="285"/>
      <c r="AE426" s="77" t="s">
        <v>4196</v>
      </c>
      <c r="AF426" s="57" t="s">
        <v>4197</v>
      </c>
      <c r="AG426" s="97">
        <v>85652.0</v>
      </c>
      <c r="AH426" s="20">
        <v>2025.0</v>
      </c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</row>
    <row r="427">
      <c r="A427" s="276">
        <f t="shared" si="33"/>
        <v>426</v>
      </c>
      <c r="B427" s="42" t="s">
        <v>4198</v>
      </c>
      <c r="C427" s="57"/>
      <c r="D427" s="57"/>
      <c r="E427" s="283"/>
      <c r="F427" s="57" t="s">
        <v>300</v>
      </c>
      <c r="G427" s="57" t="s">
        <v>133</v>
      </c>
      <c r="H427" s="57" t="s">
        <v>32</v>
      </c>
      <c r="I427" s="57" t="s">
        <v>33</v>
      </c>
      <c r="J427" s="92">
        <v>46125.0</v>
      </c>
      <c r="K427" s="60">
        <v>248.0</v>
      </c>
      <c r="L427" s="77" t="s">
        <v>4199</v>
      </c>
      <c r="M427" s="60">
        <v>1926.0</v>
      </c>
      <c r="N427" s="57" t="s">
        <v>4200</v>
      </c>
      <c r="O427" s="57" t="s">
        <v>4201</v>
      </c>
      <c r="P427" s="77" t="s">
        <v>4199</v>
      </c>
      <c r="Q427" s="57"/>
      <c r="R427" s="57"/>
      <c r="S427" s="284">
        <v>7530.0</v>
      </c>
      <c r="T427" s="77" t="s">
        <v>4202</v>
      </c>
      <c r="U427" s="286">
        <v>40.5</v>
      </c>
      <c r="V427" s="286">
        <v>100.44</v>
      </c>
      <c r="W427" s="286">
        <v>6.2</v>
      </c>
      <c r="X427" s="286">
        <v>15.376</v>
      </c>
      <c r="Y427" s="286">
        <v>3.5</v>
      </c>
      <c r="Z427" s="286">
        <v>8.68</v>
      </c>
      <c r="AA427" s="286">
        <v>42.0</v>
      </c>
      <c r="AB427" s="286">
        <v>104.16</v>
      </c>
      <c r="AC427" s="286">
        <v>7.8</v>
      </c>
      <c r="AD427" s="286">
        <v>19.344</v>
      </c>
      <c r="AE427" s="57" t="s">
        <v>4203</v>
      </c>
      <c r="AF427" s="57" t="s">
        <v>4204</v>
      </c>
      <c r="AG427" s="97">
        <v>99354.0</v>
      </c>
      <c r="AH427" s="20">
        <v>2025.0</v>
      </c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</row>
    <row r="428">
      <c r="A428" s="276">
        <f t="shared" si="33"/>
        <v>427</v>
      </c>
      <c r="B428" s="42" t="s">
        <v>4205</v>
      </c>
      <c r="C428" s="57"/>
      <c r="D428" s="57"/>
      <c r="E428" s="283"/>
      <c r="F428" s="57" t="s">
        <v>3379</v>
      </c>
      <c r="G428" s="57" t="s">
        <v>260</v>
      </c>
      <c r="H428" s="57" t="s">
        <v>32</v>
      </c>
      <c r="I428" s="57" t="s">
        <v>23</v>
      </c>
      <c r="J428" s="92">
        <v>46112.0</v>
      </c>
      <c r="K428" s="60">
        <v>158.0</v>
      </c>
      <c r="L428" s="77" t="s">
        <v>4206</v>
      </c>
      <c r="M428" s="60">
        <v>2013.0</v>
      </c>
      <c r="N428" s="57" t="s">
        <v>4207</v>
      </c>
      <c r="O428" s="57" t="s">
        <v>4208</v>
      </c>
      <c r="P428" s="77" t="s">
        <v>4209</v>
      </c>
      <c r="Q428" s="287"/>
      <c r="R428" s="77" t="s">
        <v>4210</v>
      </c>
      <c r="S428" s="284">
        <v>26052.0</v>
      </c>
      <c r="T428" s="77" t="s">
        <v>4211</v>
      </c>
      <c r="U428" s="57"/>
      <c r="V428" s="57"/>
      <c r="W428" s="57"/>
      <c r="X428" s="57"/>
      <c r="Y428" s="285"/>
      <c r="Z428" s="285"/>
      <c r="AA428" s="285"/>
      <c r="AB428" s="285"/>
      <c r="AC428" s="286">
        <v>35.0</v>
      </c>
      <c r="AD428" s="286">
        <v>55.3</v>
      </c>
      <c r="AE428" s="77" t="s">
        <v>4212</v>
      </c>
      <c r="AF428" s="57" t="s">
        <v>4213</v>
      </c>
      <c r="AG428" s="97">
        <v>158445.0</v>
      </c>
      <c r="AH428" s="20">
        <v>2025.0</v>
      </c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</row>
    <row r="429">
      <c r="A429" s="276">
        <f t="shared" si="33"/>
        <v>428</v>
      </c>
      <c r="B429" s="31" t="s">
        <v>4214</v>
      </c>
      <c r="C429" s="32"/>
      <c r="D429" s="32"/>
      <c r="E429" s="32"/>
      <c r="F429" s="31" t="s">
        <v>4215</v>
      </c>
      <c r="G429" s="31" t="s">
        <v>1072</v>
      </c>
      <c r="H429" s="31" t="s">
        <v>22</v>
      </c>
      <c r="I429" s="57" t="s">
        <v>33</v>
      </c>
      <c r="J429" s="92">
        <v>46143.0</v>
      </c>
      <c r="K429" s="31">
        <v>152.0</v>
      </c>
      <c r="L429" s="33" t="s">
        <v>4216</v>
      </c>
      <c r="M429" s="157">
        <v>1944.0</v>
      </c>
      <c r="N429" s="31" t="s">
        <v>4217</v>
      </c>
      <c r="O429" s="31" t="s">
        <v>4218</v>
      </c>
      <c r="P429" s="33" t="s">
        <v>4219</v>
      </c>
      <c r="Q429" s="134"/>
      <c r="R429" s="32"/>
      <c r="S429" s="132">
        <v>9160.0</v>
      </c>
      <c r="T429" s="152" t="s">
        <v>4220</v>
      </c>
      <c r="U429" s="168">
        <v>3.3</v>
      </c>
      <c r="V429" s="168">
        <v>5.0</v>
      </c>
      <c r="W429" s="168">
        <v>5.7</v>
      </c>
      <c r="X429" s="168">
        <v>9.0</v>
      </c>
      <c r="Y429" s="168">
        <v>19.7</v>
      </c>
      <c r="Z429" s="168">
        <v>30.0</v>
      </c>
      <c r="AA429" s="168">
        <v>18.0</v>
      </c>
      <c r="AB429" s="168">
        <v>27.0</v>
      </c>
      <c r="AC429" s="168">
        <v>53.0</v>
      </c>
      <c r="AD429" s="168">
        <v>81.0</v>
      </c>
      <c r="AE429" s="33" t="s">
        <v>4216</v>
      </c>
      <c r="AF429" s="20" t="s">
        <v>4221</v>
      </c>
      <c r="AG429" s="26">
        <v>129300.0</v>
      </c>
      <c r="AH429" s="20">
        <v>2025.0</v>
      </c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</row>
    <row r="430">
      <c r="A430" s="276">
        <f t="shared" si="33"/>
        <v>429</v>
      </c>
      <c r="B430" s="31" t="s">
        <v>4222</v>
      </c>
      <c r="C430" s="32"/>
      <c r="D430" s="32"/>
      <c r="E430" s="32"/>
      <c r="F430" s="31" t="s">
        <v>4223</v>
      </c>
      <c r="G430" s="31" t="s">
        <v>732</v>
      </c>
      <c r="H430" s="31" t="s">
        <v>22</v>
      </c>
      <c r="I430" s="31" t="s">
        <v>33</v>
      </c>
      <c r="J430" s="92">
        <v>46150.0</v>
      </c>
      <c r="K430" s="31">
        <v>208.0</v>
      </c>
      <c r="L430" s="33" t="s">
        <v>4224</v>
      </c>
      <c r="M430" s="157">
        <v>1914.0</v>
      </c>
      <c r="N430" s="31" t="s">
        <v>4225</v>
      </c>
      <c r="O430" s="31" t="s">
        <v>4226</v>
      </c>
      <c r="P430" s="33" t="s">
        <v>4227</v>
      </c>
      <c r="Q430" s="134"/>
      <c r="R430" s="32"/>
      <c r="S430" s="132">
        <v>3783.0</v>
      </c>
      <c r="T430" s="152" t="s">
        <v>4228</v>
      </c>
      <c r="U430" s="168">
        <v>1.2</v>
      </c>
      <c r="V430" s="168">
        <v>2.0</v>
      </c>
      <c r="W430" s="168">
        <v>3.7</v>
      </c>
      <c r="X430" s="168">
        <v>8.0</v>
      </c>
      <c r="Y430" s="168">
        <v>2.4</v>
      </c>
      <c r="Z430" s="168">
        <v>4.0</v>
      </c>
      <c r="AA430" s="168">
        <v>84.8</v>
      </c>
      <c r="AB430" s="168">
        <v>177.0</v>
      </c>
      <c r="AC430" s="168">
        <v>8.0</v>
      </c>
      <c r="AD430" s="168">
        <v>17.0</v>
      </c>
      <c r="AE430" s="33" t="s">
        <v>4229</v>
      </c>
      <c r="AF430" s="20" t="s">
        <v>4230</v>
      </c>
      <c r="AG430" s="26">
        <v>90800.0</v>
      </c>
      <c r="AH430" s="20">
        <v>2025.0</v>
      </c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</row>
    <row r="431">
      <c r="A431" s="276">
        <f t="shared" si="33"/>
        <v>430</v>
      </c>
      <c r="B431" s="31" t="s">
        <v>545</v>
      </c>
      <c r="C431" s="32"/>
      <c r="D431" s="32"/>
      <c r="E431" s="32"/>
      <c r="F431" s="31" t="s">
        <v>4231</v>
      </c>
      <c r="G431" s="31" t="s">
        <v>165</v>
      </c>
      <c r="H431" s="31" t="s">
        <v>22</v>
      </c>
      <c r="I431" s="31" t="s">
        <v>33</v>
      </c>
      <c r="J431" s="92">
        <v>46156.0</v>
      </c>
      <c r="K431" s="31">
        <v>30.0</v>
      </c>
      <c r="L431" s="33" t="s">
        <v>4232</v>
      </c>
      <c r="M431" s="157">
        <v>2000.0</v>
      </c>
      <c r="N431" s="31" t="s">
        <v>4233</v>
      </c>
      <c r="O431" s="31" t="s">
        <v>4234</v>
      </c>
      <c r="P431" s="33" t="s">
        <v>4232</v>
      </c>
      <c r="Q431" s="134"/>
      <c r="R431" s="32"/>
      <c r="S431" s="132">
        <v>6388.0</v>
      </c>
      <c r="T431" s="152" t="s">
        <v>4235</v>
      </c>
      <c r="U431" s="163"/>
      <c r="V431" s="163"/>
      <c r="W431" s="168">
        <v>6.3</v>
      </c>
      <c r="X431" s="168">
        <v>2.0</v>
      </c>
      <c r="Y431" s="163"/>
      <c r="Z431" s="163"/>
      <c r="AA431" s="168">
        <v>90.6</v>
      </c>
      <c r="AB431" s="168">
        <v>27.0</v>
      </c>
      <c r="AC431" s="168">
        <v>3.1</v>
      </c>
      <c r="AD431" s="168">
        <v>1.0</v>
      </c>
      <c r="AE431" s="33" t="s">
        <v>4236</v>
      </c>
      <c r="AF431" s="20" t="s">
        <v>4237</v>
      </c>
      <c r="AG431" s="96">
        <v>94900.0</v>
      </c>
      <c r="AH431" s="20">
        <v>2025.0</v>
      </c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</row>
    <row r="432">
      <c r="A432" s="276">
        <f t="shared" si="33"/>
        <v>431</v>
      </c>
      <c r="B432" s="31" t="s">
        <v>4238</v>
      </c>
      <c r="C432" s="32"/>
      <c r="D432" s="32"/>
      <c r="E432" s="32"/>
      <c r="F432" s="31" t="s">
        <v>3360</v>
      </c>
      <c r="G432" s="31" t="s">
        <v>83</v>
      </c>
      <c r="H432" s="31" t="s">
        <v>1908</v>
      </c>
      <c r="I432" s="31" t="s">
        <v>23</v>
      </c>
      <c r="J432" s="92">
        <v>46165.0</v>
      </c>
      <c r="K432" s="31">
        <v>43.0</v>
      </c>
      <c r="L432" s="33" t="s">
        <v>4239</v>
      </c>
      <c r="M432" s="157">
        <v>1961.0</v>
      </c>
      <c r="N432" s="31" t="s">
        <v>4240</v>
      </c>
      <c r="O432" s="32"/>
      <c r="P432" s="33" t="s">
        <v>4241</v>
      </c>
      <c r="Q432" s="31">
        <v>43.0</v>
      </c>
      <c r="R432" s="32"/>
      <c r="S432" s="132">
        <v>38253.0</v>
      </c>
      <c r="T432" s="152" t="s">
        <v>4242</v>
      </c>
      <c r="U432" s="168">
        <v>9.7</v>
      </c>
      <c r="V432" s="168">
        <v>4.0</v>
      </c>
      <c r="W432" s="168">
        <v>2.8</v>
      </c>
      <c r="X432" s="168">
        <v>1.0</v>
      </c>
      <c r="Y432" s="168">
        <v>9.0</v>
      </c>
      <c r="Z432" s="168">
        <v>4.0</v>
      </c>
      <c r="AA432" s="168">
        <v>44.0</v>
      </c>
      <c r="AB432" s="168">
        <v>19.0</v>
      </c>
      <c r="AC432" s="168">
        <v>34.0</v>
      </c>
      <c r="AD432" s="168">
        <v>15.0</v>
      </c>
      <c r="AE432" s="33" t="s">
        <v>4242</v>
      </c>
      <c r="AF432" s="20" t="s">
        <v>4243</v>
      </c>
      <c r="AG432" s="26">
        <v>155300.0</v>
      </c>
      <c r="AH432" s="20">
        <v>2025.0</v>
      </c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</row>
    <row r="433">
      <c r="A433" s="276">
        <f t="shared" si="33"/>
        <v>432</v>
      </c>
      <c r="B433" s="31" t="s">
        <v>4244</v>
      </c>
      <c r="C433" s="32"/>
      <c r="D433" s="32"/>
      <c r="E433" s="32"/>
      <c r="F433" s="31" t="s">
        <v>1161</v>
      </c>
      <c r="G433" s="31" t="s">
        <v>1162</v>
      </c>
      <c r="H433" s="31" t="s">
        <v>1861</v>
      </c>
      <c r="I433" s="31" t="s">
        <v>33</v>
      </c>
      <c r="J433" s="92">
        <v>46164.0</v>
      </c>
      <c r="K433" s="31">
        <v>39.0</v>
      </c>
      <c r="L433" s="33" t="s">
        <v>4245</v>
      </c>
      <c r="M433" s="157">
        <v>1923.0</v>
      </c>
      <c r="N433" s="31" t="s">
        <v>4246</v>
      </c>
      <c r="O433" s="31" t="s">
        <v>4247</v>
      </c>
      <c r="P433" s="33" t="s">
        <v>4248</v>
      </c>
      <c r="Q433" s="134"/>
      <c r="R433" s="32"/>
      <c r="S433" s="135"/>
      <c r="T433" s="131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32"/>
      <c r="AF433" s="20" t="s">
        <v>1165</v>
      </c>
      <c r="AG433" s="26">
        <v>86600.0</v>
      </c>
      <c r="AH433" s="20">
        <v>2025.0</v>
      </c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</row>
    <row r="434">
      <c r="A434" s="276">
        <f t="shared" si="33"/>
        <v>433</v>
      </c>
      <c r="B434" s="31" t="s">
        <v>4249</v>
      </c>
      <c r="C434" s="32"/>
      <c r="D434" s="32"/>
      <c r="E434" s="32"/>
      <c r="F434" s="31" t="s">
        <v>4250</v>
      </c>
      <c r="G434" s="31" t="s">
        <v>455</v>
      </c>
      <c r="H434" s="31" t="s">
        <v>1073</v>
      </c>
      <c r="I434" s="31" t="s">
        <v>33</v>
      </c>
      <c r="J434" s="92">
        <v>46169.0</v>
      </c>
      <c r="K434" s="31">
        <v>62.0</v>
      </c>
      <c r="L434" s="33" t="s">
        <v>4251</v>
      </c>
      <c r="M434" s="157">
        <v>1919.0</v>
      </c>
      <c r="N434" s="31" t="s">
        <v>4252</v>
      </c>
      <c r="O434" s="31" t="s">
        <v>4253</v>
      </c>
      <c r="P434" s="33" t="s">
        <v>4251</v>
      </c>
      <c r="Q434" s="134"/>
      <c r="R434" s="32"/>
      <c r="S434" s="132">
        <v>10570.0</v>
      </c>
      <c r="T434" s="152" t="s">
        <v>4254</v>
      </c>
      <c r="U434" s="168">
        <v>4.1</v>
      </c>
      <c r="V434" s="168">
        <v>2.48</v>
      </c>
      <c r="W434" s="168">
        <v>11.8</v>
      </c>
      <c r="X434" s="168">
        <v>7.44</v>
      </c>
      <c r="Y434" s="168">
        <v>2.0</v>
      </c>
      <c r="Z434" s="168">
        <v>1.0</v>
      </c>
      <c r="AA434" s="168">
        <v>58.4</v>
      </c>
      <c r="AB434" s="168">
        <v>36.0</v>
      </c>
      <c r="AC434" s="168">
        <v>24.0</v>
      </c>
      <c r="AD434" s="168">
        <v>15.0</v>
      </c>
      <c r="AE434" s="33" t="s">
        <v>4255</v>
      </c>
      <c r="AF434" s="20" t="s">
        <v>4256</v>
      </c>
      <c r="AG434" s="85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</row>
    <row r="435">
      <c r="A435" s="276">
        <f t="shared" si="33"/>
        <v>434</v>
      </c>
      <c r="B435" s="31" t="s">
        <v>4257</v>
      </c>
      <c r="C435" s="32"/>
      <c r="D435" s="32"/>
      <c r="E435" s="32"/>
      <c r="F435" s="31" t="s">
        <v>4258</v>
      </c>
      <c r="G435" s="31" t="s">
        <v>91</v>
      </c>
      <c r="H435" s="31" t="s">
        <v>1808</v>
      </c>
      <c r="I435" s="31" t="s">
        <v>33</v>
      </c>
      <c r="J435" s="92">
        <v>46177.0</v>
      </c>
      <c r="K435" s="31">
        <v>175.0</v>
      </c>
      <c r="L435" s="33" t="s">
        <v>4259</v>
      </c>
      <c r="M435" s="157">
        <v>2003.0</v>
      </c>
      <c r="N435" s="31" t="s">
        <v>4260</v>
      </c>
      <c r="O435" s="31" t="s">
        <v>4261</v>
      </c>
      <c r="P435" s="33" t="s">
        <v>4262</v>
      </c>
      <c r="Q435" s="134"/>
      <c r="R435" s="32"/>
      <c r="S435" s="132">
        <v>5550.0</v>
      </c>
      <c r="T435" s="152" t="s">
        <v>4259</v>
      </c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32"/>
      <c r="AF435" s="20" t="s">
        <v>4263</v>
      </c>
      <c r="AG435" s="26">
        <v>99800.0</v>
      </c>
      <c r="AH435" s="20">
        <v>2025.0</v>
      </c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</row>
    <row r="436">
      <c r="A436" s="276">
        <f t="shared" si="33"/>
        <v>435</v>
      </c>
      <c r="B436" s="31" t="s">
        <v>4264</v>
      </c>
      <c r="C436" s="32"/>
      <c r="D436" s="32"/>
      <c r="E436" s="32"/>
      <c r="F436" s="31" t="s">
        <v>4265</v>
      </c>
      <c r="G436" s="31" t="s">
        <v>21</v>
      </c>
      <c r="H436" s="31" t="s">
        <v>1073</v>
      </c>
      <c r="I436" s="31" t="s">
        <v>23</v>
      </c>
      <c r="J436" s="92">
        <v>46179.0</v>
      </c>
      <c r="K436" s="31">
        <v>160.0</v>
      </c>
      <c r="L436" s="33" t="s">
        <v>4266</v>
      </c>
      <c r="M436" s="157">
        <v>1952.0</v>
      </c>
      <c r="N436" s="32"/>
      <c r="O436" s="31" t="s">
        <v>4267</v>
      </c>
      <c r="P436" s="33" t="s">
        <v>4266</v>
      </c>
      <c r="Q436" s="134"/>
      <c r="R436" s="32"/>
      <c r="S436" s="132">
        <v>14621.0</v>
      </c>
      <c r="T436" s="152" t="s">
        <v>4268</v>
      </c>
      <c r="U436" s="168">
        <v>6.2</v>
      </c>
      <c r="V436" s="168">
        <v>7.0</v>
      </c>
      <c r="W436" s="168">
        <v>16.6</v>
      </c>
      <c r="X436" s="168">
        <v>27.2</v>
      </c>
      <c r="Y436" s="168">
        <v>5.8</v>
      </c>
      <c r="Z436" s="168">
        <v>17.0</v>
      </c>
      <c r="AA436" s="168">
        <v>58.0</v>
      </c>
      <c r="AB436" s="168">
        <v>93.0</v>
      </c>
      <c r="AC436" s="168">
        <v>13.0</v>
      </c>
      <c r="AD436" s="168">
        <v>20.8</v>
      </c>
      <c r="AE436" s="33" t="s">
        <v>4268</v>
      </c>
      <c r="AF436" s="20" t="s">
        <v>4269</v>
      </c>
      <c r="AG436" s="26">
        <v>103900.0</v>
      </c>
      <c r="AH436" s="20">
        <v>2025.0</v>
      </c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</row>
    <row r="437">
      <c r="A437" s="276">
        <f t="shared" si="33"/>
        <v>436</v>
      </c>
      <c r="B437" s="31" t="s">
        <v>4270</v>
      </c>
      <c r="C437" s="32"/>
      <c r="D437" s="32"/>
      <c r="E437" s="32"/>
      <c r="F437" s="31" t="s">
        <v>2665</v>
      </c>
      <c r="G437" s="31" t="s">
        <v>740</v>
      </c>
      <c r="H437" s="31" t="s">
        <v>1908</v>
      </c>
      <c r="I437" s="31" t="s">
        <v>23</v>
      </c>
      <c r="J437" s="92">
        <v>46179.0</v>
      </c>
      <c r="K437" s="32"/>
      <c r="L437" s="31"/>
      <c r="M437" s="157">
        <v>2018.0</v>
      </c>
      <c r="N437" s="31" t="s">
        <v>4271</v>
      </c>
      <c r="O437" s="31" t="s">
        <v>4272</v>
      </c>
      <c r="P437" s="33" t="s">
        <v>4273</v>
      </c>
      <c r="Q437" s="134"/>
      <c r="R437" s="32"/>
      <c r="S437" s="132">
        <v>33000.0</v>
      </c>
      <c r="T437" s="152" t="s">
        <v>4274</v>
      </c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32"/>
      <c r="AF437" s="20" t="s">
        <v>4275</v>
      </c>
      <c r="AG437" s="26">
        <v>115100.0</v>
      </c>
      <c r="AH437" s="20">
        <v>2025.0</v>
      </c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</row>
    <row r="438">
      <c r="A438" s="276">
        <f t="shared" si="33"/>
        <v>437</v>
      </c>
      <c r="B438" s="31" t="s">
        <v>4276</v>
      </c>
      <c r="C438" s="32"/>
      <c r="D438" s="32"/>
      <c r="E438" s="32"/>
      <c r="F438" s="31" t="s">
        <v>4277</v>
      </c>
      <c r="G438" s="31" t="s">
        <v>122</v>
      </c>
      <c r="H438" s="31" t="s">
        <v>1820</v>
      </c>
      <c r="I438" s="31" t="s">
        <v>33</v>
      </c>
      <c r="J438" s="92">
        <v>46183.0</v>
      </c>
      <c r="K438" s="31">
        <v>71.0</v>
      </c>
      <c r="L438" s="33" t="s">
        <v>4278</v>
      </c>
      <c r="M438" s="157">
        <v>1955.0</v>
      </c>
      <c r="N438" s="32"/>
      <c r="O438" s="31" t="s">
        <v>4279</v>
      </c>
      <c r="P438" s="33" t="s">
        <v>4280</v>
      </c>
      <c r="Q438" s="134"/>
      <c r="R438" s="32"/>
      <c r="S438" s="135"/>
      <c r="T438" s="131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32"/>
      <c r="AF438" s="20" t="s">
        <v>4281</v>
      </c>
      <c r="AG438" s="26">
        <v>72900.0</v>
      </c>
      <c r="AH438" s="20">
        <v>2025.0</v>
      </c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</row>
    <row r="439">
      <c r="A439" s="276">
        <f t="shared" si="33"/>
        <v>438</v>
      </c>
      <c r="B439" s="31" t="s">
        <v>4282</v>
      </c>
      <c r="C439" s="32"/>
      <c r="D439" s="32"/>
      <c r="E439" s="32"/>
      <c r="F439" s="31" t="s">
        <v>3027</v>
      </c>
      <c r="G439" s="31" t="s">
        <v>1084</v>
      </c>
      <c r="H439" s="31" t="s">
        <v>1820</v>
      </c>
      <c r="I439" s="31" t="s">
        <v>68</v>
      </c>
      <c r="J439" s="92">
        <v>46184.0</v>
      </c>
      <c r="K439" s="31">
        <v>500.0</v>
      </c>
      <c r="L439" s="33" t="s">
        <v>4283</v>
      </c>
      <c r="M439" s="157">
        <v>1978.0</v>
      </c>
      <c r="N439" s="32"/>
      <c r="O439" s="31" t="s">
        <v>4284</v>
      </c>
      <c r="P439" s="33" t="s">
        <v>4283</v>
      </c>
      <c r="Q439" s="134"/>
      <c r="R439" s="32"/>
      <c r="S439" s="135"/>
      <c r="T439" s="131"/>
      <c r="U439" s="168">
        <v>88.0</v>
      </c>
      <c r="V439" s="168">
        <v>440.0</v>
      </c>
      <c r="W439" s="168">
        <v>1.9</v>
      </c>
      <c r="X439" s="168">
        <v>10.0</v>
      </c>
      <c r="Y439" s="163"/>
      <c r="Z439" s="163"/>
      <c r="AA439" s="163"/>
      <c r="AB439" s="163"/>
      <c r="AC439" s="168">
        <v>10.0</v>
      </c>
      <c r="AD439" s="168">
        <v>50.0</v>
      </c>
      <c r="AE439" s="33" t="s">
        <v>4285</v>
      </c>
      <c r="AF439" s="20" t="s">
        <v>4286</v>
      </c>
      <c r="AG439" s="26">
        <v>90800.0</v>
      </c>
      <c r="AH439" s="20">
        <v>2025.0</v>
      </c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</row>
    <row r="440">
      <c r="A440" s="276">
        <f t="shared" si="33"/>
        <v>439</v>
      </c>
      <c r="B440" s="31" t="s">
        <v>4287</v>
      </c>
      <c r="C440" s="32"/>
      <c r="D440" s="32"/>
      <c r="E440" s="32"/>
      <c r="F440" s="31" t="s">
        <v>4288</v>
      </c>
      <c r="G440" s="31" t="s">
        <v>1162</v>
      </c>
      <c r="H440" s="31" t="s">
        <v>1861</v>
      </c>
      <c r="I440" s="31" t="s">
        <v>33</v>
      </c>
      <c r="J440" s="92">
        <v>46188.0</v>
      </c>
      <c r="K440" s="31">
        <v>178.0</v>
      </c>
      <c r="L440" s="33" t="s">
        <v>4289</v>
      </c>
      <c r="M440" s="157">
        <v>1953.0</v>
      </c>
      <c r="N440" s="32"/>
      <c r="O440" s="31" t="s">
        <v>4290</v>
      </c>
      <c r="P440" s="33" t="s">
        <v>4289</v>
      </c>
      <c r="Q440" s="134"/>
      <c r="R440" s="32"/>
      <c r="S440" s="132">
        <v>6300.0</v>
      </c>
      <c r="T440" s="152" t="s">
        <v>4291</v>
      </c>
      <c r="U440" s="168">
        <v>5.8</v>
      </c>
      <c r="V440" s="168">
        <f>(U440/100)*K440</f>
        <v>10.324</v>
      </c>
      <c r="W440" s="168">
        <v>14.0</v>
      </c>
      <c r="X440" s="163">
        <f>(W440/100)*K440</f>
        <v>24.92</v>
      </c>
      <c r="Y440" s="168">
        <v>0.4</v>
      </c>
      <c r="Z440" s="163">
        <f>(Y440/100)*K440</f>
        <v>0.712</v>
      </c>
      <c r="AA440" s="168">
        <v>56.8</v>
      </c>
      <c r="AB440" s="163">
        <f>(AA440/100)*K440</f>
        <v>101.104</v>
      </c>
      <c r="AC440" s="163">
        <f>((100-(U440+W440+Y440+AA440)))</f>
        <v>23</v>
      </c>
      <c r="AD440" s="163">
        <f>(AC440/100)*K440</f>
        <v>40.94</v>
      </c>
      <c r="AE440" s="33" t="s">
        <v>4291</v>
      </c>
      <c r="AF440" s="20" t="s">
        <v>4292</v>
      </c>
      <c r="AG440" s="26">
        <v>117400.0</v>
      </c>
      <c r="AH440" s="20">
        <v>2025.0</v>
      </c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</row>
    <row r="441">
      <c r="A441" s="276">
        <f t="shared" si="33"/>
        <v>440</v>
      </c>
      <c r="B441" s="31" t="s">
        <v>4293</v>
      </c>
      <c r="C441" s="32"/>
      <c r="D441" s="32"/>
      <c r="E441" s="32"/>
      <c r="F441" s="31" t="s">
        <v>4294</v>
      </c>
      <c r="G441" s="31" t="s">
        <v>76</v>
      </c>
      <c r="H441" s="31" t="s">
        <v>1808</v>
      </c>
      <c r="I441" s="31" t="s">
        <v>33</v>
      </c>
      <c r="J441" s="92">
        <v>46191.0</v>
      </c>
      <c r="K441" s="31">
        <v>145.0</v>
      </c>
      <c r="L441" s="33" t="s">
        <v>4295</v>
      </c>
      <c r="M441" s="157">
        <v>1958.0</v>
      </c>
      <c r="N441" s="31" t="s">
        <v>4296</v>
      </c>
      <c r="O441" s="32"/>
      <c r="P441" s="33" t="s">
        <v>4297</v>
      </c>
      <c r="Q441" s="134"/>
      <c r="R441" s="32"/>
      <c r="S441" s="132">
        <v>6750.0</v>
      </c>
      <c r="T441" s="152" t="s">
        <v>4298</v>
      </c>
      <c r="U441" s="168">
        <v>19.3</v>
      </c>
      <c r="V441" s="163">
        <f>145*0.19</f>
        <v>27.55</v>
      </c>
      <c r="W441" s="168">
        <v>31.0</v>
      </c>
      <c r="X441" s="163">
        <f>145*0.31</f>
        <v>44.95</v>
      </c>
      <c r="Y441" s="168">
        <v>11.0</v>
      </c>
      <c r="Z441" s="163">
        <f>145*0.11</f>
        <v>15.95</v>
      </c>
      <c r="AA441" s="168">
        <v>29.0</v>
      </c>
      <c r="AB441" s="163">
        <f>145*0.29</f>
        <v>42.05</v>
      </c>
      <c r="AC441" s="163">
        <f>100-(U441+W441+Y441+AA441)</f>
        <v>9.7</v>
      </c>
      <c r="AD441" s="163">
        <f>145*0.1</f>
        <v>14.5</v>
      </c>
      <c r="AE441" s="33" t="s">
        <v>4295</v>
      </c>
      <c r="AF441" s="20" t="s">
        <v>4299</v>
      </c>
      <c r="AG441" s="26">
        <v>107700.0</v>
      </c>
      <c r="AH441" s="20">
        <v>2025.0</v>
      </c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</row>
    <row r="442">
      <c r="A442" s="276">
        <f t="shared" si="33"/>
        <v>441</v>
      </c>
      <c r="B442" s="31" t="s">
        <v>4300</v>
      </c>
      <c r="C442" s="32"/>
      <c r="D442" s="32"/>
      <c r="E442" s="32"/>
      <c r="F442" s="31" t="s">
        <v>4301</v>
      </c>
      <c r="G442" s="31" t="s">
        <v>100</v>
      </c>
      <c r="H442" s="31" t="s">
        <v>1808</v>
      </c>
      <c r="I442" s="31" t="s">
        <v>33</v>
      </c>
      <c r="J442" s="92">
        <v>46192.0</v>
      </c>
      <c r="K442" s="31">
        <v>143.0</v>
      </c>
      <c r="L442" s="33" t="s">
        <v>4302</v>
      </c>
      <c r="M442" s="157">
        <v>1927.0</v>
      </c>
      <c r="N442" s="31" t="s">
        <v>4303</v>
      </c>
      <c r="O442" s="32"/>
      <c r="P442" s="33" t="s">
        <v>4304</v>
      </c>
      <c r="Q442" s="134"/>
      <c r="R442" s="32"/>
      <c r="S442" s="132">
        <v>2100.0</v>
      </c>
      <c r="T442" s="152" t="s">
        <v>4305</v>
      </c>
      <c r="U442" s="168">
        <v>21.7</v>
      </c>
      <c r="V442" s="163">
        <f>143*0.22</f>
        <v>31.46</v>
      </c>
      <c r="W442" s="168">
        <v>78.3</v>
      </c>
      <c r="X442" s="163">
        <f>143*0.78</f>
        <v>111.54</v>
      </c>
      <c r="Y442" s="168">
        <v>0.0</v>
      </c>
      <c r="Z442" s="168">
        <v>0.0</v>
      </c>
      <c r="AA442" s="168">
        <v>0.0</v>
      </c>
      <c r="AB442" s="168">
        <v>0.0</v>
      </c>
      <c r="AC442" s="168">
        <v>0.0</v>
      </c>
      <c r="AD442" s="168">
        <v>0.0</v>
      </c>
      <c r="AE442" s="33" t="s">
        <v>4302</v>
      </c>
      <c r="AF442" s="20" t="s">
        <v>4306</v>
      </c>
      <c r="AG442" s="26">
        <v>125000.0</v>
      </c>
      <c r="AH442" s="20">
        <v>2025.0</v>
      </c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</row>
    <row r="443">
      <c r="A443" s="276">
        <f t="shared" si="33"/>
        <v>442</v>
      </c>
      <c r="B443" s="31" t="s">
        <v>4307</v>
      </c>
      <c r="C443" s="32"/>
      <c r="D443" s="32"/>
      <c r="E443" s="32"/>
      <c r="F443" s="31" t="s">
        <v>4308</v>
      </c>
      <c r="G443" s="31" t="s">
        <v>42</v>
      </c>
      <c r="H443" s="31" t="s">
        <v>1908</v>
      </c>
      <c r="I443" s="31" t="s">
        <v>23</v>
      </c>
      <c r="J443" s="92">
        <v>46196.0</v>
      </c>
      <c r="K443" s="31">
        <v>232.0</v>
      </c>
      <c r="L443" s="33" t="s">
        <v>4309</v>
      </c>
      <c r="M443" s="157">
        <v>1928.0</v>
      </c>
      <c r="N443" s="31" t="s">
        <v>4310</v>
      </c>
      <c r="O443" s="31" t="s">
        <v>4311</v>
      </c>
      <c r="P443" s="33" t="s">
        <v>4312</v>
      </c>
      <c r="Q443" s="175">
        <v>45.0</v>
      </c>
      <c r="R443" s="33" t="s">
        <v>4309</v>
      </c>
      <c r="S443" s="132">
        <v>42000.0</v>
      </c>
      <c r="T443" s="152" t="s">
        <v>4309</v>
      </c>
      <c r="U443" s="168">
        <v>33.3</v>
      </c>
      <c r="V443" s="163">
        <f>232*0.33</f>
        <v>76.56</v>
      </c>
      <c r="W443" s="168">
        <v>5.8</v>
      </c>
      <c r="X443" s="163">
        <f>232*0.06</f>
        <v>13.92</v>
      </c>
      <c r="Y443" s="168">
        <v>10.0</v>
      </c>
      <c r="Z443" s="163">
        <f>232*0.1</f>
        <v>23.2</v>
      </c>
      <c r="AA443" s="168">
        <v>50.8</v>
      </c>
      <c r="AB443" s="163">
        <f>232*0.51</f>
        <v>118.32</v>
      </c>
      <c r="AC443" s="163">
        <f>100-33-6-10-51</f>
        <v>0</v>
      </c>
      <c r="AD443" s="168">
        <v>0.0</v>
      </c>
      <c r="AE443" s="33" t="s">
        <v>4313</v>
      </c>
      <c r="AF443" s="27"/>
      <c r="AG443" s="85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</row>
    <row r="444">
      <c r="A444" s="276">
        <f t="shared" si="33"/>
        <v>443</v>
      </c>
      <c r="B444" s="31" t="s">
        <v>4314</v>
      </c>
      <c r="C444" s="32"/>
      <c r="D444" s="32"/>
      <c r="E444" s="32"/>
      <c r="F444" s="31" t="s">
        <v>819</v>
      </c>
      <c r="G444" s="31" t="s">
        <v>21</v>
      </c>
      <c r="H444" s="31" t="s">
        <v>1073</v>
      </c>
      <c r="I444" s="31" t="s">
        <v>33</v>
      </c>
      <c r="J444" s="92">
        <v>46202.0</v>
      </c>
      <c r="K444" s="31">
        <v>31.0</v>
      </c>
      <c r="L444" s="33" t="s">
        <v>4315</v>
      </c>
      <c r="M444" s="157">
        <v>1888.0</v>
      </c>
      <c r="N444" s="32"/>
      <c r="O444" s="31" t="s">
        <v>4316</v>
      </c>
      <c r="P444" s="33" t="s">
        <v>4317</v>
      </c>
      <c r="Q444" s="134"/>
      <c r="R444" s="32"/>
      <c r="S444" s="132">
        <v>20950.0</v>
      </c>
      <c r="T444" s="152" t="s">
        <v>4317</v>
      </c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32"/>
      <c r="AF444" s="20" t="s">
        <v>4318</v>
      </c>
      <c r="AG444" s="26">
        <v>185000.0</v>
      </c>
      <c r="AH444" s="20">
        <v>2025.0</v>
      </c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</row>
    <row r="445">
      <c r="A445" s="276">
        <f t="shared" si="33"/>
        <v>444</v>
      </c>
      <c r="B445" s="31" t="s">
        <v>4319</v>
      </c>
      <c r="C445" s="32"/>
      <c r="D445" s="32"/>
      <c r="E445" s="32"/>
      <c r="F445" s="31" t="s">
        <v>4320</v>
      </c>
      <c r="G445" s="31" t="s">
        <v>307</v>
      </c>
      <c r="H445" s="31" t="s">
        <v>1866</v>
      </c>
      <c r="I445" s="31" t="s">
        <v>33</v>
      </c>
      <c r="J445" s="92">
        <v>46203.0</v>
      </c>
      <c r="K445" s="31">
        <v>173.0</v>
      </c>
      <c r="L445" s="33" t="s">
        <v>4321</v>
      </c>
      <c r="M445" s="157">
        <v>1953.0</v>
      </c>
      <c r="N445" s="32"/>
      <c r="O445" s="31" t="s">
        <v>4322</v>
      </c>
      <c r="P445" s="33" t="s">
        <v>4323</v>
      </c>
      <c r="Q445" s="134"/>
      <c r="R445" s="32"/>
      <c r="S445" s="132">
        <v>5710.0</v>
      </c>
      <c r="T445" s="152" t="s">
        <v>4324</v>
      </c>
      <c r="U445" s="168">
        <v>1.7</v>
      </c>
      <c r="V445" s="163">
        <f>U445*173/100</f>
        <v>2.941</v>
      </c>
      <c r="W445" s="168">
        <v>42.2</v>
      </c>
      <c r="X445" s="163">
        <f>W445*173/100</f>
        <v>73.006</v>
      </c>
      <c r="Y445" s="168">
        <v>4.6</v>
      </c>
      <c r="Z445" s="163">
        <f>Y445*173/100</f>
        <v>7.958</v>
      </c>
      <c r="AA445" s="168">
        <v>19.7</v>
      </c>
      <c r="AB445" s="163">
        <f>AA445*173/100</f>
        <v>34.081</v>
      </c>
      <c r="AC445" s="163">
        <f>100-(U445+W445+Y445+AA445)</f>
        <v>31.8</v>
      </c>
      <c r="AD445" s="163">
        <f>AC445*173/100</f>
        <v>55.014</v>
      </c>
      <c r="AE445" s="33" t="s">
        <v>4321</v>
      </c>
      <c r="AF445" s="20" t="s">
        <v>4325</v>
      </c>
      <c r="AG445" s="26">
        <v>91400.0</v>
      </c>
      <c r="AH445" s="20">
        <v>2025.0</v>
      </c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</row>
    <row r="446">
      <c r="A446" s="276">
        <f t="shared" si="33"/>
        <v>445</v>
      </c>
      <c r="B446" s="31" t="s">
        <v>4326</v>
      </c>
      <c r="C446" s="32"/>
      <c r="D446" s="32"/>
      <c r="E446" s="32"/>
      <c r="F446" s="31" t="s">
        <v>4327</v>
      </c>
      <c r="G446" s="31" t="s">
        <v>307</v>
      </c>
      <c r="H446" s="31" t="s">
        <v>1866</v>
      </c>
      <c r="I446" s="31" t="s">
        <v>33</v>
      </c>
      <c r="J446" s="92">
        <v>46203.0</v>
      </c>
      <c r="K446" s="31">
        <v>69.0</v>
      </c>
      <c r="L446" s="33" t="s">
        <v>4328</v>
      </c>
      <c r="M446" s="157">
        <v>1946.0</v>
      </c>
      <c r="N446" s="31" t="s">
        <v>4329</v>
      </c>
      <c r="O446" s="31" t="s">
        <v>4322</v>
      </c>
      <c r="P446" s="33" t="s">
        <v>4323</v>
      </c>
      <c r="Q446" s="175">
        <v>30.0</v>
      </c>
      <c r="R446" s="33" t="s">
        <v>4330</v>
      </c>
      <c r="S446" s="132">
        <v>4100.0</v>
      </c>
      <c r="T446" s="152" t="s">
        <v>4330</v>
      </c>
      <c r="U446" s="168">
        <v>2.9</v>
      </c>
      <c r="V446" s="163">
        <f>69*U446/100</f>
        <v>2.001</v>
      </c>
      <c r="W446" s="168">
        <v>81.2</v>
      </c>
      <c r="X446" s="163">
        <f>69*W446/100</f>
        <v>56.028</v>
      </c>
      <c r="Y446" s="168">
        <v>0.0</v>
      </c>
      <c r="Z446" s="168">
        <v>0.0</v>
      </c>
      <c r="AA446" s="168">
        <v>8.7</v>
      </c>
      <c r="AB446" s="163">
        <f>69*AA446/100</f>
        <v>6.003</v>
      </c>
      <c r="AC446" s="168">
        <f>100-(U446+W446+AA446)</f>
        <v>7.2</v>
      </c>
      <c r="AD446" s="163">
        <f>69*AC446/100</f>
        <v>4.968</v>
      </c>
      <c r="AE446" s="33" t="s">
        <v>4328</v>
      </c>
      <c r="AF446" s="20" t="s">
        <v>4331</v>
      </c>
      <c r="AG446" s="26">
        <v>99500.0</v>
      </c>
      <c r="AH446" s="20">
        <v>2025.0</v>
      </c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</row>
    <row r="447">
      <c r="A447" s="276">
        <f t="shared" si="33"/>
        <v>446</v>
      </c>
      <c r="B447" s="31" t="s">
        <v>4332</v>
      </c>
      <c r="C447" s="32"/>
      <c r="D447" s="32"/>
      <c r="E447" s="32"/>
      <c r="F447" s="31" t="s">
        <v>90</v>
      </c>
      <c r="G447" s="31" t="s">
        <v>91</v>
      </c>
      <c r="H447" s="31" t="s">
        <v>1808</v>
      </c>
      <c r="I447" s="31" t="s">
        <v>33</v>
      </c>
      <c r="J447" s="92">
        <v>46198.0</v>
      </c>
      <c r="K447" s="31">
        <v>50.0</v>
      </c>
      <c r="L447" s="33" t="s">
        <v>4333</v>
      </c>
      <c r="M447" s="157">
        <v>2023.0</v>
      </c>
      <c r="N447" s="31" t="s">
        <v>4334</v>
      </c>
      <c r="O447" s="31" t="s">
        <v>4335</v>
      </c>
      <c r="P447" s="33" t="s">
        <v>4333</v>
      </c>
      <c r="Q447" s="134"/>
      <c r="R447" s="32"/>
      <c r="S447" s="135"/>
      <c r="T447" s="131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32"/>
      <c r="AF447" s="20" t="s">
        <v>4336</v>
      </c>
      <c r="AG447" s="26">
        <v>103900.0</v>
      </c>
      <c r="AH447" s="20">
        <v>2025.0</v>
      </c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</row>
    <row r="448">
      <c r="A448" s="276">
        <f t="shared" si="33"/>
        <v>447</v>
      </c>
      <c r="B448" s="31" t="s">
        <v>4337</v>
      </c>
      <c r="C448" s="32"/>
      <c r="D448" s="32"/>
      <c r="E448" s="32"/>
      <c r="F448" s="31" t="s">
        <v>4338</v>
      </c>
      <c r="G448" s="31" t="s">
        <v>91</v>
      </c>
      <c r="H448" s="31" t="s">
        <v>1808</v>
      </c>
      <c r="I448" s="31" t="s">
        <v>23</v>
      </c>
      <c r="J448" s="92">
        <v>46213.0</v>
      </c>
      <c r="K448" s="31">
        <v>70.0</v>
      </c>
      <c r="L448" s="33" t="s">
        <v>4339</v>
      </c>
      <c r="M448" s="157">
        <v>1983.0</v>
      </c>
      <c r="N448" s="31" t="s">
        <v>4340</v>
      </c>
      <c r="O448" s="32"/>
      <c r="P448" s="33" t="s">
        <v>4341</v>
      </c>
      <c r="Q448" s="134"/>
      <c r="R448" s="32"/>
      <c r="S448" s="132">
        <v>19820.0</v>
      </c>
      <c r="T448" s="152" t="s">
        <v>4339</v>
      </c>
      <c r="U448" s="168">
        <v>0.0</v>
      </c>
      <c r="V448" s="168">
        <v>0.0</v>
      </c>
      <c r="W448" s="168">
        <v>1.4</v>
      </c>
      <c r="X448" s="163">
        <f>70*W448/100</f>
        <v>0.98</v>
      </c>
      <c r="Y448" s="168">
        <v>4.1</v>
      </c>
      <c r="Z448" s="163">
        <f>70*Y448/100</f>
        <v>2.87</v>
      </c>
      <c r="AA448" s="168">
        <v>86.3</v>
      </c>
      <c r="AB448" s="163">
        <f>70*AA448/100</f>
        <v>60.41</v>
      </c>
      <c r="AC448" s="163">
        <f>100-(W448+Y448+AA448)</f>
        <v>8.2</v>
      </c>
      <c r="AD448" s="163">
        <f>70*AC448/100</f>
        <v>5.74</v>
      </c>
      <c r="AE448" s="33" t="s">
        <v>4339</v>
      </c>
      <c r="AF448" s="20" t="s">
        <v>4342</v>
      </c>
      <c r="AG448" s="26">
        <v>148300.0</v>
      </c>
      <c r="AH448" s="20">
        <v>2025.0</v>
      </c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</row>
    <row r="449">
      <c r="A449" s="276">
        <f t="shared" si="33"/>
        <v>448</v>
      </c>
      <c r="B449" s="31" t="s">
        <v>4343</v>
      </c>
      <c r="C449" s="32"/>
      <c r="D449" s="32"/>
      <c r="E449" s="32"/>
      <c r="F449" s="31" t="s">
        <v>3447</v>
      </c>
      <c r="G449" s="31" t="s">
        <v>702</v>
      </c>
      <c r="H449" s="31" t="s">
        <v>1861</v>
      </c>
      <c r="I449" s="31" t="s">
        <v>23</v>
      </c>
      <c r="J449" s="92">
        <v>46216.0</v>
      </c>
      <c r="K449" s="32"/>
      <c r="L449" s="32"/>
      <c r="M449" s="157">
        <v>2025.0</v>
      </c>
      <c r="N449" s="32"/>
      <c r="O449" s="31" t="s">
        <v>4344</v>
      </c>
      <c r="P449" s="33" t="s">
        <v>4345</v>
      </c>
      <c r="Q449" s="134"/>
      <c r="R449" s="32"/>
      <c r="S449" s="132">
        <v>14500.0</v>
      </c>
      <c r="T449" s="152" t="s">
        <v>4346</v>
      </c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32"/>
      <c r="AF449" s="20" t="s">
        <v>4347</v>
      </c>
      <c r="AG449" s="26">
        <v>103000.0</v>
      </c>
      <c r="AH449" s="20">
        <v>2026.0</v>
      </c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</row>
    <row r="450">
      <c r="A450" s="276">
        <f t="shared" si="33"/>
        <v>449</v>
      </c>
      <c r="B450" s="31" t="s">
        <v>4348</v>
      </c>
      <c r="C450" s="32"/>
      <c r="D450" s="32"/>
      <c r="E450" s="32"/>
      <c r="F450" s="31" t="s">
        <v>4349</v>
      </c>
      <c r="G450" s="31" t="s">
        <v>3139</v>
      </c>
      <c r="H450" s="31" t="s">
        <v>1908</v>
      </c>
      <c r="I450" s="31" t="s">
        <v>68</v>
      </c>
      <c r="J450" s="92">
        <v>46219.0</v>
      </c>
      <c r="K450" s="31">
        <v>94.0</v>
      </c>
      <c r="L450" s="33" t="s">
        <v>4350</v>
      </c>
      <c r="M450" s="157">
        <v>1971.0</v>
      </c>
      <c r="N450" s="31" t="s">
        <v>4351</v>
      </c>
      <c r="O450" s="31"/>
      <c r="P450" s="33" t="s">
        <v>4352</v>
      </c>
      <c r="Q450" s="134"/>
      <c r="R450" s="32"/>
      <c r="S450" s="132">
        <v>6815.0</v>
      </c>
      <c r="T450" s="152" t="s">
        <v>4353</v>
      </c>
      <c r="U450" s="168">
        <v>5.3</v>
      </c>
      <c r="V450" s="163">
        <f>94*U450/100</f>
        <v>4.982</v>
      </c>
      <c r="W450" s="168">
        <v>2.1</v>
      </c>
      <c r="X450" s="163">
        <f>94*W450/100</f>
        <v>1.974</v>
      </c>
      <c r="Y450" s="168">
        <v>5.3</v>
      </c>
      <c r="Z450" s="163">
        <f>94*Y450/100</f>
        <v>4.982</v>
      </c>
      <c r="AA450" s="168">
        <v>86.2</v>
      </c>
      <c r="AB450" s="163">
        <f>94*AA450/100</f>
        <v>81.028</v>
      </c>
      <c r="AC450" s="163">
        <f t="shared" ref="AC450:AC451" si="216">100-(U450+W450+Y450+AA450)</f>
        <v>1.1</v>
      </c>
      <c r="AD450" s="163">
        <f>94*AC450/100</f>
        <v>1.034</v>
      </c>
      <c r="AE450" s="33" t="s">
        <v>4354</v>
      </c>
      <c r="AF450" s="20" t="s">
        <v>4355</v>
      </c>
      <c r="AG450" s="26">
        <v>123400.0</v>
      </c>
      <c r="AH450" s="20">
        <v>2026.0</v>
      </c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</row>
    <row r="451">
      <c r="A451" s="276">
        <f t="shared" si="33"/>
        <v>450</v>
      </c>
      <c r="B451" s="31" t="s">
        <v>4356</v>
      </c>
      <c r="C451" s="32"/>
      <c r="D451" s="32"/>
      <c r="E451" s="32"/>
      <c r="F451" s="31" t="s">
        <v>1261</v>
      </c>
      <c r="G451" s="31" t="s">
        <v>1162</v>
      </c>
      <c r="H451" s="31" t="s">
        <v>1861</v>
      </c>
      <c r="I451" s="31" t="s">
        <v>23</v>
      </c>
      <c r="J451" s="92">
        <v>46219.0</v>
      </c>
      <c r="K451" s="31">
        <v>244.0</v>
      </c>
      <c r="L451" s="33" t="s">
        <v>4357</v>
      </c>
      <c r="M451" s="157">
        <v>1915.0</v>
      </c>
      <c r="N451" s="31" t="s">
        <v>4358</v>
      </c>
      <c r="O451" s="31" t="s">
        <v>4359</v>
      </c>
      <c r="P451" s="33" t="s">
        <v>4360</v>
      </c>
      <c r="Q451" s="175">
        <v>43.0</v>
      </c>
      <c r="R451" s="33" t="s">
        <v>4357</v>
      </c>
      <c r="S451" s="132">
        <v>35320.0</v>
      </c>
      <c r="T451" s="152" t="s">
        <v>4357</v>
      </c>
      <c r="U451" s="168">
        <v>11.9</v>
      </c>
      <c r="V451" s="163">
        <f>244*U451/100</f>
        <v>29.036</v>
      </c>
      <c r="W451" s="168">
        <v>6.1</v>
      </c>
      <c r="X451" s="163">
        <f>244*W451/100</f>
        <v>14.884</v>
      </c>
      <c r="Y451" s="168">
        <v>17.2</v>
      </c>
      <c r="Z451" s="163">
        <f>244*Y451/100</f>
        <v>41.968</v>
      </c>
      <c r="AA451" s="168">
        <v>42.2</v>
      </c>
      <c r="AB451" s="163">
        <f>244*AA451/100</f>
        <v>102.968</v>
      </c>
      <c r="AC451" s="163">
        <f t="shared" si="216"/>
        <v>22.6</v>
      </c>
      <c r="AD451" s="163">
        <f>244*AC451/100</f>
        <v>55.144</v>
      </c>
      <c r="AE451" s="33" t="s">
        <v>4357</v>
      </c>
      <c r="AF451" s="20" t="s">
        <v>4361</v>
      </c>
      <c r="AG451" s="26">
        <v>118900.0</v>
      </c>
      <c r="AH451" s="20">
        <v>2026.0</v>
      </c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201"/>
      <c r="K452" s="32"/>
      <c r="L452" s="32"/>
      <c r="M452" s="156"/>
      <c r="N452" s="32"/>
      <c r="O452" s="32"/>
      <c r="P452" s="32"/>
      <c r="Q452" s="134"/>
      <c r="R452" s="32"/>
      <c r="S452" s="135"/>
      <c r="T452" s="131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32"/>
      <c r="AF452" s="27"/>
      <c r="AG452" s="85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201"/>
      <c r="K453" s="32"/>
      <c r="L453" s="32"/>
      <c r="M453" s="156"/>
      <c r="N453" s="32"/>
      <c r="O453" s="32"/>
      <c r="P453" s="32"/>
      <c r="Q453" s="134"/>
      <c r="R453" s="32"/>
      <c r="S453" s="135"/>
      <c r="T453" s="131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32"/>
      <c r="AF453" s="27"/>
      <c r="AG453" s="85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201"/>
      <c r="K454" s="32"/>
      <c r="L454" s="32"/>
      <c r="M454" s="156"/>
      <c r="N454" s="32"/>
      <c r="O454" s="32"/>
      <c r="P454" s="32"/>
      <c r="Q454" s="134"/>
      <c r="R454" s="32"/>
      <c r="S454" s="135"/>
      <c r="T454" s="131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32"/>
      <c r="AF454" s="27"/>
      <c r="AG454" s="85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201"/>
      <c r="K455" s="32"/>
      <c r="L455" s="32"/>
      <c r="M455" s="156"/>
      <c r="N455" s="32"/>
      <c r="O455" s="32"/>
      <c r="P455" s="32"/>
      <c r="Q455" s="134"/>
      <c r="R455" s="32"/>
      <c r="S455" s="135"/>
      <c r="T455" s="131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32"/>
      <c r="AF455" s="27"/>
      <c r="AG455" s="85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201"/>
      <c r="K456" s="32"/>
      <c r="L456" s="32"/>
      <c r="M456" s="156"/>
      <c r="N456" s="32"/>
      <c r="O456" s="32"/>
      <c r="P456" s="32"/>
      <c r="Q456" s="134"/>
      <c r="R456" s="32"/>
      <c r="S456" s="135"/>
      <c r="T456" s="131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32"/>
      <c r="AF456" s="27"/>
      <c r="AG456" s="85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201"/>
      <c r="K457" s="32"/>
      <c r="L457" s="32"/>
      <c r="M457" s="156"/>
      <c r="N457" s="32"/>
      <c r="O457" s="32"/>
      <c r="P457" s="32"/>
      <c r="Q457" s="134"/>
      <c r="R457" s="32"/>
      <c r="S457" s="135"/>
      <c r="T457" s="131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32"/>
      <c r="AF457" s="27"/>
      <c r="AG457" s="85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201"/>
      <c r="K458" s="32"/>
      <c r="L458" s="32"/>
      <c r="M458" s="156"/>
      <c r="N458" s="32"/>
      <c r="O458" s="32"/>
      <c r="P458" s="32"/>
      <c r="Q458" s="134"/>
      <c r="R458" s="32"/>
      <c r="S458" s="135"/>
      <c r="T458" s="131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32"/>
      <c r="AF458" s="27"/>
      <c r="AG458" s="85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201"/>
      <c r="K459" s="32"/>
      <c r="L459" s="32"/>
      <c r="M459" s="156"/>
      <c r="N459" s="32"/>
      <c r="O459" s="32"/>
      <c r="P459" s="32"/>
      <c r="Q459" s="134"/>
      <c r="R459" s="32"/>
      <c r="S459" s="135"/>
      <c r="T459" s="131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32"/>
      <c r="AF459" s="27"/>
      <c r="AG459" s="85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201"/>
      <c r="K460" s="32"/>
      <c r="L460" s="32"/>
      <c r="M460" s="156"/>
      <c r="N460" s="32"/>
      <c r="O460" s="32"/>
      <c r="P460" s="32"/>
      <c r="Q460" s="134"/>
      <c r="R460" s="32"/>
      <c r="S460" s="135"/>
      <c r="T460" s="131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32"/>
      <c r="AF460" s="27"/>
      <c r="AG460" s="85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201"/>
      <c r="K461" s="32"/>
      <c r="L461" s="32"/>
      <c r="M461" s="156"/>
      <c r="N461" s="32"/>
      <c r="O461" s="32"/>
      <c r="P461" s="32"/>
      <c r="Q461" s="134"/>
      <c r="R461" s="32"/>
      <c r="S461" s="135"/>
      <c r="T461" s="131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32"/>
      <c r="AF461" s="27"/>
      <c r="AG461" s="85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201"/>
      <c r="K462" s="32"/>
      <c r="L462" s="32"/>
      <c r="M462" s="156"/>
      <c r="N462" s="32"/>
      <c r="O462" s="32"/>
      <c r="P462" s="32"/>
      <c r="Q462" s="134"/>
      <c r="R462" s="32"/>
      <c r="S462" s="135"/>
      <c r="T462" s="131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32"/>
      <c r="AF462" s="27"/>
      <c r="AG462" s="85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201"/>
      <c r="K463" s="32"/>
      <c r="L463" s="32"/>
      <c r="M463" s="156"/>
      <c r="N463" s="32"/>
      <c r="O463" s="32"/>
      <c r="P463" s="32"/>
      <c r="Q463" s="134"/>
      <c r="R463" s="32"/>
      <c r="S463" s="135"/>
      <c r="T463" s="131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32"/>
      <c r="AF463" s="27"/>
      <c r="AG463" s="85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201"/>
      <c r="K464" s="32"/>
      <c r="L464" s="32"/>
      <c r="M464" s="156"/>
      <c r="N464" s="32"/>
      <c r="O464" s="32"/>
      <c r="P464" s="32"/>
      <c r="Q464" s="134"/>
      <c r="R464" s="32"/>
      <c r="S464" s="135"/>
      <c r="T464" s="131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32"/>
      <c r="AF464" s="27"/>
      <c r="AG464" s="85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201"/>
      <c r="K465" s="32"/>
      <c r="L465" s="32"/>
      <c r="M465" s="156"/>
      <c r="N465" s="32"/>
      <c r="O465" s="32"/>
      <c r="P465" s="32"/>
      <c r="Q465" s="134"/>
      <c r="R465" s="32"/>
      <c r="S465" s="135"/>
      <c r="T465" s="131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32"/>
      <c r="AF465" s="27"/>
      <c r="AG465" s="85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201"/>
      <c r="K466" s="32"/>
      <c r="L466" s="32"/>
      <c r="M466" s="156"/>
      <c r="N466" s="32"/>
      <c r="O466" s="32"/>
      <c r="P466" s="32"/>
      <c r="Q466" s="134"/>
      <c r="R466" s="32"/>
      <c r="S466" s="135"/>
      <c r="T466" s="131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32"/>
      <c r="AF466" s="27"/>
      <c r="AG466" s="85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201"/>
      <c r="K467" s="32"/>
      <c r="L467" s="32"/>
      <c r="M467" s="156"/>
      <c r="N467" s="32"/>
      <c r="O467" s="32"/>
      <c r="P467" s="32"/>
      <c r="Q467" s="134"/>
      <c r="R467" s="32"/>
      <c r="S467" s="135"/>
      <c r="T467" s="131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32"/>
      <c r="AF467" s="27"/>
      <c r="AG467" s="85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201"/>
      <c r="K468" s="32"/>
      <c r="L468" s="32"/>
      <c r="M468" s="156"/>
      <c r="N468" s="32"/>
      <c r="O468" s="32"/>
      <c r="P468" s="32"/>
      <c r="Q468" s="134"/>
      <c r="R468" s="32"/>
      <c r="S468" s="135"/>
      <c r="T468" s="131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32"/>
      <c r="AF468" s="27"/>
      <c r="AG468" s="85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201"/>
      <c r="K469" s="32"/>
      <c r="L469" s="32"/>
      <c r="M469" s="156"/>
      <c r="N469" s="32"/>
      <c r="O469" s="32"/>
      <c r="P469" s="32"/>
      <c r="Q469" s="134"/>
      <c r="R469" s="32"/>
      <c r="S469" s="135"/>
      <c r="T469" s="131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32"/>
      <c r="AF469" s="27"/>
      <c r="AG469" s="85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201"/>
      <c r="K470" s="32"/>
      <c r="L470" s="32"/>
      <c r="M470" s="156"/>
      <c r="N470" s="32"/>
      <c r="O470" s="32"/>
      <c r="P470" s="32"/>
      <c r="Q470" s="134"/>
      <c r="R470" s="32"/>
      <c r="S470" s="135"/>
      <c r="T470" s="131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32"/>
      <c r="AF470" s="27"/>
      <c r="AG470" s="85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201"/>
      <c r="K471" s="32"/>
      <c r="L471" s="32"/>
      <c r="M471" s="156"/>
      <c r="N471" s="32"/>
      <c r="O471" s="32"/>
      <c r="P471" s="32"/>
      <c r="Q471" s="134"/>
      <c r="R471" s="32"/>
      <c r="S471" s="135"/>
      <c r="T471" s="131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32"/>
      <c r="AF471" s="27"/>
      <c r="AG471" s="85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201"/>
      <c r="K472" s="32"/>
      <c r="L472" s="32"/>
      <c r="M472" s="156"/>
      <c r="N472" s="32"/>
      <c r="O472" s="32"/>
      <c r="P472" s="32"/>
      <c r="Q472" s="134"/>
      <c r="R472" s="32"/>
      <c r="S472" s="135"/>
      <c r="T472" s="131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32"/>
      <c r="AF472" s="27"/>
      <c r="AG472" s="85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201"/>
      <c r="K473" s="32"/>
      <c r="L473" s="32"/>
      <c r="M473" s="156"/>
      <c r="N473" s="32"/>
      <c r="O473" s="32"/>
      <c r="P473" s="32"/>
      <c r="Q473" s="134"/>
      <c r="R473" s="32"/>
      <c r="S473" s="135"/>
      <c r="T473" s="131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32"/>
      <c r="AF473" s="27"/>
      <c r="AG473" s="85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201"/>
      <c r="K474" s="32"/>
      <c r="L474" s="32"/>
      <c r="M474" s="156"/>
      <c r="N474" s="32"/>
      <c r="O474" s="32"/>
      <c r="P474" s="32"/>
      <c r="Q474" s="134"/>
      <c r="R474" s="32"/>
      <c r="S474" s="135"/>
      <c r="T474" s="131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32"/>
      <c r="AF474" s="27"/>
      <c r="AG474" s="85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201"/>
      <c r="K475" s="32"/>
      <c r="L475" s="32"/>
      <c r="M475" s="156"/>
      <c r="N475" s="32"/>
      <c r="O475" s="32"/>
      <c r="P475" s="32"/>
      <c r="Q475" s="134"/>
      <c r="R475" s="32"/>
      <c r="S475" s="135"/>
      <c r="T475" s="131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32"/>
      <c r="AF475" s="27"/>
      <c r="AG475" s="85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201"/>
      <c r="K476" s="32"/>
      <c r="L476" s="32"/>
      <c r="M476" s="156"/>
      <c r="N476" s="32"/>
      <c r="O476" s="32"/>
      <c r="P476" s="32"/>
      <c r="Q476" s="134"/>
      <c r="R476" s="32"/>
      <c r="S476" s="135"/>
      <c r="T476" s="131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32"/>
      <c r="AF476" s="27"/>
      <c r="AG476" s="85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201"/>
      <c r="K477" s="32"/>
      <c r="L477" s="32"/>
      <c r="M477" s="156"/>
      <c r="N477" s="32"/>
      <c r="O477" s="32"/>
      <c r="P477" s="32"/>
      <c r="Q477" s="134"/>
      <c r="R477" s="32"/>
      <c r="S477" s="135"/>
      <c r="T477" s="131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32"/>
      <c r="AF477" s="27"/>
      <c r="AG477" s="85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201"/>
      <c r="K478" s="32"/>
      <c r="L478" s="32"/>
      <c r="M478" s="156"/>
      <c r="N478" s="32"/>
      <c r="O478" s="32"/>
      <c r="P478" s="32"/>
      <c r="Q478" s="134"/>
      <c r="R478" s="32"/>
      <c r="S478" s="135"/>
      <c r="T478" s="131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32"/>
      <c r="AF478" s="27"/>
      <c r="AG478" s="85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201"/>
      <c r="K479" s="32"/>
      <c r="L479" s="32"/>
      <c r="M479" s="156"/>
      <c r="N479" s="32"/>
      <c r="O479" s="32"/>
      <c r="P479" s="32"/>
      <c r="Q479" s="134"/>
      <c r="R479" s="32"/>
      <c r="S479" s="135"/>
      <c r="T479" s="131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32"/>
      <c r="AF479" s="27"/>
      <c r="AG479" s="85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201"/>
      <c r="K480" s="32"/>
      <c r="L480" s="32"/>
      <c r="M480" s="156"/>
      <c r="N480" s="32"/>
      <c r="O480" s="32"/>
      <c r="P480" s="32"/>
      <c r="Q480" s="134"/>
      <c r="R480" s="32"/>
      <c r="S480" s="135"/>
      <c r="T480" s="131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32"/>
      <c r="AF480" s="27"/>
      <c r="AG480" s="85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201"/>
      <c r="K481" s="32"/>
      <c r="L481" s="32"/>
      <c r="M481" s="156"/>
      <c r="N481" s="32"/>
      <c r="O481" s="32"/>
      <c r="P481" s="32"/>
      <c r="Q481" s="134"/>
      <c r="R481" s="32"/>
      <c r="S481" s="135"/>
      <c r="T481" s="131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32"/>
      <c r="AF481" s="27"/>
      <c r="AG481" s="85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201"/>
      <c r="K482" s="32"/>
      <c r="L482" s="32"/>
      <c r="M482" s="156"/>
      <c r="N482" s="32"/>
      <c r="O482" s="32"/>
      <c r="P482" s="32"/>
      <c r="Q482" s="134"/>
      <c r="R482" s="32"/>
      <c r="S482" s="135"/>
      <c r="T482" s="131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32"/>
      <c r="AF482" s="27"/>
      <c r="AG482" s="85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201"/>
      <c r="K483" s="32"/>
      <c r="L483" s="32"/>
      <c r="M483" s="156"/>
      <c r="N483" s="32"/>
      <c r="O483" s="32"/>
      <c r="P483" s="32"/>
      <c r="Q483" s="134"/>
      <c r="R483" s="32"/>
      <c r="S483" s="135"/>
      <c r="T483" s="131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32"/>
      <c r="AF483" s="27"/>
      <c r="AG483" s="85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201"/>
      <c r="K484" s="32"/>
      <c r="L484" s="32"/>
      <c r="M484" s="156"/>
      <c r="N484" s="32"/>
      <c r="O484" s="32"/>
      <c r="P484" s="32"/>
      <c r="Q484" s="134"/>
      <c r="R484" s="32"/>
      <c r="S484" s="135"/>
      <c r="T484" s="131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32"/>
      <c r="AF484" s="27"/>
      <c r="AG484" s="85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201"/>
      <c r="K485" s="32"/>
      <c r="L485" s="32"/>
      <c r="M485" s="156"/>
      <c r="N485" s="32"/>
      <c r="O485" s="32"/>
      <c r="P485" s="32"/>
      <c r="Q485" s="134"/>
      <c r="R485" s="32"/>
      <c r="S485" s="135"/>
      <c r="T485" s="131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32"/>
      <c r="AF485" s="27"/>
      <c r="AG485" s="85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201"/>
      <c r="K486" s="32"/>
      <c r="L486" s="32"/>
      <c r="M486" s="156"/>
      <c r="N486" s="32"/>
      <c r="O486" s="32"/>
      <c r="P486" s="32"/>
      <c r="Q486" s="134"/>
      <c r="R486" s="32"/>
      <c r="S486" s="135"/>
      <c r="T486" s="131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32"/>
      <c r="AF486" s="27"/>
      <c r="AG486" s="85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201"/>
      <c r="K487" s="32"/>
      <c r="L487" s="32"/>
      <c r="M487" s="156"/>
      <c r="N487" s="32"/>
      <c r="O487" s="32"/>
      <c r="P487" s="32"/>
      <c r="Q487" s="134"/>
      <c r="R487" s="32"/>
      <c r="S487" s="135"/>
      <c r="T487" s="131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32"/>
      <c r="AF487" s="27"/>
      <c r="AG487" s="85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201"/>
      <c r="K488" s="32"/>
      <c r="L488" s="32"/>
      <c r="M488" s="156"/>
      <c r="N488" s="32"/>
      <c r="O488" s="32"/>
      <c r="P488" s="32"/>
      <c r="Q488" s="134"/>
      <c r="R488" s="32"/>
      <c r="S488" s="135"/>
      <c r="T488" s="131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32"/>
      <c r="AF488" s="27"/>
      <c r="AG488" s="85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201"/>
      <c r="K489" s="32"/>
      <c r="L489" s="32"/>
      <c r="M489" s="156"/>
      <c r="N489" s="32"/>
      <c r="O489" s="32"/>
      <c r="P489" s="32"/>
      <c r="Q489" s="134"/>
      <c r="R489" s="32"/>
      <c r="S489" s="135"/>
      <c r="T489" s="131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32"/>
      <c r="AF489" s="27"/>
      <c r="AG489" s="85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201"/>
      <c r="K490" s="32"/>
      <c r="L490" s="32"/>
      <c r="M490" s="156"/>
      <c r="N490" s="32"/>
      <c r="O490" s="32"/>
      <c r="P490" s="32"/>
      <c r="Q490" s="134"/>
      <c r="R490" s="32"/>
      <c r="S490" s="135"/>
      <c r="T490" s="131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32"/>
      <c r="AF490" s="27"/>
      <c r="AG490" s="85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201"/>
      <c r="K491" s="32"/>
      <c r="L491" s="32"/>
      <c r="M491" s="156"/>
      <c r="N491" s="32"/>
      <c r="O491" s="32"/>
      <c r="P491" s="32"/>
      <c r="Q491" s="134"/>
      <c r="R491" s="32"/>
      <c r="S491" s="135"/>
      <c r="T491" s="131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32"/>
      <c r="AF491" s="27"/>
      <c r="AG491" s="85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201"/>
      <c r="K492" s="32"/>
      <c r="L492" s="32"/>
      <c r="M492" s="156"/>
      <c r="N492" s="32"/>
      <c r="O492" s="32"/>
      <c r="P492" s="32"/>
      <c r="Q492" s="134"/>
      <c r="R492" s="32"/>
      <c r="S492" s="135"/>
      <c r="T492" s="131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32"/>
      <c r="AF492" s="27"/>
      <c r="AG492" s="85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201"/>
      <c r="K493" s="32"/>
      <c r="L493" s="32"/>
      <c r="M493" s="156"/>
      <c r="N493" s="32"/>
      <c r="O493" s="32"/>
      <c r="P493" s="32"/>
      <c r="Q493" s="134"/>
      <c r="R493" s="32"/>
      <c r="S493" s="135"/>
      <c r="T493" s="131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32"/>
      <c r="AF493" s="27"/>
      <c r="AG493" s="85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201"/>
      <c r="K494" s="32"/>
      <c r="L494" s="32"/>
      <c r="M494" s="156"/>
      <c r="N494" s="32"/>
      <c r="O494" s="32"/>
      <c r="P494" s="32"/>
      <c r="Q494" s="134"/>
      <c r="R494" s="32"/>
      <c r="S494" s="135"/>
      <c r="T494" s="131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32"/>
      <c r="AF494" s="27"/>
      <c r="AG494" s="85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201"/>
      <c r="K495" s="32"/>
      <c r="L495" s="32"/>
      <c r="M495" s="156"/>
      <c r="N495" s="32"/>
      <c r="O495" s="32"/>
      <c r="P495" s="32"/>
      <c r="Q495" s="134"/>
      <c r="R495" s="32"/>
      <c r="S495" s="135"/>
      <c r="T495" s="131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32"/>
      <c r="AF495" s="27"/>
      <c r="AG495" s="85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201"/>
      <c r="K496" s="32"/>
      <c r="L496" s="32"/>
      <c r="M496" s="156"/>
      <c r="N496" s="32"/>
      <c r="O496" s="32"/>
      <c r="P496" s="32"/>
      <c r="Q496" s="134"/>
      <c r="R496" s="32"/>
      <c r="S496" s="135"/>
      <c r="T496" s="131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32"/>
      <c r="AF496" s="27"/>
      <c r="AG496" s="85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201"/>
      <c r="K497" s="32"/>
      <c r="L497" s="32"/>
      <c r="M497" s="156"/>
      <c r="N497" s="32"/>
      <c r="O497" s="32"/>
      <c r="P497" s="32"/>
      <c r="Q497" s="134"/>
      <c r="R497" s="32"/>
      <c r="S497" s="135"/>
      <c r="T497" s="131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32"/>
      <c r="AF497" s="27"/>
      <c r="AG497" s="85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201"/>
      <c r="K498" s="32"/>
      <c r="L498" s="32"/>
      <c r="M498" s="156"/>
      <c r="N498" s="32"/>
      <c r="O498" s="32"/>
      <c r="P498" s="32"/>
      <c r="Q498" s="134"/>
      <c r="R498" s="32"/>
      <c r="S498" s="135"/>
      <c r="T498" s="131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32"/>
      <c r="AF498" s="27"/>
      <c r="AG498" s="85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201"/>
      <c r="K499" s="32"/>
      <c r="L499" s="32"/>
      <c r="M499" s="156"/>
      <c r="N499" s="32"/>
      <c r="O499" s="32"/>
      <c r="P499" s="32"/>
      <c r="Q499" s="134"/>
      <c r="R499" s="32"/>
      <c r="S499" s="135"/>
      <c r="T499" s="131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32"/>
      <c r="AF499" s="27"/>
      <c r="AG499" s="85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201"/>
      <c r="K500" s="32"/>
      <c r="L500" s="32"/>
      <c r="M500" s="156"/>
      <c r="N500" s="32"/>
      <c r="O500" s="32"/>
      <c r="P500" s="32"/>
      <c r="Q500" s="134"/>
      <c r="R500" s="32"/>
      <c r="S500" s="135"/>
      <c r="T500" s="131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32"/>
      <c r="AF500" s="27"/>
      <c r="AG500" s="85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201"/>
      <c r="K501" s="32"/>
      <c r="L501" s="32"/>
      <c r="M501" s="156"/>
      <c r="N501" s="32"/>
      <c r="O501" s="32"/>
      <c r="P501" s="32"/>
      <c r="Q501" s="134"/>
      <c r="R501" s="32"/>
      <c r="S501" s="135"/>
      <c r="T501" s="131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32"/>
      <c r="AF501" s="27"/>
      <c r="AG501" s="85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201"/>
      <c r="K502" s="32"/>
      <c r="L502" s="32"/>
      <c r="M502" s="156"/>
      <c r="N502" s="32"/>
      <c r="O502" s="32"/>
      <c r="P502" s="32"/>
      <c r="Q502" s="134"/>
      <c r="R502" s="32"/>
      <c r="S502" s="135"/>
      <c r="T502" s="131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32"/>
      <c r="AF502" s="27"/>
      <c r="AG502" s="85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201"/>
      <c r="K503" s="32"/>
      <c r="L503" s="32"/>
      <c r="M503" s="156"/>
      <c r="N503" s="32"/>
      <c r="O503" s="32"/>
      <c r="P503" s="32"/>
      <c r="Q503" s="134"/>
      <c r="R503" s="32"/>
      <c r="S503" s="135"/>
      <c r="T503" s="131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32"/>
      <c r="AF503" s="27"/>
      <c r="AG503" s="85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201"/>
      <c r="K504" s="32"/>
      <c r="L504" s="32"/>
      <c r="M504" s="156"/>
      <c r="N504" s="32"/>
      <c r="O504" s="32"/>
      <c r="P504" s="32"/>
      <c r="Q504" s="134"/>
      <c r="R504" s="32"/>
      <c r="S504" s="135"/>
      <c r="T504" s="131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32"/>
      <c r="AF504" s="27"/>
      <c r="AG504" s="85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201"/>
      <c r="K505" s="32"/>
      <c r="L505" s="32"/>
      <c r="M505" s="156"/>
      <c r="N505" s="32"/>
      <c r="O505" s="32"/>
      <c r="P505" s="32"/>
      <c r="Q505" s="134"/>
      <c r="R505" s="32"/>
      <c r="S505" s="135"/>
      <c r="T505" s="131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32"/>
      <c r="AF505" s="27"/>
      <c r="AG505" s="85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201"/>
      <c r="K506" s="32"/>
      <c r="L506" s="32"/>
      <c r="M506" s="156"/>
      <c r="N506" s="32"/>
      <c r="O506" s="32"/>
      <c r="P506" s="32"/>
      <c r="Q506" s="134"/>
      <c r="R506" s="32"/>
      <c r="S506" s="135"/>
      <c r="T506" s="131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32"/>
      <c r="AF506" s="27"/>
      <c r="AG506" s="85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201"/>
      <c r="K507" s="32"/>
      <c r="L507" s="32"/>
      <c r="M507" s="156"/>
      <c r="N507" s="32"/>
      <c r="O507" s="32"/>
      <c r="P507" s="32"/>
      <c r="Q507" s="134"/>
      <c r="R507" s="32"/>
      <c r="S507" s="135"/>
      <c r="T507" s="131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32"/>
      <c r="AF507" s="27"/>
      <c r="AG507" s="85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201"/>
      <c r="K508" s="32"/>
      <c r="L508" s="32"/>
      <c r="M508" s="156"/>
      <c r="N508" s="32"/>
      <c r="O508" s="32"/>
      <c r="P508" s="32"/>
      <c r="Q508" s="134"/>
      <c r="R508" s="32"/>
      <c r="S508" s="135"/>
      <c r="T508" s="131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32"/>
      <c r="AF508" s="27"/>
      <c r="AG508" s="85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201"/>
      <c r="K509" s="32"/>
      <c r="L509" s="32"/>
      <c r="M509" s="156"/>
      <c r="N509" s="32"/>
      <c r="O509" s="32"/>
      <c r="P509" s="32"/>
      <c r="Q509" s="134"/>
      <c r="R509" s="32"/>
      <c r="S509" s="135"/>
      <c r="T509" s="131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32"/>
      <c r="AF509" s="27"/>
      <c r="AG509" s="85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201"/>
      <c r="K510" s="32"/>
      <c r="L510" s="32"/>
      <c r="M510" s="156"/>
      <c r="N510" s="32"/>
      <c r="O510" s="32"/>
      <c r="P510" s="32"/>
      <c r="Q510" s="134"/>
      <c r="R510" s="32"/>
      <c r="S510" s="135"/>
      <c r="T510" s="131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32"/>
      <c r="AF510" s="27"/>
      <c r="AG510" s="85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201"/>
      <c r="K511" s="32"/>
      <c r="L511" s="32"/>
      <c r="M511" s="156"/>
      <c r="N511" s="32"/>
      <c r="O511" s="32"/>
      <c r="P511" s="32"/>
      <c r="Q511" s="134"/>
      <c r="R511" s="32"/>
      <c r="S511" s="135"/>
      <c r="T511" s="131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32"/>
      <c r="AF511" s="27"/>
      <c r="AG511" s="85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201"/>
      <c r="K512" s="32"/>
      <c r="L512" s="32"/>
      <c r="M512" s="156"/>
      <c r="N512" s="32"/>
      <c r="O512" s="32"/>
      <c r="P512" s="32"/>
      <c r="Q512" s="134"/>
      <c r="R512" s="32"/>
      <c r="S512" s="135"/>
      <c r="T512" s="131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32"/>
      <c r="AF512" s="27"/>
      <c r="AG512" s="85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201"/>
      <c r="K513" s="32"/>
      <c r="L513" s="32"/>
      <c r="M513" s="156"/>
      <c r="N513" s="32"/>
      <c r="O513" s="32"/>
      <c r="P513" s="32"/>
      <c r="Q513" s="134"/>
      <c r="R513" s="32"/>
      <c r="S513" s="135"/>
      <c r="T513" s="131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32"/>
      <c r="AF513" s="27"/>
      <c r="AG513" s="85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201"/>
      <c r="K514" s="32"/>
      <c r="L514" s="32"/>
      <c r="M514" s="156"/>
      <c r="N514" s="32"/>
      <c r="O514" s="32"/>
      <c r="P514" s="32"/>
      <c r="Q514" s="134"/>
      <c r="R514" s="32"/>
      <c r="S514" s="135"/>
      <c r="T514" s="131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32"/>
      <c r="AF514" s="27"/>
      <c r="AG514" s="85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201"/>
      <c r="K515" s="32"/>
      <c r="L515" s="32"/>
      <c r="M515" s="156"/>
      <c r="N515" s="32"/>
      <c r="O515" s="32"/>
      <c r="P515" s="32"/>
      <c r="Q515" s="134"/>
      <c r="R515" s="32"/>
      <c r="S515" s="135"/>
      <c r="T515" s="131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32"/>
      <c r="AF515" s="27"/>
      <c r="AG515" s="85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201"/>
      <c r="K516" s="32"/>
      <c r="L516" s="32"/>
      <c r="M516" s="156"/>
      <c r="N516" s="32"/>
      <c r="O516" s="32"/>
      <c r="P516" s="32"/>
      <c r="Q516" s="134"/>
      <c r="R516" s="32"/>
      <c r="S516" s="135"/>
      <c r="T516" s="131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32"/>
      <c r="AF516" s="27"/>
      <c r="AG516" s="85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201"/>
      <c r="K517" s="32"/>
      <c r="L517" s="32"/>
      <c r="M517" s="156"/>
      <c r="N517" s="32"/>
      <c r="O517" s="32"/>
      <c r="P517" s="32"/>
      <c r="Q517" s="134"/>
      <c r="R517" s="32"/>
      <c r="S517" s="135"/>
      <c r="T517" s="131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32"/>
      <c r="AF517" s="27"/>
      <c r="AG517" s="85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201"/>
      <c r="K518" s="32"/>
      <c r="L518" s="32"/>
      <c r="M518" s="156"/>
      <c r="N518" s="32"/>
      <c r="O518" s="32"/>
      <c r="P518" s="32"/>
      <c r="Q518" s="134"/>
      <c r="R518" s="32"/>
      <c r="S518" s="135"/>
      <c r="T518" s="131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32"/>
      <c r="AF518" s="27"/>
      <c r="AG518" s="85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201"/>
      <c r="K519" s="32"/>
      <c r="L519" s="32"/>
      <c r="M519" s="156"/>
      <c r="N519" s="32"/>
      <c r="O519" s="32"/>
      <c r="P519" s="32"/>
      <c r="Q519" s="134"/>
      <c r="R519" s="32"/>
      <c r="S519" s="135"/>
      <c r="T519" s="131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32"/>
      <c r="AF519" s="27"/>
      <c r="AG519" s="85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201"/>
      <c r="K520" s="32"/>
      <c r="L520" s="32"/>
      <c r="M520" s="156"/>
      <c r="N520" s="32"/>
      <c r="O520" s="32"/>
      <c r="P520" s="32"/>
      <c r="Q520" s="134"/>
      <c r="R520" s="32"/>
      <c r="S520" s="135"/>
      <c r="T520" s="131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32"/>
      <c r="AF520" s="27"/>
      <c r="AG520" s="85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201"/>
      <c r="K521" s="32"/>
      <c r="L521" s="32"/>
      <c r="M521" s="156"/>
      <c r="N521" s="32"/>
      <c r="O521" s="32"/>
      <c r="P521" s="32"/>
      <c r="Q521" s="134"/>
      <c r="R521" s="32"/>
      <c r="S521" s="135"/>
      <c r="T521" s="131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32"/>
      <c r="AF521" s="27"/>
      <c r="AG521" s="85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201"/>
      <c r="K522" s="32"/>
      <c r="L522" s="32"/>
      <c r="M522" s="156"/>
      <c r="N522" s="32"/>
      <c r="O522" s="32"/>
      <c r="P522" s="32"/>
      <c r="Q522" s="134"/>
      <c r="R522" s="32"/>
      <c r="S522" s="135"/>
      <c r="T522" s="131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32"/>
      <c r="AF522" s="27"/>
      <c r="AG522" s="85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201"/>
      <c r="K523" s="32"/>
      <c r="L523" s="32"/>
      <c r="M523" s="156"/>
      <c r="N523" s="32"/>
      <c r="O523" s="32"/>
      <c r="P523" s="32"/>
      <c r="Q523" s="134"/>
      <c r="R523" s="32"/>
      <c r="S523" s="135"/>
      <c r="T523" s="131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32"/>
      <c r="AF523" s="27"/>
      <c r="AG523" s="85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201"/>
      <c r="K524" s="32"/>
      <c r="L524" s="32"/>
      <c r="M524" s="156"/>
      <c r="N524" s="32"/>
      <c r="O524" s="32"/>
      <c r="P524" s="32"/>
      <c r="Q524" s="134"/>
      <c r="R524" s="32"/>
      <c r="S524" s="135"/>
      <c r="T524" s="131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32"/>
      <c r="AF524" s="27"/>
      <c r="AG524" s="85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201"/>
      <c r="K525" s="32"/>
      <c r="L525" s="32"/>
      <c r="M525" s="156"/>
      <c r="N525" s="32"/>
      <c r="O525" s="32"/>
      <c r="P525" s="32"/>
      <c r="Q525" s="134"/>
      <c r="R525" s="32"/>
      <c r="S525" s="135"/>
      <c r="T525" s="131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32"/>
      <c r="AF525" s="27"/>
      <c r="AG525" s="85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201"/>
      <c r="K526" s="32"/>
      <c r="L526" s="32"/>
      <c r="M526" s="156"/>
      <c r="N526" s="32"/>
      <c r="O526" s="32"/>
      <c r="P526" s="32"/>
      <c r="Q526" s="134"/>
      <c r="R526" s="32"/>
      <c r="S526" s="135"/>
      <c r="T526" s="131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32"/>
      <c r="AF526" s="27"/>
      <c r="AG526" s="85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201"/>
      <c r="K527" s="32"/>
      <c r="L527" s="32"/>
      <c r="M527" s="156"/>
      <c r="N527" s="32"/>
      <c r="O527" s="32"/>
      <c r="P527" s="32"/>
      <c r="Q527" s="134"/>
      <c r="R527" s="32"/>
      <c r="S527" s="135"/>
      <c r="T527" s="131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32"/>
      <c r="AF527" s="27"/>
      <c r="AG527" s="85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201"/>
      <c r="K528" s="32"/>
      <c r="L528" s="32"/>
      <c r="M528" s="156"/>
      <c r="N528" s="32"/>
      <c r="O528" s="32"/>
      <c r="P528" s="32"/>
      <c r="Q528" s="134"/>
      <c r="R528" s="32"/>
      <c r="S528" s="135"/>
      <c r="T528" s="131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32"/>
      <c r="AF528" s="27"/>
      <c r="AG528" s="85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201"/>
      <c r="K529" s="32"/>
      <c r="L529" s="32"/>
      <c r="M529" s="156"/>
      <c r="N529" s="32"/>
      <c r="O529" s="32"/>
      <c r="P529" s="32"/>
      <c r="Q529" s="134"/>
      <c r="R529" s="32"/>
      <c r="S529" s="135"/>
      <c r="T529" s="131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32"/>
      <c r="AF529" s="27"/>
      <c r="AG529" s="85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201"/>
      <c r="K530" s="32"/>
      <c r="L530" s="32"/>
      <c r="M530" s="156"/>
      <c r="N530" s="32"/>
      <c r="O530" s="32"/>
      <c r="P530" s="32"/>
      <c r="Q530" s="134"/>
      <c r="R530" s="32"/>
      <c r="S530" s="135"/>
      <c r="T530" s="131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32"/>
      <c r="AF530" s="27"/>
      <c r="AG530" s="85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201"/>
      <c r="K531" s="32"/>
      <c r="L531" s="32"/>
      <c r="M531" s="156"/>
      <c r="N531" s="32"/>
      <c r="O531" s="32"/>
      <c r="P531" s="32"/>
      <c r="Q531" s="134"/>
      <c r="R531" s="32"/>
      <c r="S531" s="135"/>
      <c r="T531" s="131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32"/>
      <c r="AF531" s="27"/>
      <c r="AG531" s="85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201"/>
      <c r="K532" s="32"/>
      <c r="L532" s="32"/>
      <c r="M532" s="156"/>
      <c r="N532" s="32"/>
      <c r="O532" s="32"/>
      <c r="P532" s="32"/>
      <c r="Q532" s="134"/>
      <c r="R532" s="32"/>
      <c r="S532" s="135"/>
      <c r="T532" s="131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32"/>
      <c r="AF532" s="27"/>
      <c r="AG532" s="85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201"/>
      <c r="K533" s="32"/>
      <c r="L533" s="32"/>
      <c r="M533" s="156"/>
      <c r="N533" s="32"/>
      <c r="O533" s="32"/>
      <c r="P533" s="32"/>
      <c r="Q533" s="134"/>
      <c r="R533" s="32"/>
      <c r="S533" s="135"/>
      <c r="T533" s="131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32"/>
      <c r="AF533" s="27"/>
      <c r="AG533" s="85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201"/>
      <c r="K534" s="32"/>
      <c r="L534" s="32"/>
      <c r="M534" s="156"/>
      <c r="N534" s="32"/>
      <c r="O534" s="32"/>
      <c r="P534" s="32"/>
      <c r="Q534" s="134"/>
      <c r="R534" s="32"/>
      <c r="S534" s="135"/>
      <c r="T534" s="131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32"/>
      <c r="AF534" s="27"/>
      <c r="AG534" s="85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201"/>
      <c r="K535" s="32"/>
      <c r="L535" s="32"/>
      <c r="M535" s="156"/>
      <c r="N535" s="32"/>
      <c r="O535" s="32"/>
      <c r="P535" s="32"/>
      <c r="Q535" s="134"/>
      <c r="R535" s="32"/>
      <c r="S535" s="135"/>
      <c r="T535" s="131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32"/>
      <c r="AF535" s="27"/>
      <c r="AG535" s="85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201"/>
      <c r="K536" s="32"/>
      <c r="L536" s="32"/>
      <c r="M536" s="156"/>
      <c r="N536" s="32"/>
      <c r="O536" s="32"/>
      <c r="P536" s="32"/>
      <c r="Q536" s="134"/>
      <c r="R536" s="32"/>
      <c r="S536" s="135"/>
      <c r="T536" s="131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32"/>
      <c r="AF536" s="27"/>
      <c r="AG536" s="85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201"/>
      <c r="K537" s="32"/>
      <c r="L537" s="32"/>
      <c r="M537" s="156"/>
      <c r="N537" s="32"/>
      <c r="O537" s="32"/>
      <c r="P537" s="32"/>
      <c r="Q537" s="134"/>
      <c r="R537" s="32"/>
      <c r="S537" s="135"/>
      <c r="T537" s="131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32"/>
      <c r="AF537" s="27"/>
      <c r="AG537" s="85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201"/>
      <c r="K538" s="32"/>
      <c r="L538" s="32"/>
      <c r="M538" s="156"/>
      <c r="N538" s="32"/>
      <c r="O538" s="32"/>
      <c r="P538" s="32"/>
      <c r="Q538" s="134"/>
      <c r="R538" s="32"/>
      <c r="S538" s="135"/>
      <c r="T538" s="131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32"/>
      <c r="AF538" s="27"/>
      <c r="AG538" s="85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201"/>
      <c r="K539" s="32"/>
      <c r="L539" s="32"/>
      <c r="M539" s="156"/>
      <c r="N539" s="32"/>
      <c r="O539" s="32"/>
      <c r="P539" s="32"/>
      <c r="Q539" s="134"/>
      <c r="R539" s="32"/>
      <c r="S539" s="135"/>
      <c r="T539" s="131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32"/>
      <c r="AF539" s="27"/>
      <c r="AG539" s="85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201"/>
      <c r="K540" s="32"/>
      <c r="L540" s="32"/>
      <c r="M540" s="156"/>
      <c r="N540" s="32"/>
      <c r="O540" s="32"/>
      <c r="P540" s="32"/>
      <c r="Q540" s="134"/>
      <c r="R540" s="32"/>
      <c r="S540" s="135"/>
      <c r="T540" s="131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32"/>
      <c r="AF540" s="27"/>
      <c r="AG540" s="85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201"/>
      <c r="K541" s="32"/>
      <c r="L541" s="32"/>
      <c r="M541" s="156"/>
      <c r="N541" s="32"/>
      <c r="O541" s="32"/>
      <c r="P541" s="32"/>
      <c r="Q541" s="134"/>
      <c r="R541" s="32"/>
      <c r="S541" s="135"/>
      <c r="T541" s="131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32"/>
      <c r="AF541" s="27"/>
      <c r="AG541" s="85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201"/>
      <c r="K542" s="32"/>
      <c r="L542" s="32"/>
      <c r="M542" s="156"/>
      <c r="N542" s="32"/>
      <c r="O542" s="32"/>
      <c r="P542" s="32"/>
      <c r="Q542" s="134"/>
      <c r="R542" s="32"/>
      <c r="S542" s="135"/>
      <c r="T542" s="131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32"/>
      <c r="AF542" s="27"/>
      <c r="AG542" s="85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201"/>
      <c r="K543" s="32"/>
      <c r="L543" s="32"/>
      <c r="M543" s="156"/>
      <c r="N543" s="32"/>
      <c r="O543" s="32"/>
      <c r="P543" s="32"/>
      <c r="Q543" s="134"/>
      <c r="R543" s="32"/>
      <c r="S543" s="135"/>
      <c r="T543" s="131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32"/>
      <c r="AF543" s="27"/>
      <c r="AG543" s="85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201"/>
      <c r="K544" s="32"/>
      <c r="L544" s="32"/>
      <c r="M544" s="156"/>
      <c r="N544" s="32"/>
      <c r="O544" s="32"/>
      <c r="P544" s="32"/>
      <c r="Q544" s="134"/>
      <c r="R544" s="32"/>
      <c r="S544" s="135"/>
      <c r="T544" s="131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32"/>
      <c r="AF544" s="27"/>
      <c r="AG544" s="85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201"/>
      <c r="K545" s="32"/>
      <c r="L545" s="32"/>
      <c r="M545" s="156"/>
      <c r="N545" s="32"/>
      <c r="O545" s="32"/>
      <c r="P545" s="32"/>
      <c r="Q545" s="134"/>
      <c r="R545" s="32"/>
      <c r="S545" s="135"/>
      <c r="T545" s="131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32"/>
      <c r="AF545" s="27"/>
      <c r="AG545" s="85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201"/>
      <c r="K546" s="32"/>
      <c r="L546" s="32"/>
      <c r="M546" s="156"/>
      <c r="N546" s="32"/>
      <c r="O546" s="32"/>
      <c r="P546" s="32"/>
      <c r="Q546" s="134"/>
      <c r="R546" s="32"/>
      <c r="S546" s="135"/>
      <c r="T546" s="131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32"/>
      <c r="AF546" s="27"/>
      <c r="AG546" s="85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201"/>
      <c r="K547" s="32"/>
      <c r="L547" s="32"/>
      <c r="M547" s="156"/>
      <c r="N547" s="32"/>
      <c r="O547" s="32"/>
      <c r="P547" s="32"/>
      <c r="Q547" s="134"/>
      <c r="R547" s="32"/>
      <c r="S547" s="135"/>
      <c r="T547" s="131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32"/>
      <c r="AF547" s="27"/>
      <c r="AG547" s="85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201"/>
      <c r="K548" s="32"/>
      <c r="L548" s="32"/>
      <c r="M548" s="156"/>
      <c r="N548" s="32"/>
      <c r="O548" s="32"/>
      <c r="P548" s="32"/>
      <c r="Q548" s="134"/>
      <c r="R548" s="32"/>
      <c r="S548" s="135"/>
      <c r="T548" s="131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32"/>
      <c r="AF548" s="27"/>
      <c r="AG548" s="85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201"/>
      <c r="K549" s="32"/>
      <c r="L549" s="32"/>
      <c r="M549" s="156"/>
      <c r="N549" s="32"/>
      <c r="O549" s="32"/>
      <c r="P549" s="32"/>
      <c r="Q549" s="134"/>
      <c r="R549" s="32"/>
      <c r="S549" s="135"/>
      <c r="T549" s="131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32"/>
      <c r="AF549" s="27"/>
      <c r="AG549" s="85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201"/>
      <c r="K550" s="32"/>
      <c r="L550" s="32"/>
      <c r="M550" s="156"/>
      <c r="N550" s="32"/>
      <c r="O550" s="32"/>
      <c r="P550" s="32"/>
      <c r="Q550" s="134"/>
      <c r="R550" s="32"/>
      <c r="S550" s="135"/>
      <c r="T550" s="131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32"/>
      <c r="AF550" s="27"/>
      <c r="AG550" s="85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201"/>
      <c r="K551" s="32"/>
      <c r="L551" s="32"/>
      <c r="M551" s="156"/>
      <c r="N551" s="32"/>
      <c r="O551" s="32"/>
      <c r="P551" s="32"/>
      <c r="Q551" s="134"/>
      <c r="R551" s="32"/>
      <c r="S551" s="135"/>
      <c r="T551" s="131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32"/>
      <c r="AF551" s="27"/>
      <c r="AG551" s="85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201"/>
      <c r="K552" s="32"/>
      <c r="L552" s="32"/>
      <c r="M552" s="156"/>
      <c r="N552" s="32"/>
      <c r="O552" s="32"/>
      <c r="P552" s="32"/>
      <c r="Q552" s="134"/>
      <c r="R552" s="32"/>
      <c r="S552" s="135"/>
      <c r="T552" s="131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32"/>
      <c r="AF552" s="27"/>
      <c r="AG552" s="85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201"/>
      <c r="K553" s="32"/>
      <c r="L553" s="32"/>
      <c r="M553" s="156"/>
      <c r="N553" s="32"/>
      <c r="O553" s="32"/>
      <c r="P553" s="32"/>
      <c r="Q553" s="134"/>
      <c r="R553" s="32"/>
      <c r="S553" s="135"/>
      <c r="T553" s="131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32"/>
      <c r="AF553" s="27"/>
      <c r="AG553" s="85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201"/>
      <c r="K554" s="32"/>
      <c r="L554" s="32"/>
      <c r="M554" s="156"/>
      <c r="N554" s="32"/>
      <c r="O554" s="32"/>
      <c r="P554" s="32"/>
      <c r="Q554" s="134"/>
      <c r="R554" s="32"/>
      <c r="S554" s="135"/>
      <c r="T554" s="131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32"/>
      <c r="AF554" s="27"/>
      <c r="AG554" s="85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201"/>
      <c r="K555" s="32"/>
      <c r="L555" s="32"/>
      <c r="M555" s="156"/>
      <c r="N555" s="32"/>
      <c r="O555" s="32"/>
      <c r="P555" s="32"/>
      <c r="Q555" s="134"/>
      <c r="R555" s="32"/>
      <c r="S555" s="135"/>
      <c r="T555" s="131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32"/>
      <c r="AF555" s="27"/>
      <c r="AG555" s="85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201"/>
      <c r="K556" s="32"/>
      <c r="L556" s="32"/>
      <c r="M556" s="156"/>
      <c r="N556" s="32"/>
      <c r="O556" s="32"/>
      <c r="P556" s="32"/>
      <c r="Q556" s="134"/>
      <c r="R556" s="32"/>
      <c r="S556" s="135"/>
      <c r="T556" s="131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32"/>
      <c r="AF556" s="27"/>
      <c r="AG556" s="85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201"/>
      <c r="K557" s="32"/>
      <c r="L557" s="32"/>
      <c r="M557" s="156"/>
      <c r="N557" s="32"/>
      <c r="O557" s="32"/>
      <c r="P557" s="32"/>
      <c r="Q557" s="134"/>
      <c r="R557" s="32"/>
      <c r="S557" s="135"/>
      <c r="T557" s="131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32"/>
      <c r="AF557" s="27"/>
      <c r="AG557" s="85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201"/>
      <c r="K558" s="32"/>
      <c r="L558" s="32"/>
      <c r="M558" s="156"/>
      <c r="N558" s="32"/>
      <c r="O558" s="32"/>
      <c r="P558" s="32"/>
      <c r="Q558" s="134"/>
      <c r="R558" s="32"/>
      <c r="S558" s="135"/>
      <c r="T558" s="131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32"/>
      <c r="AF558" s="27"/>
      <c r="AG558" s="85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201"/>
      <c r="K559" s="32"/>
      <c r="L559" s="32"/>
      <c r="M559" s="156"/>
      <c r="N559" s="32"/>
      <c r="O559" s="32"/>
      <c r="P559" s="32"/>
      <c r="Q559" s="134"/>
      <c r="R559" s="32"/>
      <c r="S559" s="135"/>
      <c r="T559" s="131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32"/>
      <c r="AF559" s="27"/>
      <c r="AG559" s="85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201"/>
      <c r="K560" s="32"/>
      <c r="L560" s="32"/>
      <c r="M560" s="156"/>
      <c r="N560" s="32"/>
      <c r="O560" s="32"/>
      <c r="P560" s="32"/>
      <c r="Q560" s="134"/>
      <c r="R560" s="32"/>
      <c r="S560" s="135"/>
      <c r="T560" s="131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32"/>
      <c r="AF560" s="27"/>
      <c r="AG560" s="85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201"/>
      <c r="K561" s="32"/>
      <c r="L561" s="32"/>
      <c r="M561" s="156"/>
      <c r="N561" s="32"/>
      <c r="O561" s="32"/>
      <c r="P561" s="32"/>
      <c r="Q561" s="134"/>
      <c r="R561" s="32"/>
      <c r="S561" s="135"/>
      <c r="T561" s="131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32"/>
      <c r="AF561" s="27"/>
      <c r="AG561" s="85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201"/>
      <c r="K562" s="32"/>
      <c r="L562" s="32"/>
      <c r="M562" s="156"/>
      <c r="N562" s="32"/>
      <c r="O562" s="32"/>
      <c r="P562" s="32"/>
      <c r="Q562" s="134"/>
      <c r="R562" s="32"/>
      <c r="S562" s="135"/>
      <c r="T562" s="131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32"/>
      <c r="AF562" s="27"/>
      <c r="AG562" s="85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201"/>
      <c r="K563" s="32"/>
      <c r="L563" s="32"/>
      <c r="M563" s="156"/>
      <c r="N563" s="32"/>
      <c r="O563" s="32"/>
      <c r="P563" s="32"/>
      <c r="Q563" s="134"/>
      <c r="R563" s="32"/>
      <c r="S563" s="135"/>
      <c r="T563" s="131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32"/>
      <c r="AF563" s="27"/>
      <c r="AG563" s="85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201"/>
      <c r="K564" s="32"/>
      <c r="L564" s="32"/>
      <c r="M564" s="156"/>
      <c r="N564" s="32"/>
      <c r="O564" s="32"/>
      <c r="P564" s="32"/>
      <c r="Q564" s="134"/>
      <c r="R564" s="32"/>
      <c r="S564" s="135"/>
      <c r="T564" s="131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32"/>
      <c r="AF564" s="27"/>
      <c r="AG564" s="85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201"/>
      <c r="K565" s="32"/>
      <c r="L565" s="32"/>
      <c r="M565" s="156"/>
      <c r="N565" s="32"/>
      <c r="O565" s="32"/>
      <c r="P565" s="32"/>
      <c r="Q565" s="134"/>
      <c r="R565" s="32"/>
      <c r="S565" s="135"/>
      <c r="T565" s="131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32"/>
      <c r="AF565" s="27"/>
      <c r="AG565" s="85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201"/>
      <c r="K566" s="32"/>
      <c r="L566" s="32"/>
      <c r="M566" s="156"/>
      <c r="N566" s="32"/>
      <c r="O566" s="32"/>
      <c r="P566" s="32"/>
      <c r="Q566" s="134"/>
      <c r="R566" s="32"/>
      <c r="S566" s="135"/>
      <c r="T566" s="131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32"/>
      <c r="AF566" s="27"/>
      <c r="AG566" s="85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201"/>
      <c r="K567" s="32"/>
      <c r="L567" s="32"/>
      <c r="M567" s="156"/>
      <c r="N567" s="32"/>
      <c r="O567" s="32"/>
      <c r="P567" s="32"/>
      <c r="Q567" s="134"/>
      <c r="R567" s="32"/>
      <c r="S567" s="135"/>
      <c r="T567" s="131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32"/>
      <c r="AF567" s="27"/>
      <c r="AG567" s="85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201"/>
      <c r="K568" s="32"/>
      <c r="L568" s="32"/>
      <c r="M568" s="156"/>
      <c r="N568" s="32"/>
      <c r="O568" s="32"/>
      <c r="P568" s="32"/>
      <c r="Q568" s="134"/>
      <c r="R568" s="32"/>
      <c r="S568" s="135"/>
      <c r="T568" s="131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32"/>
      <c r="AF568" s="27"/>
      <c r="AG568" s="85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201"/>
      <c r="K569" s="32"/>
      <c r="L569" s="32"/>
      <c r="M569" s="156"/>
      <c r="N569" s="32"/>
      <c r="O569" s="32"/>
      <c r="P569" s="32"/>
      <c r="Q569" s="134"/>
      <c r="R569" s="32"/>
      <c r="S569" s="135"/>
      <c r="T569" s="131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32"/>
      <c r="AF569" s="27"/>
      <c r="AG569" s="85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201"/>
      <c r="K570" s="32"/>
      <c r="L570" s="32"/>
      <c r="M570" s="156"/>
      <c r="N570" s="32"/>
      <c r="O570" s="32"/>
      <c r="P570" s="32"/>
      <c r="Q570" s="134"/>
      <c r="R570" s="32"/>
      <c r="S570" s="135"/>
      <c r="T570" s="131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32"/>
      <c r="AF570" s="27"/>
      <c r="AG570" s="85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201"/>
      <c r="K571" s="32"/>
      <c r="L571" s="32"/>
      <c r="M571" s="156"/>
      <c r="N571" s="32"/>
      <c r="O571" s="32"/>
      <c r="P571" s="32"/>
      <c r="Q571" s="134"/>
      <c r="R571" s="32"/>
      <c r="S571" s="135"/>
      <c r="T571" s="131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32"/>
      <c r="AF571" s="27"/>
      <c r="AG571" s="85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201"/>
      <c r="K572" s="32"/>
      <c r="L572" s="32"/>
      <c r="M572" s="156"/>
      <c r="N572" s="32"/>
      <c r="O572" s="32"/>
      <c r="P572" s="32"/>
      <c r="Q572" s="134"/>
      <c r="R572" s="32"/>
      <c r="S572" s="135"/>
      <c r="T572" s="131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32"/>
      <c r="AF572" s="27"/>
      <c r="AG572" s="85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201"/>
      <c r="K573" s="32"/>
      <c r="L573" s="32"/>
      <c r="M573" s="156"/>
      <c r="N573" s="32"/>
      <c r="O573" s="32"/>
      <c r="P573" s="32"/>
      <c r="Q573" s="134"/>
      <c r="R573" s="32"/>
      <c r="S573" s="135"/>
      <c r="T573" s="131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32"/>
      <c r="AF573" s="27"/>
      <c r="AG573" s="85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201"/>
      <c r="K574" s="32"/>
      <c r="L574" s="32"/>
      <c r="M574" s="156"/>
      <c r="N574" s="32"/>
      <c r="O574" s="32"/>
      <c r="P574" s="32"/>
      <c r="Q574" s="134"/>
      <c r="R574" s="32"/>
      <c r="S574" s="135"/>
      <c r="T574" s="131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32"/>
      <c r="AF574" s="27"/>
      <c r="AG574" s="85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201"/>
      <c r="K575" s="32"/>
      <c r="L575" s="32"/>
      <c r="M575" s="156"/>
      <c r="N575" s="32"/>
      <c r="O575" s="32"/>
      <c r="P575" s="32"/>
      <c r="Q575" s="134"/>
      <c r="R575" s="32"/>
      <c r="S575" s="135"/>
      <c r="T575" s="131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32"/>
      <c r="AF575" s="27"/>
      <c r="AG575" s="85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201"/>
      <c r="K576" s="32"/>
      <c r="L576" s="32"/>
      <c r="M576" s="156"/>
      <c r="N576" s="32"/>
      <c r="O576" s="32"/>
      <c r="P576" s="32"/>
      <c r="Q576" s="134"/>
      <c r="R576" s="32"/>
      <c r="S576" s="135"/>
      <c r="T576" s="131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32"/>
      <c r="AF576" s="27"/>
      <c r="AG576" s="85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201"/>
      <c r="K577" s="32"/>
      <c r="L577" s="32"/>
      <c r="M577" s="156"/>
      <c r="N577" s="32"/>
      <c r="O577" s="32"/>
      <c r="P577" s="32"/>
      <c r="Q577" s="134"/>
      <c r="R577" s="32"/>
      <c r="S577" s="135"/>
      <c r="T577" s="131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32"/>
      <c r="AF577" s="27"/>
      <c r="AG577" s="85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201"/>
      <c r="K578" s="32"/>
      <c r="L578" s="32"/>
      <c r="M578" s="156"/>
      <c r="N578" s="32"/>
      <c r="O578" s="32"/>
      <c r="P578" s="32"/>
      <c r="Q578" s="134"/>
      <c r="R578" s="32"/>
      <c r="S578" s="135"/>
      <c r="T578" s="131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32"/>
      <c r="AF578" s="27"/>
      <c r="AG578" s="85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201"/>
      <c r="K579" s="32"/>
      <c r="L579" s="32"/>
      <c r="M579" s="156"/>
      <c r="N579" s="32"/>
      <c r="O579" s="32"/>
      <c r="P579" s="32"/>
      <c r="Q579" s="134"/>
      <c r="R579" s="32"/>
      <c r="S579" s="135"/>
      <c r="T579" s="131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32"/>
      <c r="AF579" s="27"/>
      <c r="AG579" s="85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201"/>
      <c r="K580" s="32"/>
      <c r="L580" s="32"/>
      <c r="M580" s="156"/>
      <c r="N580" s="32"/>
      <c r="O580" s="32"/>
      <c r="P580" s="32"/>
      <c r="Q580" s="134"/>
      <c r="R580" s="32"/>
      <c r="S580" s="135"/>
      <c r="T580" s="131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32"/>
      <c r="AF580" s="27"/>
      <c r="AG580" s="85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201"/>
      <c r="K581" s="32"/>
      <c r="L581" s="32"/>
      <c r="M581" s="156"/>
      <c r="N581" s="32"/>
      <c r="O581" s="32"/>
      <c r="P581" s="32"/>
      <c r="Q581" s="134"/>
      <c r="R581" s="32"/>
      <c r="S581" s="135"/>
      <c r="T581" s="131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32"/>
      <c r="AF581" s="27"/>
      <c r="AG581" s="85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201"/>
      <c r="K582" s="32"/>
      <c r="L582" s="32"/>
      <c r="M582" s="156"/>
      <c r="N582" s="32"/>
      <c r="O582" s="32"/>
      <c r="P582" s="32"/>
      <c r="Q582" s="134"/>
      <c r="R582" s="32"/>
      <c r="S582" s="135"/>
      <c r="T582" s="131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32"/>
      <c r="AF582" s="27"/>
      <c r="AG582" s="85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201"/>
      <c r="K583" s="32"/>
      <c r="L583" s="32"/>
      <c r="M583" s="156"/>
      <c r="N583" s="32"/>
      <c r="O583" s="32"/>
      <c r="P583" s="32"/>
      <c r="Q583" s="134"/>
      <c r="R583" s="32"/>
      <c r="S583" s="135"/>
      <c r="T583" s="131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32"/>
      <c r="AF583" s="27"/>
      <c r="AG583" s="85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201"/>
      <c r="K584" s="32"/>
      <c r="L584" s="32"/>
      <c r="M584" s="156"/>
      <c r="N584" s="32"/>
      <c r="O584" s="32"/>
      <c r="P584" s="32"/>
      <c r="Q584" s="134"/>
      <c r="R584" s="32"/>
      <c r="S584" s="135"/>
      <c r="T584" s="131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32"/>
      <c r="AF584" s="27"/>
      <c r="AG584" s="85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201"/>
      <c r="K585" s="32"/>
      <c r="L585" s="32"/>
      <c r="M585" s="156"/>
      <c r="N585" s="32"/>
      <c r="O585" s="32"/>
      <c r="P585" s="32"/>
      <c r="Q585" s="134"/>
      <c r="R585" s="32"/>
      <c r="S585" s="135"/>
      <c r="T585" s="131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32"/>
      <c r="AF585" s="27"/>
      <c r="AG585" s="85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201"/>
      <c r="K586" s="32"/>
      <c r="L586" s="32"/>
      <c r="M586" s="156"/>
      <c r="N586" s="32"/>
      <c r="O586" s="32"/>
      <c r="P586" s="32"/>
      <c r="Q586" s="134"/>
      <c r="R586" s="32"/>
      <c r="S586" s="135"/>
      <c r="T586" s="131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32"/>
      <c r="AF586" s="27"/>
      <c r="AG586" s="85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201"/>
      <c r="K587" s="32"/>
      <c r="L587" s="32"/>
      <c r="M587" s="156"/>
      <c r="N587" s="32"/>
      <c r="O587" s="32"/>
      <c r="P587" s="32"/>
      <c r="Q587" s="134"/>
      <c r="R587" s="32"/>
      <c r="S587" s="135"/>
      <c r="T587" s="131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32"/>
      <c r="AF587" s="27"/>
      <c r="AG587" s="85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201"/>
      <c r="K588" s="32"/>
      <c r="L588" s="32"/>
      <c r="M588" s="156"/>
      <c r="N588" s="32"/>
      <c r="O588" s="32"/>
      <c r="P588" s="32"/>
      <c r="Q588" s="134"/>
      <c r="R588" s="32"/>
      <c r="S588" s="135"/>
      <c r="T588" s="131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32"/>
      <c r="AF588" s="27"/>
      <c r="AG588" s="85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201"/>
      <c r="K589" s="32"/>
      <c r="L589" s="32"/>
      <c r="M589" s="156"/>
      <c r="N589" s="32"/>
      <c r="O589" s="32"/>
      <c r="P589" s="32"/>
      <c r="Q589" s="134"/>
      <c r="R589" s="32"/>
      <c r="S589" s="135"/>
      <c r="T589" s="131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32"/>
      <c r="AF589" s="27"/>
      <c r="AG589" s="85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201"/>
      <c r="K590" s="32"/>
      <c r="L590" s="32"/>
      <c r="M590" s="156"/>
      <c r="N590" s="32"/>
      <c r="O590" s="32"/>
      <c r="P590" s="32"/>
      <c r="Q590" s="134"/>
      <c r="R590" s="32"/>
      <c r="S590" s="135"/>
      <c r="T590" s="131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32"/>
      <c r="AF590" s="27"/>
      <c r="AG590" s="85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201"/>
      <c r="K591" s="32"/>
      <c r="L591" s="32"/>
      <c r="M591" s="156"/>
      <c r="N591" s="32"/>
      <c r="O591" s="32"/>
      <c r="P591" s="32"/>
      <c r="Q591" s="134"/>
      <c r="R591" s="32"/>
      <c r="S591" s="135"/>
      <c r="T591" s="131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32"/>
      <c r="AF591" s="27"/>
      <c r="AG591" s="85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201"/>
      <c r="K592" s="32"/>
      <c r="L592" s="32"/>
      <c r="M592" s="156"/>
      <c r="N592" s="32"/>
      <c r="O592" s="32"/>
      <c r="P592" s="32"/>
      <c r="Q592" s="134"/>
      <c r="R592" s="32"/>
      <c r="S592" s="135"/>
      <c r="T592" s="131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32"/>
      <c r="AF592" s="27"/>
      <c r="AG592" s="85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201"/>
      <c r="K593" s="32"/>
      <c r="L593" s="32"/>
      <c r="M593" s="156"/>
      <c r="N593" s="32"/>
      <c r="O593" s="32"/>
      <c r="P593" s="32"/>
      <c r="Q593" s="134"/>
      <c r="R593" s="32"/>
      <c r="S593" s="135"/>
      <c r="T593" s="131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32"/>
      <c r="AF593" s="27"/>
      <c r="AG593" s="85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201"/>
      <c r="K594" s="32"/>
      <c r="L594" s="32"/>
      <c r="M594" s="156"/>
      <c r="N594" s="32"/>
      <c r="O594" s="32"/>
      <c r="P594" s="32"/>
      <c r="Q594" s="134"/>
      <c r="R594" s="32"/>
      <c r="S594" s="135"/>
      <c r="T594" s="131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32"/>
      <c r="AF594" s="27"/>
      <c r="AG594" s="85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201"/>
      <c r="K595" s="32"/>
      <c r="L595" s="32"/>
      <c r="M595" s="156"/>
      <c r="N595" s="32"/>
      <c r="O595" s="32"/>
      <c r="P595" s="32"/>
      <c r="Q595" s="134"/>
      <c r="R595" s="32"/>
      <c r="S595" s="135"/>
      <c r="T595" s="131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32"/>
      <c r="AF595" s="27"/>
      <c r="AG595" s="85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201"/>
      <c r="K596" s="32"/>
      <c r="L596" s="32"/>
      <c r="M596" s="156"/>
      <c r="N596" s="32"/>
      <c r="O596" s="32"/>
      <c r="P596" s="32"/>
      <c r="Q596" s="134"/>
      <c r="R596" s="32"/>
      <c r="S596" s="135"/>
      <c r="T596" s="131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32"/>
      <c r="AF596" s="27"/>
      <c r="AG596" s="85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201"/>
      <c r="K597" s="32"/>
      <c r="L597" s="32"/>
      <c r="M597" s="156"/>
      <c r="N597" s="32"/>
      <c r="O597" s="32"/>
      <c r="P597" s="32"/>
      <c r="Q597" s="134"/>
      <c r="R597" s="32"/>
      <c r="S597" s="135"/>
      <c r="T597" s="131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32"/>
      <c r="AF597" s="27"/>
      <c r="AG597" s="85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201"/>
      <c r="K598" s="32"/>
      <c r="L598" s="32"/>
      <c r="M598" s="156"/>
      <c r="N598" s="32"/>
      <c r="O598" s="32"/>
      <c r="P598" s="32"/>
      <c r="Q598" s="134"/>
      <c r="R598" s="32"/>
      <c r="S598" s="135"/>
      <c r="T598" s="131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32"/>
      <c r="AF598" s="27"/>
      <c r="AG598" s="85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201"/>
      <c r="K599" s="32"/>
      <c r="L599" s="32"/>
      <c r="M599" s="156"/>
      <c r="N599" s="32"/>
      <c r="O599" s="32"/>
      <c r="P599" s="32"/>
      <c r="Q599" s="134"/>
      <c r="R599" s="32"/>
      <c r="S599" s="135"/>
      <c r="T599" s="131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32"/>
      <c r="AF599" s="27"/>
      <c r="AG599" s="85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201"/>
      <c r="K600" s="32"/>
      <c r="L600" s="32"/>
      <c r="M600" s="156"/>
      <c r="N600" s="32"/>
      <c r="O600" s="32"/>
      <c r="P600" s="32"/>
      <c r="Q600" s="134"/>
      <c r="R600" s="32"/>
      <c r="S600" s="135"/>
      <c r="T600" s="131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32"/>
      <c r="AF600" s="27"/>
      <c r="AG600" s="85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201"/>
      <c r="K601" s="32"/>
      <c r="L601" s="32"/>
      <c r="M601" s="156"/>
      <c r="N601" s="32"/>
      <c r="O601" s="32"/>
      <c r="P601" s="32"/>
      <c r="Q601" s="134"/>
      <c r="R601" s="32"/>
      <c r="S601" s="135"/>
      <c r="T601" s="131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32"/>
      <c r="AF601" s="27"/>
      <c r="AG601" s="85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201"/>
      <c r="K602" s="32"/>
      <c r="L602" s="32"/>
      <c r="M602" s="156"/>
      <c r="N602" s="32"/>
      <c r="O602" s="32"/>
      <c r="P602" s="32"/>
      <c r="Q602" s="134"/>
      <c r="R602" s="32"/>
      <c r="S602" s="135"/>
      <c r="T602" s="131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32"/>
      <c r="AF602" s="27"/>
      <c r="AG602" s="85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201"/>
      <c r="K603" s="32"/>
      <c r="L603" s="32"/>
      <c r="M603" s="156"/>
      <c r="N603" s="32"/>
      <c r="O603" s="32"/>
      <c r="P603" s="32"/>
      <c r="Q603" s="134"/>
      <c r="R603" s="32"/>
      <c r="S603" s="135"/>
      <c r="T603" s="131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32"/>
      <c r="AF603" s="27"/>
      <c r="AG603" s="85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201"/>
      <c r="K604" s="32"/>
      <c r="L604" s="32"/>
      <c r="M604" s="156"/>
      <c r="N604" s="32"/>
      <c r="O604" s="32"/>
      <c r="P604" s="32"/>
      <c r="Q604" s="134"/>
      <c r="R604" s="32"/>
      <c r="S604" s="135"/>
      <c r="T604" s="131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32"/>
      <c r="AF604" s="27"/>
      <c r="AG604" s="85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201"/>
      <c r="K605" s="32"/>
      <c r="L605" s="32"/>
      <c r="M605" s="156"/>
      <c r="N605" s="32"/>
      <c r="O605" s="32"/>
      <c r="P605" s="32"/>
      <c r="Q605" s="134"/>
      <c r="R605" s="32"/>
      <c r="S605" s="135"/>
      <c r="T605" s="131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32"/>
      <c r="AF605" s="27"/>
      <c r="AG605" s="85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201"/>
      <c r="K606" s="32"/>
      <c r="L606" s="32"/>
      <c r="M606" s="156"/>
      <c r="N606" s="32"/>
      <c r="O606" s="32"/>
      <c r="P606" s="32"/>
      <c r="Q606" s="134"/>
      <c r="R606" s="32"/>
      <c r="S606" s="135"/>
      <c r="T606" s="131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32"/>
      <c r="AF606" s="27"/>
      <c r="AG606" s="85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201"/>
      <c r="K607" s="32"/>
      <c r="L607" s="32"/>
      <c r="M607" s="156"/>
      <c r="N607" s="32"/>
      <c r="O607" s="32"/>
      <c r="P607" s="32"/>
      <c r="Q607" s="134"/>
      <c r="R607" s="32"/>
      <c r="S607" s="135"/>
      <c r="T607" s="131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32"/>
      <c r="AF607" s="27"/>
      <c r="AG607" s="85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201"/>
      <c r="K608" s="32"/>
      <c r="L608" s="32"/>
      <c r="M608" s="156"/>
      <c r="N608" s="32"/>
      <c r="O608" s="32"/>
      <c r="P608" s="32"/>
      <c r="Q608" s="134"/>
      <c r="R608" s="32"/>
      <c r="S608" s="135"/>
      <c r="T608" s="131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32"/>
      <c r="AF608" s="27"/>
      <c r="AG608" s="85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201"/>
      <c r="K609" s="32"/>
      <c r="L609" s="32"/>
      <c r="M609" s="156"/>
      <c r="N609" s="32"/>
      <c r="O609" s="32"/>
      <c r="P609" s="32"/>
      <c r="Q609" s="134"/>
      <c r="R609" s="32"/>
      <c r="S609" s="135"/>
      <c r="T609" s="131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32"/>
      <c r="AF609" s="27"/>
      <c r="AG609" s="85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201"/>
      <c r="K610" s="32"/>
      <c r="L610" s="32"/>
      <c r="M610" s="156"/>
      <c r="N610" s="32"/>
      <c r="O610" s="32"/>
      <c r="P610" s="32"/>
      <c r="Q610" s="134"/>
      <c r="R610" s="32"/>
      <c r="S610" s="135"/>
      <c r="T610" s="131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32"/>
      <c r="AF610" s="27"/>
      <c r="AG610" s="85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201"/>
      <c r="K611" s="32"/>
      <c r="L611" s="32"/>
      <c r="M611" s="156"/>
      <c r="N611" s="32"/>
      <c r="O611" s="32"/>
      <c r="P611" s="32"/>
      <c r="Q611" s="134"/>
      <c r="R611" s="32"/>
      <c r="S611" s="135"/>
      <c r="T611" s="131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32"/>
      <c r="AF611" s="27"/>
      <c r="AG611" s="85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201"/>
      <c r="K612" s="32"/>
      <c r="L612" s="32"/>
      <c r="M612" s="156"/>
      <c r="N612" s="32"/>
      <c r="O612" s="32"/>
      <c r="P612" s="32"/>
      <c r="Q612" s="134"/>
      <c r="R612" s="32"/>
      <c r="S612" s="135"/>
      <c r="T612" s="131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32"/>
      <c r="AF612" s="27"/>
      <c r="AG612" s="85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201"/>
      <c r="K613" s="32"/>
      <c r="L613" s="32"/>
      <c r="M613" s="156"/>
      <c r="N613" s="32"/>
      <c r="O613" s="32"/>
      <c r="P613" s="32"/>
      <c r="Q613" s="134"/>
      <c r="R613" s="32"/>
      <c r="S613" s="135"/>
      <c r="T613" s="131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32"/>
      <c r="AF613" s="27"/>
      <c r="AG613" s="85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201"/>
      <c r="K614" s="32"/>
      <c r="L614" s="32"/>
      <c r="M614" s="156"/>
      <c r="N614" s="32"/>
      <c r="O614" s="32"/>
      <c r="P614" s="32"/>
      <c r="Q614" s="134"/>
      <c r="R614" s="32"/>
      <c r="S614" s="135"/>
      <c r="T614" s="131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32"/>
      <c r="AF614" s="27"/>
      <c r="AG614" s="85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201"/>
      <c r="K615" s="32"/>
      <c r="L615" s="32"/>
      <c r="M615" s="156"/>
      <c r="N615" s="32"/>
      <c r="O615" s="32"/>
      <c r="P615" s="32"/>
      <c r="Q615" s="134"/>
      <c r="R615" s="32"/>
      <c r="S615" s="135"/>
      <c r="T615" s="131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32"/>
      <c r="AF615" s="27"/>
      <c r="AG615" s="85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201"/>
      <c r="K616" s="32"/>
      <c r="L616" s="32"/>
      <c r="M616" s="156"/>
      <c r="N616" s="32"/>
      <c r="O616" s="32"/>
      <c r="P616" s="32"/>
      <c r="Q616" s="134"/>
      <c r="R616" s="32"/>
      <c r="S616" s="135"/>
      <c r="T616" s="131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32"/>
      <c r="AF616" s="27"/>
      <c r="AG616" s="85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201"/>
      <c r="K617" s="32"/>
      <c r="L617" s="32"/>
      <c r="M617" s="156"/>
      <c r="N617" s="32"/>
      <c r="O617" s="32"/>
      <c r="P617" s="32"/>
      <c r="Q617" s="134"/>
      <c r="R617" s="32"/>
      <c r="S617" s="135"/>
      <c r="T617" s="131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32"/>
      <c r="AF617" s="27"/>
      <c r="AG617" s="85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201"/>
      <c r="K618" s="32"/>
      <c r="L618" s="32"/>
      <c r="M618" s="156"/>
      <c r="N618" s="32"/>
      <c r="O618" s="32"/>
      <c r="P618" s="32"/>
      <c r="Q618" s="134"/>
      <c r="R618" s="32"/>
      <c r="S618" s="135"/>
      <c r="T618" s="131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32"/>
      <c r="AF618" s="27"/>
      <c r="AG618" s="85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201"/>
      <c r="K619" s="32"/>
      <c r="L619" s="32"/>
      <c r="M619" s="156"/>
      <c r="N619" s="32"/>
      <c r="O619" s="32"/>
      <c r="P619" s="32"/>
      <c r="Q619" s="134"/>
      <c r="R619" s="32"/>
      <c r="S619" s="135"/>
      <c r="T619" s="131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32"/>
      <c r="AF619" s="27"/>
      <c r="AG619" s="85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201"/>
      <c r="K620" s="32"/>
      <c r="L620" s="32"/>
      <c r="M620" s="156"/>
      <c r="N620" s="32"/>
      <c r="O620" s="32"/>
      <c r="P620" s="32"/>
      <c r="Q620" s="134"/>
      <c r="R620" s="32"/>
      <c r="S620" s="135"/>
      <c r="T620" s="131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32"/>
      <c r="AF620" s="27"/>
      <c r="AG620" s="85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201"/>
      <c r="K621" s="32"/>
      <c r="L621" s="32"/>
      <c r="M621" s="156"/>
      <c r="N621" s="32"/>
      <c r="O621" s="32"/>
      <c r="P621" s="32"/>
      <c r="Q621" s="134"/>
      <c r="R621" s="32"/>
      <c r="S621" s="135"/>
      <c r="T621" s="131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32"/>
      <c r="AF621" s="27"/>
      <c r="AG621" s="85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201"/>
      <c r="K622" s="32"/>
      <c r="L622" s="32"/>
      <c r="M622" s="156"/>
      <c r="N622" s="32"/>
      <c r="O622" s="32"/>
      <c r="P622" s="32"/>
      <c r="Q622" s="134"/>
      <c r="R622" s="32"/>
      <c r="S622" s="135"/>
      <c r="T622" s="131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32"/>
      <c r="AF622" s="27"/>
      <c r="AG622" s="85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201"/>
      <c r="K623" s="32"/>
      <c r="L623" s="32"/>
      <c r="M623" s="156"/>
      <c r="N623" s="32"/>
      <c r="O623" s="32"/>
      <c r="P623" s="32"/>
      <c r="Q623" s="134"/>
      <c r="R623" s="32"/>
      <c r="S623" s="135"/>
      <c r="T623" s="131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32"/>
      <c r="AF623" s="27"/>
      <c r="AG623" s="85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201"/>
      <c r="K624" s="32"/>
      <c r="L624" s="32"/>
      <c r="M624" s="156"/>
      <c r="N624" s="32"/>
      <c r="O624" s="32"/>
      <c r="P624" s="32"/>
      <c r="Q624" s="134"/>
      <c r="R624" s="32"/>
      <c r="S624" s="135"/>
      <c r="T624" s="131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32"/>
      <c r="AF624" s="27"/>
      <c r="AG624" s="85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201"/>
      <c r="K625" s="32"/>
      <c r="L625" s="32"/>
      <c r="M625" s="156"/>
      <c r="N625" s="32"/>
      <c r="O625" s="32"/>
      <c r="P625" s="32"/>
      <c r="Q625" s="134"/>
      <c r="R625" s="32"/>
      <c r="S625" s="135"/>
      <c r="T625" s="131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32"/>
      <c r="AF625" s="27"/>
      <c r="AG625" s="85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201"/>
      <c r="K626" s="32"/>
      <c r="L626" s="32"/>
      <c r="M626" s="156"/>
      <c r="N626" s="32"/>
      <c r="O626" s="32"/>
      <c r="P626" s="32"/>
      <c r="Q626" s="134"/>
      <c r="R626" s="32"/>
      <c r="S626" s="135"/>
      <c r="T626" s="131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32"/>
      <c r="AF626" s="27"/>
      <c r="AG626" s="85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201"/>
      <c r="K627" s="32"/>
      <c r="L627" s="32"/>
      <c r="M627" s="156"/>
      <c r="N627" s="32"/>
      <c r="O627" s="32"/>
      <c r="P627" s="32"/>
      <c r="Q627" s="134"/>
      <c r="R627" s="32"/>
      <c r="S627" s="135"/>
      <c r="T627" s="131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32"/>
      <c r="AF627" s="27"/>
      <c r="AG627" s="85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201"/>
      <c r="K628" s="32"/>
      <c r="L628" s="32"/>
      <c r="M628" s="156"/>
      <c r="N628" s="32"/>
      <c r="O628" s="32"/>
      <c r="P628" s="32"/>
      <c r="Q628" s="134"/>
      <c r="R628" s="32"/>
      <c r="S628" s="135"/>
      <c r="T628" s="131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32"/>
      <c r="AF628" s="27"/>
      <c r="AG628" s="85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201"/>
      <c r="K629" s="32"/>
      <c r="L629" s="32"/>
      <c r="M629" s="156"/>
      <c r="N629" s="32"/>
      <c r="O629" s="32"/>
      <c r="P629" s="32"/>
      <c r="Q629" s="134"/>
      <c r="R629" s="32"/>
      <c r="S629" s="135"/>
      <c r="T629" s="131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32"/>
      <c r="AF629" s="27"/>
      <c r="AG629" s="85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201"/>
      <c r="K630" s="32"/>
      <c r="L630" s="32"/>
      <c r="M630" s="156"/>
      <c r="N630" s="32"/>
      <c r="O630" s="32"/>
      <c r="P630" s="32"/>
      <c r="Q630" s="134"/>
      <c r="R630" s="32"/>
      <c r="S630" s="135"/>
      <c r="T630" s="131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32"/>
      <c r="AF630" s="27"/>
      <c r="AG630" s="85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201"/>
      <c r="K631" s="32"/>
      <c r="L631" s="32"/>
      <c r="M631" s="156"/>
      <c r="N631" s="32"/>
      <c r="O631" s="32"/>
      <c r="P631" s="32"/>
      <c r="Q631" s="134"/>
      <c r="R631" s="32"/>
      <c r="S631" s="135"/>
      <c r="T631" s="131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32"/>
      <c r="AF631" s="27"/>
      <c r="AG631" s="85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201"/>
      <c r="K632" s="32"/>
      <c r="L632" s="32"/>
      <c r="M632" s="156"/>
      <c r="N632" s="32"/>
      <c r="O632" s="32"/>
      <c r="P632" s="32"/>
      <c r="Q632" s="134"/>
      <c r="R632" s="32"/>
      <c r="S632" s="135"/>
      <c r="T632" s="131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32"/>
      <c r="AF632" s="27"/>
      <c r="AG632" s="85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201"/>
      <c r="K633" s="32"/>
      <c r="L633" s="32"/>
      <c r="M633" s="156"/>
      <c r="N633" s="32"/>
      <c r="O633" s="32"/>
      <c r="P633" s="32"/>
      <c r="Q633" s="134"/>
      <c r="R633" s="32"/>
      <c r="S633" s="135"/>
      <c r="T633" s="131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32"/>
      <c r="AF633" s="27"/>
      <c r="AG633" s="85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201"/>
      <c r="K634" s="32"/>
      <c r="L634" s="32"/>
      <c r="M634" s="156"/>
      <c r="N634" s="32"/>
      <c r="O634" s="32"/>
      <c r="P634" s="32"/>
      <c r="Q634" s="134"/>
      <c r="R634" s="32"/>
      <c r="S634" s="135"/>
      <c r="T634" s="131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32"/>
      <c r="AF634" s="27"/>
      <c r="AG634" s="85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201"/>
      <c r="K635" s="32"/>
      <c r="L635" s="32"/>
      <c r="M635" s="156"/>
      <c r="N635" s="32"/>
      <c r="O635" s="32"/>
      <c r="P635" s="32"/>
      <c r="Q635" s="134"/>
      <c r="R635" s="32"/>
      <c r="S635" s="135"/>
      <c r="T635" s="131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32"/>
      <c r="AF635" s="27"/>
      <c r="AG635" s="85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201"/>
      <c r="K636" s="32"/>
      <c r="L636" s="32"/>
      <c r="M636" s="156"/>
      <c r="N636" s="32"/>
      <c r="O636" s="32"/>
      <c r="P636" s="32"/>
      <c r="Q636" s="134"/>
      <c r="R636" s="32"/>
      <c r="S636" s="135"/>
      <c r="T636" s="131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32"/>
      <c r="AF636" s="27"/>
      <c r="AG636" s="85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201"/>
      <c r="K637" s="32"/>
      <c r="L637" s="32"/>
      <c r="M637" s="156"/>
      <c r="N637" s="32"/>
      <c r="O637" s="32"/>
      <c r="P637" s="32"/>
      <c r="Q637" s="134"/>
      <c r="R637" s="32"/>
      <c r="S637" s="135"/>
      <c r="T637" s="131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32"/>
      <c r="AF637" s="27"/>
      <c r="AG637" s="85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201"/>
      <c r="K638" s="32"/>
      <c r="L638" s="32"/>
      <c r="M638" s="156"/>
      <c r="N638" s="32"/>
      <c r="O638" s="32"/>
      <c r="P638" s="32"/>
      <c r="Q638" s="134"/>
      <c r="R638" s="32"/>
      <c r="S638" s="135"/>
      <c r="T638" s="131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32"/>
      <c r="AF638" s="27"/>
      <c r="AG638" s="85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201"/>
      <c r="K639" s="32"/>
      <c r="L639" s="32"/>
      <c r="M639" s="156"/>
      <c r="N639" s="32"/>
      <c r="O639" s="32"/>
      <c r="P639" s="32"/>
      <c r="Q639" s="134"/>
      <c r="R639" s="32"/>
      <c r="S639" s="135"/>
      <c r="T639" s="131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32"/>
      <c r="AF639" s="27"/>
      <c r="AG639" s="85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201"/>
      <c r="K640" s="32"/>
      <c r="L640" s="32"/>
      <c r="M640" s="156"/>
      <c r="N640" s="32"/>
      <c r="O640" s="32"/>
      <c r="P640" s="32"/>
      <c r="Q640" s="134"/>
      <c r="R640" s="32"/>
      <c r="S640" s="135"/>
      <c r="T640" s="131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32"/>
      <c r="AF640" s="27"/>
      <c r="AG640" s="85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201"/>
      <c r="K641" s="32"/>
      <c r="L641" s="32"/>
      <c r="M641" s="156"/>
      <c r="N641" s="32"/>
      <c r="O641" s="32"/>
      <c r="P641" s="32"/>
      <c r="Q641" s="134"/>
      <c r="R641" s="32"/>
      <c r="S641" s="135"/>
      <c r="T641" s="131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32"/>
      <c r="AF641" s="27"/>
      <c r="AG641" s="85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201"/>
      <c r="K642" s="32"/>
      <c r="L642" s="32"/>
      <c r="M642" s="156"/>
      <c r="N642" s="32"/>
      <c r="O642" s="32"/>
      <c r="P642" s="32"/>
      <c r="Q642" s="134"/>
      <c r="R642" s="32"/>
      <c r="S642" s="135"/>
      <c r="T642" s="131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32"/>
      <c r="AF642" s="27"/>
      <c r="AG642" s="85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201"/>
      <c r="K643" s="32"/>
      <c r="L643" s="32"/>
      <c r="M643" s="156"/>
      <c r="N643" s="32"/>
      <c r="O643" s="32"/>
      <c r="P643" s="32"/>
      <c r="Q643" s="134"/>
      <c r="R643" s="32"/>
      <c r="S643" s="135"/>
      <c r="T643" s="131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32"/>
      <c r="AF643" s="27"/>
      <c r="AG643" s="85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201"/>
      <c r="K644" s="32"/>
      <c r="L644" s="32"/>
      <c r="M644" s="156"/>
      <c r="N644" s="32"/>
      <c r="O644" s="32"/>
      <c r="P644" s="32"/>
      <c r="Q644" s="134"/>
      <c r="R644" s="32"/>
      <c r="S644" s="135"/>
      <c r="T644" s="131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32"/>
      <c r="AF644" s="27"/>
      <c r="AG644" s="85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201"/>
      <c r="K645" s="32"/>
      <c r="L645" s="32"/>
      <c r="M645" s="156"/>
      <c r="N645" s="32"/>
      <c r="O645" s="32"/>
      <c r="P645" s="32"/>
      <c r="Q645" s="134"/>
      <c r="R645" s="32"/>
      <c r="S645" s="135"/>
      <c r="T645" s="131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32"/>
      <c r="AF645" s="27"/>
      <c r="AG645" s="85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201"/>
      <c r="K646" s="32"/>
      <c r="L646" s="32"/>
      <c r="M646" s="156"/>
      <c r="N646" s="32"/>
      <c r="O646" s="32"/>
      <c r="P646" s="32"/>
      <c r="Q646" s="134"/>
      <c r="R646" s="32"/>
      <c r="S646" s="135"/>
      <c r="T646" s="131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32"/>
      <c r="AF646" s="27"/>
      <c r="AG646" s="85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201"/>
      <c r="K647" s="32"/>
      <c r="L647" s="32"/>
      <c r="M647" s="156"/>
      <c r="N647" s="32"/>
      <c r="O647" s="32"/>
      <c r="P647" s="32"/>
      <c r="Q647" s="134"/>
      <c r="R647" s="32"/>
      <c r="S647" s="135"/>
      <c r="T647" s="131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32"/>
      <c r="AF647" s="27"/>
      <c r="AG647" s="85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201"/>
      <c r="K648" s="32"/>
      <c r="L648" s="32"/>
      <c r="M648" s="156"/>
      <c r="N648" s="32"/>
      <c r="O648" s="32"/>
      <c r="P648" s="32"/>
      <c r="Q648" s="134"/>
      <c r="R648" s="32"/>
      <c r="S648" s="135"/>
      <c r="T648" s="131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32"/>
      <c r="AF648" s="27"/>
      <c r="AG648" s="85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201"/>
      <c r="K649" s="32"/>
      <c r="L649" s="32"/>
      <c r="M649" s="156"/>
      <c r="N649" s="32"/>
      <c r="O649" s="32"/>
      <c r="P649" s="32"/>
      <c r="Q649" s="134"/>
      <c r="R649" s="32"/>
      <c r="S649" s="135"/>
      <c r="T649" s="131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32"/>
      <c r="AF649" s="27"/>
      <c r="AG649" s="85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201"/>
      <c r="K650" s="32"/>
      <c r="L650" s="32"/>
      <c r="M650" s="156"/>
      <c r="N650" s="32"/>
      <c r="O650" s="32"/>
      <c r="P650" s="32"/>
      <c r="Q650" s="134"/>
      <c r="R650" s="32"/>
      <c r="S650" s="135"/>
      <c r="T650" s="131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32"/>
      <c r="AF650" s="27"/>
      <c r="AG650" s="85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201"/>
      <c r="K651" s="32"/>
      <c r="L651" s="32"/>
      <c r="M651" s="156"/>
      <c r="N651" s="32"/>
      <c r="O651" s="32"/>
      <c r="P651" s="32"/>
      <c r="Q651" s="134"/>
      <c r="R651" s="32"/>
      <c r="S651" s="135"/>
      <c r="T651" s="131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32"/>
      <c r="AF651" s="27"/>
      <c r="AG651" s="85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201"/>
      <c r="K652" s="32"/>
      <c r="L652" s="32"/>
      <c r="M652" s="156"/>
      <c r="N652" s="32"/>
      <c r="O652" s="32"/>
      <c r="P652" s="32"/>
      <c r="Q652" s="134"/>
      <c r="R652" s="32"/>
      <c r="S652" s="135"/>
      <c r="T652" s="131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32"/>
      <c r="AF652" s="27"/>
      <c r="AG652" s="85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201"/>
      <c r="K653" s="32"/>
      <c r="L653" s="32"/>
      <c r="M653" s="156"/>
      <c r="N653" s="32"/>
      <c r="O653" s="32"/>
      <c r="P653" s="32"/>
      <c r="Q653" s="134"/>
      <c r="R653" s="32"/>
      <c r="S653" s="135"/>
      <c r="T653" s="131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32"/>
      <c r="AF653" s="27"/>
      <c r="AG653" s="85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201"/>
      <c r="K654" s="32"/>
      <c r="L654" s="32"/>
      <c r="M654" s="156"/>
      <c r="N654" s="32"/>
      <c r="O654" s="32"/>
      <c r="P654" s="32"/>
      <c r="Q654" s="134"/>
      <c r="R654" s="32"/>
      <c r="S654" s="135"/>
      <c r="T654" s="131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32"/>
      <c r="AF654" s="27"/>
      <c r="AG654" s="85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201"/>
      <c r="K655" s="32"/>
      <c r="L655" s="32"/>
      <c r="M655" s="156"/>
      <c r="N655" s="32"/>
      <c r="O655" s="32"/>
      <c r="P655" s="32"/>
      <c r="Q655" s="134"/>
      <c r="R655" s="32"/>
      <c r="S655" s="135"/>
      <c r="T655" s="131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32"/>
      <c r="AF655" s="27"/>
      <c r="AG655" s="85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201"/>
      <c r="K656" s="32"/>
      <c r="L656" s="32"/>
      <c r="M656" s="156"/>
      <c r="N656" s="32"/>
      <c r="O656" s="32"/>
      <c r="P656" s="32"/>
      <c r="Q656" s="134"/>
      <c r="R656" s="32"/>
      <c r="S656" s="135"/>
      <c r="T656" s="131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32"/>
      <c r="AF656" s="27"/>
      <c r="AG656" s="85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201"/>
      <c r="K657" s="32"/>
      <c r="L657" s="32"/>
      <c r="M657" s="156"/>
      <c r="N657" s="32"/>
      <c r="O657" s="32"/>
      <c r="P657" s="32"/>
      <c r="Q657" s="134"/>
      <c r="R657" s="32"/>
      <c r="S657" s="135"/>
      <c r="T657" s="131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32"/>
      <c r="AF657" s="27"/>
      <c r="AG657" s="85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201"/>
      <c r="K658" s="32"/>
      <c r="L658" s="32"/>
      <c r="M658" s="156"/>
      <c r="N658" s="32"/>
      <c r="O658" s="32"/>
      <c r="P658" s="32"/>
      <c r="Q658" s="134"/>
      <c r="R658" s="32"/>
      <c r="S658" s="135"/>
      <c r="T658" s="131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32"/>
      <c r="AF658" s="27"/>
      <c r="AG658" s="85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201"/>
      <c r="K659" s="32"/>
      <c r="L659" s="32"/>
      <c r="M659" s="156"/>
      <c r="N659" s="32"/>
      <c r="O659" s="32"/>
      <c r="P659" s="32"/>
      <c r="Q659" s="134"/>
      <c r="R659" s="32"/>
      <c r="S659" s="135"/>
      <c r="T659" s="131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32"/>
      <c r="AF659" s="27"/>
      <c r="AG659" s="85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201"/>
      <c r="K660" s="32"/>
      <c r="L660" s="32"/>
      <c r="M660" s="156"/>
      <c r="N660" s="32"/>
      <c r="O660" s="32"/>
      <c r="P660" s="32"/>
      <c r="Q660" s="134"/>
      <c r="R660" s="32"/>
      <c r="S660" s="135"/>
      <c r="T660" s="131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32"/>
      <c r="AF660" s="27"/>
      <c r="AG660" s="85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201"/>
      <c r="K661" s="32"/>
      <c r="L661" s="32"/>
      <c r="M661" s="156"/>
      <c r="N661" s="32"/>
      <c r="O661" s="32"/>
      <c r="P661" s="32"/>
      <c r="Q661" s="134"/>
      <c r="R661" s="32"/>
      <c r="S661" s="135"/>
      <c r="T661" s="131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32"/>
      <c r="AF661" s="27"/>
      <c r="AG661" s="85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201"/>
      <c r="K662" s="32"/>
      <c r="L662" s="32"/>
      <c r="M662" s="156"/>
      <c r="N662" s="32"/>
      <c r="O662" s="32"/>
      <c r="P662" s="32"/>
      <c r="Q662" s="134"/>
      <c r="R662" s="32"/>
      <c r="S662" s="135"/>
      <c r="T662" s="131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32"/>
      <c r="AF662" s="27"/>
      <c r="AG662" s="85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201"/>
      <c r="K663" s="32"/>
      <c r="L663" s="32"/>
      <c r="M663" s="156"/>
      <c r="N663" s="32"/>
      <c r="O663" s="32"/>
      <c r="P663" s="32"/>
      <c r="Q663" s="134"/>
      <c r="R663" s="32"/>
      <c r="S663" s="135"/>
      <c r="T663" s="131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32"/>
      <c r="AF663" s="27"/>
      <c r="AG663" s="85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201"/>
      <c r="K664" s="32"/>
      <c r="L664" s="32"/>
      <c r="M664" s="156"/>
      <c r="N664" s="32"/>
      <c r="O664" s="32"/>
      <c r="P664" s="32"/>
      <c r="Q664" s="134"/>
      <c r="R664" s="32"/>
      <c r="S664" s="135"/>
      <c r="T664" s="131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32"/>
      <c r="AF664" s="27"/>
      <c r="AG664" s="85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201"/>
      <c r="K665" s="32"/>
      <c r="L665" s="32"/>
      <c r="M665" s="156"/>
      <c r="N665" s="32"/>
      <c r="O665" s="32"/>
      <c r="P665" s="32"/>
      <c r="Q665" s="134"/>
      <c r="R665" s="32"/>
      <c r="S665" s="135"/>
      <c r="T665" s="131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32"/>
      <c r="AF665" s="27"/>
      <c r="AG665" s="85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201"/>
      <c r="K666" s="32"/>
      <c r="L666" s="32"/>
      <c r="M666" s="156"/>
      <c r="N666" s="32"/>
      <c r="O666" s="32"/>
      <c r="P666" s="32"/>
      <c r="Q666" s="134"/>
      <c r="R666" s="32"/>
      <c r="S666" s="135"/>
      <c r="T666" s="131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32"/>
      <c r="AF666" s="27"/>
      <c r="AG666" s="85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201"/>
      <c r="K667" s="32"/>
      <c r="L667" s="32"/>
      <c r="M667" s="156"/>
      <c r="N667" s="32"/>
      <c r="O667" s="32"/>
      <c r="P667" s="32"/>
      <c r="Q667" s="134"/>
      <c r="R667" s="32"/>
      <c r="S667" s="135"/>
      <c r="T667" s="131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32"/>
      <c r="AF667" s="27"/>
      <c r="AG667" s="85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201"/>
      <c r="K668" s="32"/>
      <c r="L668" s="32"/>
      <c r="M668" s="156"/>
      <c r="N668" s="32"/>
      <c r="O668" s="32"/>
      <c r="P668" s="32"/>
      <c r="Q668" s="134"/>
      <c r="R668" s="32"/>
      <c r="S668" s="135"/>
      <c r="T668" s="131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32"/>
      <c r="AF668" s="27"/>
      <c r="AG668" s="85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201"/>
      <c r="K669" s="32"/>
      <c r="L669" s="32"/>
      <c r="M669" s="156"/>
      <c r="N669" s="32"/>
      <c r="O669" s="32"/>
      <c r="P669" s="32"/>
      <c r="Q669" s="134"/>
      <c r="R669" s="32"/>
      <c r="S669" s="135"/>
      <c r="T669" s="131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32"/>
      <c r="AF669" s="27"/>
      <c r="AG669" s="85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201"/>
      <c r="K670" s="32"/>
      <c r="L670" s="32"/>
      <c r="M670" s="156"/>
      <c r="N670" s="32"/>
      <c r="O670" s="32"/>
      <c r="P670" s="32"/>
      <c r="Q670" s="134"/>
      <c r="R670" s="32"/>
      <c r="S670" s="135"/>
      <c r="T670" s="131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32"/>
      <c r="AF670" s="27"/>
      <c r="AG670" s="85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201"/>
      <c r="K671" s="32"/>
      <c r="L671" s="32"/>
      <c r="M671" s="156"/>
      <c r="N671" s="32"/>
      <c r="O671" s="32"/>
      <c r="P671" s="32"/>
      <c r="Q671" s="134"/>
      <c r="R671" s="32"/>
      <c r="S671" s="135"/>
      <c r="T671" s="131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32"/>
      <c r="AF671" s="27"/>
      <c r="AG671" s="85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201"/>
      <c r="K672" s="32"/>
      <c r="L672" s="32"/>
      <c r="M672" s="156"/>
      <c r="N672" s="32"/>
      <c r="O672" s="32"/>
      <c r="P672" s="32"/>
      <c r="Q672" s="134"/>
      <c r="R672" s="32"/>
      <c r="S672" s="135"/>
      <c r="T672" s="131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32"/>
      <c r="AF672" s="27"/>
      <c r="AG672" s="85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201"/>
      <c r="K673" s="32"/>
      <c r="L673" s="32"/>
      <c r="M673" s="156"/>
      <c r="N673" s="32"/>
      <c r="O673" s="32"/>
      <c r="P673" s="32"/>
      <c r="Q673" s="134"/>
      <c r="R673" s="32"/>
      <c r="S673" s="135"/>
      <c r="T673" s="131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32"/>
      <c r="AF673" s="27"/>
      <c r="AG673" s="85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201"/>
      <c r="K674" s="32"/>
      <c r="L674" s="32"/>
      <c r="M674" s="156"/>
      <c r="N674" s="32"/>
      <c r="O674" s="32"/>
      <c r="P674" s="32"/>
      <c r="Q674" s="134"/>
      <c r="R674" s="32"/>
      <c r="S674" s="135"/>
      <c r="T674" s="131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32"/>
      <c r="AF674" s="27"/>
      <c r="AG674" s="85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201"/>
      <c r="K675" s="32"/>
      <c r="L675" s="32"/>
      <c r="M675" s="156"/>
      <c r="N675" s="32"/>
      <c r="O675" s="32"/>
      <c r="P675" s="32"/>
      <c r="Q675" s="134"/>
      <c r="R675" s="32"/>
      <c r="S675" s="135"/>
      <c r="T675" s="131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32"/>
      <c r="AF675" s="27"/>
      <c r="AG675" s="85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201"/>
      <c r="K676" s="32"/>
      <c r="L676" s="32"/>
      <c r="M676" s="156"/>
      <c r="N676" s="32"/>
      <c r="O676" s="32"/>
      <c r="P676" s="32"/>
      <c r="Q676" s="134"/>
      <c r="R676" s="32"/>
      <c r="S676" s="135"/>
      <c r="T676" s="131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32"/>
      <c r="AF676" s="27"/>
      <c r="AG676" s="85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201"/>
      <c r="K677" s="32"/>
      <c r="L677" s="32"/>
      <c r="M677" s="156"/>
      <c r="N677" s="32"/>
      <c r="O677" s="32"/>
      <c r="P677" s="32"/>
      <c r="Q677" s="134"/>
      <c r="R677" s="32"/>
      <c r="S677" s="135"/>
      <c r="T677" s="131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32"/>
      <c r="AF677" s="27"/>
      <c r="AG677" s="85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201"/>
      <c r="K678" s="32"/>
      <c r="L678" s="32"/>
      <c r="M678" s="156"/>
      <c r="N678" s="32"/>
      <c r="O678" s="32"/>
      <c r="P678" s="32"/>
      <c r="Q678" s="134"/>
      <c r="R678" s="32"/>
      <c r="S678" s="135"/>
      <c r="T678" s="131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32"/>
      <c r="AF678" s="27"/>
      <c r="AG678" s="85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201"/>
      <c r="K679" s="32"/>
      <c r="L679" s="32"/>
      <c r="M679" s="156"/>
      <c r="N679" s="32"/>
      <c r="O679" s="32"/>
      <c r="P679" s="32"/>
      <c r="Q679" s="134"/>
      <c r="R679" s="32"/>
      <c r="S679" s="135"/>
      <c r="T679" s="131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32"/>
      <c r="AF679" s="27"/>
      <c r="AG679" s="85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201"/>
      <c r="K680" s="32"/>
      <c r="L680" s="32"/>
      <c r="M680" s="156"/>
      <c r="N680" s="32"/>
      <c r="O680" s="32"/>
      <c r="P680" s="32"/>
      <c r="Q680" s="134"/>
      <c r="R680" s="32"/>
      <c r="S680" s="135"/>
      <c r="T680" s="131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32"/>
      <c r="AF680" s="27"/>
      <c r="AG680" s="85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201"/>
      <c r="K681" s="32"/>
      <c r="L681" s="32"/>
      <c r="M681" s="156"/>
      <c r="N681" s="32"/>
      <c r="O681" s="32"/>
      <c r="P681" s="32"/>
      <c r="Q681" s="134"/>
      <c r="R681" s="32"/>
      <c r="S681" s="135"/>
      <c r="T681" s="131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32"/>
      <c r="AF681" s="27"/>
      <c r="AG681" s="85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201"/>
      <c r="K682" s="32"/>
      <c r="L682" s="32"/>
      <c r="M682" s="156"/>
      <c r="N682" s="32"/>
      <c r="O682" s="32"/>
      <c r="P682" s="32"/>
      <c r="Q682" s="134"/>
      <c r="R682" s="32"/>
      <c r="S682" s="135"/>
      <c r="T682" s="131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32"/>
      <c r="AF682" s="27"/>
      <c r="AG682" s="85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201"/>
      <c r="K683" s="32"/>
      <c r="L683" s="32"/>
      <c r="M683" s="156"/>
      <c r="N683" s="32"/>
      <c r="O683" s="32"/>
      <c r="P683" s="32"/>
      <c r="Q683" s="134"/>
      <c r="R683" s="32"/>
      <c r="S683" s="135"/>
      <c r="T683" s="131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32"/>
      <c r="AF683" s="27"/>
      <c r="AG683" s="85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201"/>
      <c r="K684" s="32"/>
      <c r="L684" s="32"/>
      <c r="M684" s="156"/>
      <c r="N684" s="32"/>
      <c r="O684" s="32"/>
      <c r="P684" s="32"/>
      <c r="Q684" s="134"/>
      <c r="R684" s="32"/>
      <c r="S684" s="135"/>
      <c r="T684" s="131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32"/>
      <c r="AF684" s="27"/>
      <c r="AG684" s="85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201"/>
      <c r="K685" s="32"/>
      <c r="L685" s="32"/>
      <c r="M685" s="156"/>
      <c r="N685" s="32"/>
      <c r="O685" s="32"/>
      <c r="P685" s="32"/>
      <c r="Q685" s="134"/>
      <c r="R685" s="32"/>
      <c r="S685" s="135"/>
      <c r="T685" s="131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32"/>
      <c r="AF685" s="27"/>
      <c r="AG685" s="85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201"/>
      <c r="K686" s="32"/>
      <c r="L686" s="32"/>
      <c r="M686" s="156"/>
      <c r="N686" s="32"/>
      <c r="O686" s="32"/>
      <c r="P686" s="32"/>
      <c r="Q686" s="134"/>
      <c r="R686" s="32"/>
      <c r="S686" s="135"/>
      <c r="T686" s="131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32"/>
      <c r="AF686" s="27"/>
      <c r="AG686" s="85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201"/>
      <c r="K687" s="32"/>
      <c r="L687" s="32"/>
      <c r="M687" s="156"/>
      <c r="N687" s="32"/>
      <c r="O687" s="32"/>
      <c r="P687" s="32"/>
      <c r="Q687" s="134"/>
      <c r="R687" s="32"/>
      <c r="S687" s="135"/>
      <c r="T687" s="131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32"/>
      <c r="AF687" s="27"/>
      <c r="AG687" s="85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201"/>
      <c r="K688" s="32"/>
      <c r="L688" s="32"/>
      <c r="M688" s="156"/>
      <c r="N688" s="32"/>
      <c r="O688" s="32"/>
      <c r="P688" s="32"/>
      <c r="Q688" s="134"/>
      <c r="R688" s="32"/>
      <c r="S688" s="135"/>
      <c r="T688" s="131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32"/>
      <c r="AF688" s="27"/>
      <c r="AG688" s="85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201"/>
      <c r="K689" s="32"/>
      <c r="L689" s="32"/>
      <c r="M689" s="156"/>
      <c r="N689" s="32"/>
      <c r="O689" s="32"/>
      <c r="P689" s="32"/>
      <c r="Q689" s="134"/>
      <c r="R689" s="32"/>
      <c r="S689" s="135"/>
      <c r="T689" s="131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32"/>
      <c r="AF689" s="27"/>
      <c r="AG689" s="85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201"/>
      <c r="K690" s="32"/>
      <c r="L690" s="32"/>
      <c r="M690" s="156"/>
      <c r="N690" s="32"/>
      <c r="O690" s="32"/>
      <c r="P690" s="32"/>
      <c r="Q690" s="134"/>
      <c r="R690" s="32"/>
      <c r="S690" s="135"/>
      <c r="T690" s="131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32"/>
      <c r="AF690" s="27"/>
      <c r="AG690" s="85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201"/>
      <c r="K691" s="32"/>
      <c r="L691" s="32"/>
      <c r="M691" s="156"/>
      <c r="N691" s="32"/>
      <c r="O691" s="32"/>
      <c r="P691" s="32"/>
      <c r="Q691" s="134"/>
      <c r="R691" s="32"/>
      <c r="S691" s="135"/>
      <c r="T691" s="131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32"/>
      <c r="AF691" s="27"/>
      <c r="AG691" s="85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201"/>
      <c r="K692" s="32"/>
      <c r="L692" s="32"/>
      <c r="M692" s="156"/>
      <c r="N692" s="32"/>
      <c r="O692" s="32"/>
      <c r="P692" s="32"/>
      <c r="Q692" s="134"/>
      <c r="R692" s="32"/>
      <c r="S692" s="135"/>
      <c r="T692" s="131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32"/>
      <c r="AF692" s="27"/>
      <c r="AG692" s="85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201"/>
      <c r="K693" s="32"/>
      <c r="L693" s="32"/>
      <c r="M693" s="156"/>
      <c r="N693" s="32"/>
      <c r="O693" s="32"/>
      <c r="P693" s="32"/>
      <c r="Q693" s="134"/>
      <c r="R693" s="32"/>
      <c r="S693" s="135"/>
      <c r="T693" s="131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32"/>
      <c r="AF693" s="27"/>
      <c r="AG693" s="85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201"/>
      <c r="K694" s="32"/>
      <c r="L694" s="32"/>
      <c r="M694" s="156"/>
      <c r="N694" s="32"/>
      <c r="O694" s="32"/>
      <c r="P694" s="32"/>
      <c r="Q694" s="134"/>
      <c r="R694" s="32"/>
      <c r="S694" s="135"/>
      <c r="T694" s="131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32"/>
      <c r="AF694" s="27"/>
      <c r="AG694" s="85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201"/>
      <c r="K695" s="32"/>
      <c r="L695" s="32"/>
      <c r="M695" s="156"/>
      <c r="N695" s="32"/>
      <c r="O695" s="32"/>
      <c r="P695" s="32"/>
      <c r="Q695" s="134"/>
      <c r="R695" s="32"/>
      <c r="S695" s="135"/>
      <c r="T695" s="131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32"/>
      <c r="AF695" s="27"/>
      <c r="AG695" s="85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201"/>
      <c r="K696" s="32"/>
      <c r="L696" s="32"/>
      <c r="M696" s="156"/>
      <c r="N696" s="32"/>
      <c r="O696" s="32"/>
      <c r="P696" s="32"/>
      <c r="Q696" s="134"/>
      <c r="R696" s="32"/>
      <c r="S696" s="135"/>
      <c r="T696" s="131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32"/>
      <c r="AF696" s="27"/>
      <c r="AG696" s="85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201"/>
      <c r="K697" s="32"/>
      <c r="L697" s="32"/>
      <c r="M697" s="156"/>
      <c r="N697" s="32"/>
      <c r="O697" s="32"/>
      <c r="P697" s="32"/>
      <c r="Q697" s="134"/>
      <c r="R697" s="32"/>
      <c r="S697" s="135"/>
      <c r="T697" s="131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32"/>
      <c r="AF697" s="27"/>
      <c r="AG697" s="85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201"/>
      <c r="K698" s="32"/>
      <c r="L698" s="32"/>
      <c r="M698" s="156"/>
      <c r="N698" s="32"/>
      <c r="O698" s="32"/>
      <c r="P698" s="32"/>
      <c r="Q698" s="134"/>
      <c r="R698" s="32"/>
      <c r="S698" s="135"/>
      <c r="T698" s="131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32"/>
      <c r="AF698" s="27"/>
      <c r="AG698" s="85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201"/>
      <c r="K699" s="32"/>
      <c r="L699" s="32"/>
      <c r="M699" s="156"/>
      <c r="N699" s="32"/>
      <c r="O699" s="32"/>
      <c r="P699" s="32"/>
      <c r="Q699" s="134"/>
      <c r="R699" s="32"/>
      <c r="S699" s="135"/>
      <c r="T699" s="131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32"/>
      <c r="AF699" s="27"/>
      <c r="AG699" s="85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201"/>
      <c r="K700" s="32"/>
      <c r="L700" s="32"/>
      <c r="M700" s="156"/>
      <c r="N700" s="32"/>
      <c r="O700" s="32"/>
      <c r="P700" s="32"/>
      <c r="Q700" s="134"/>
      <c r="R700" s="32"/>
      <c r="S700" s="135"/>
      <c r="T700" s="131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32"/>
      <c r="AF700" s="27"/>
      <c r="AG700" s="85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201"/>
      <c r="K701" s="32"/>
      <c r="L701" s="32"/>
      <c r="M701" s="156"/>
      <c r="N701" s="32"/>
      <c r="O701" s="32"/>
      <c r="P701" s="32"/>
      <c r="Q701" s="134"/>
      <c r="R701" s="32"/>
      <c r="S701" s="135"/>
      <c r="T701" s="131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32"/>
      <c r="AF701" s="27"/>
      <c r="AG701" s="85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201"/>
      <c r="K702" s="32"/>
      <c r="L702" s="32"/>
      <c r="M702" s="156"/>
      <c r="N702" s="32"/>
      <c r="O702" s="32"/>
      <c r="P702" s="32"/>
      <c r="Q702" s="134"/>
      <c r="R702" s="32"/>
      <c r="S702" s="135"/>
      <c r="T702" s="131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32"/>
      <c r="AF702" s="27"/>
      <c r="AG702" s="85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201"/>
      <c r="K703" s="32"/>
      <c r="L703" s="32"/>
      <c r="M703" s="156"/>
      <c r="N703" s="32"/>
      <c r="O703" s="32"/>
      <c r="P703" s="32"/>
      <c r="Q703" s="134"/>
      <c r="R703" s="32"/>
      <c r="S703" s="135"/>
      <c r="T703" s="131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32"/>
      <c r="AF703" s="27"/>
      <c r="AG703" s="85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201"/>
      <c r="K704" s="32"/>
      <c r="L704" s="32"/>
      <c r="M704" s="156"/>
      <c r="N704" s="32"/>
      <c r="O704" s="32"/>
      <c r="P704" s="32"/>
      <c r="Q704" s="134"/>
      <c r="R704" s="32"/>
      <c r="S704" s="135"/>
      <c r="T704" s="131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32"/>
      <c r="AF704" s="27"/>
      <c r="AG704" s="85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201"/>
      <c r="K705" s="32"/>
      <c r="L705" s="32"/>
      <c r="M705" s="156"/>
      <c r="N705" s="32"/>
      <c r="O705" s="32"/>
      <c r="P705" s="32"/>
      <c r="Q705" s="134"/>
      <c r="R705" s="32"/>
      <c r="S705" s="135"/>
      <c r="T705" s="131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32"/>
      <c r="AF705" s="27"/>
      <c r="AG705" s="85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201"/>
      <c r="K706" s="32"/>
      <c r="L706" s="32"/>
      <c r="M706" s="156"/>
      <c r="N706" s="32"/>
      <c r="O706" s="32"/>
      <c r="P706" s="32"/>
      <c r="Q706" s="134"/>
      <c r="R706" s="32"/>
      <c r="S706" s="135"/>
      <c r="T706" s="131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32"/>
      <c r="AF706" s="27"/>
      <c r="AG706" s="85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201"/>
      <c r="K707" s="32"/>
      <c r="L707" s="32"/>
      <c r="M707" s="156"/>
      <c r="N707" s="32"/>
      <c r="O707" s="32"/>
      <c r="P707" s="32"/>
      <c r="Q707" s="134"/>
      <c r="R707" s="32"/>
      <c r="S707" s="135"/>
      <c r="T707" s="131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32"/>
      <c r="AF707" s="27"/>
      <c r="AG707" s="85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201"/>
      <c r="K708" s="32"/>
      <c r="L708" s="32"/>
      <c r="M708" s="156"/>
      <c r="N708" s="32"/>
      <c r="O708" s="32"/>
      <c r="P708" s="32"/>
      <c r="Q708" s="134"/>
      <c r="R708" s="32"/>
      <c r="S708" s="135"/>
      <c r="T708" s="131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32"/>
      <c r="AF708" s="27"/>
      <c r="AG708" s="85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201"/>
      <c r="K709" s="32"/>
      <c r="L709" s="32"/>
      <c r="M709" s="156"/>
      <c r="N709" s="32"/>
      <c r="O709" s="32"/>
      <c r="P709" s="32"/>
      <c r="Q709" s="134"/>
      <c r="R709" s="32"/>
      <c r="S709" s="135"/>
      <c r="T709" s="131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32"/>
      <c r="AF709" s="27"/>
      <c r="AG709" s="85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201"/>
      <c r="K710" s="32"/>
      <c r="L710" s="32"/>
      <c r="M710" s="156"/>
      <c r="N710" s="32"/>
      <c r="O710" s="32"/>
      <c r="P710" s="32"/>
      <c r="Q710" s="134"/>
      <c r="R710" s="32"/>
      <c r="S710" s="135"/>
      <c r="T710" s="131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32"/>
      <c r="AF710" s="27"/>
      <c r="AG710" s="85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201"/>
      <c r="K711" s="32"/>
      <c r="L711" s="32"/>
      <c r="M711" s="156"/>
      <c r="N711" s="32"/>
      <c r="O711" s="32"/>
      <c r="P711" s="32"/>
      <c r="Q711" s="134"/>
      <c r="R711" s="32"/>
      <c r="S711" s="135"/>
      <c r="T711" s="131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32"/>
      <c r="AF711" s="27"/>
      <c r="AG711" s="85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201"/>
      <c r="K712" s="32"/>
      <c r="L712" s="32"/>
      <c r="M712" s="156"/>
      <c r="N712" s="32"/>
      <c r="O712" s="32"/>
      <c r="P712" s="32"/>
      <c r="Q712" s="134"/>
      <c r="R712" s="32"/>
      <c r="S712" s="135"/>
      <c r="T712" s="131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32"/>
      <c r="AF712" s="27"/>
      <c r="AG712" s="85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201"/>
      <c r="K713" s="32"/>
      <c r="L713" s="32"/>
      <c r="M713" s="156"/>
      <c r="N713" s="32"/>
      <c r="O713" s="32"/>
      <c r="P713" s="32"/>
      <c r="Q713" s="134"/>
      <c r="R713" s="32"/>
      <c r="S713" s="135"/>
      <c r="T713" s="131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32"/>
      <c r="AF713" s="27"/>
      <c r="AG713" s="85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201"/>
      <c r="K714" s="32"/>
      <c r="L714" s="32"/>
      <c r="M714" s="156"/>
      <c r="N714" s="32"/>
      <c r="O714" s="32"/>
      <c r="P714" s="32"/>
      <c r="Q714" s="134"/>
      <c r="R714" s="32"/>
      <c r="S714" s="135"/>
      <c r="T714" s="131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32"/>
      <c r="AF714" s="27"/>
      <c r="AG714" s="85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201"/>
      <c r="K715" s="32"/>
      <c r="L715" s="32"/>
      <c r="M715" s="156"/>
      <c r="N715" s="32"/>
      <c r="O715" s="32"/>
      <c r="P715" s="32"/>
      <c r="Q715" s="134"/>
      <c r="R715" s="32"/>
      <c r="S715" s="135"/>
      <c r="T715" s="131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32"/>
      <c r="AF715" s="27"/>
      <c r="AG715" s="85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201"/>
      <c r="K716" s="32"/>
      <c r="L716" s="32"/>
      <c r="M716" s="156"/>
      <c r="N716" s="32"/>
      <c r="O716" s="32"/>
      <c r="P716" s="32"/>
      <c r="Q716" s="134"/>
      <c r="R716" s="32"/>
      <c r="S716" s="135"/>
      <c r="T716" s="131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32"/>
      <c r="AF716" s="27"/>
      <c r="AG716" s="85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201"/>
      <c r="K717" s="32"/>
      <c r="L717" s="32"/>
      <c r="M717" s="156"/>
      <c r="N717" s="32"/>
      <c r="O717" s="32"/>
      <c r="P717" s="32"/>
      <c r="Q717" s="134"/>
      <c r="R717" s="32"/>
      <c r="S717" s="135"/>
      <c r="T717" s="131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32"/>
      <c r="AF717" s="27"/>
      <c r="AG717" s="85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201"/>
      <c r="K718" s="32"/>
      <c r="L718" s="32"/>
      <c r="M718" s="156"/>
      <c r="N718" s="32"/>
      <c r="O718" s="32"/>
      <c r="P718" s="32"/>
      <c r="Q718" s="134"/>
      <c r="R718" s="32"/>
      <c r="S718" s="135"/>
      <c r="T718" s="131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32"/>
      <c r="AF718" s="27"/>
      <c r="AG718" s="85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201"/>
      <c r="K719" s="32"/>
      <c r="L719" s="32"/>
      <c r="M719" s="156"/>
      <c r="N719" s="32"/>
      <c r="O719" s="32"/>
      <c r="P719" s="32"/>
      <c r="Q719" s="134"/>
      <c r="R719" s="32"/>
      <c r="S719" s="135"/>
      <c r="T719" s="131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32"/>
      <c r="AF719" s="27"/>
      <c r="AG719" s="85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201"/>
      <c r="K720" s="32"/>
      <c r="L720" s="32"/>
      <c r="M720" s="156"/>
      <c r="N720" s="32"/>
      <c r="O720" s="32"/>
      <c r="P720" s="32"/>
      <c r="Q720" s="134"/>
      <c r="R720" s="32"/>
      <c r="S720" s="135"/>
      <c r="T720" s="131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32"/>
      <c r="AF720" s="27"/>
      <c r="AG720" s="85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201"/>
      <c r="K721" s="32"/>
      <c r="L721" s="32"/>
      <c r="M721" s="156"/>
      <c r="N721" s="32"/>
      <c r="O721" s="32"/>
      <c r="P721" s="32"/>
      <c r="Q721" s="134"/>
      <c r="R721" s="32"/>
      <c r="S721" s="135"/>
      <c r="T721" s="131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32"/>
      <c r="AF721" s="27"/>
      <c r="AG721" s="85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201"/>
      <c r="K722" s="32"/>
      <c r="L722" s="32"/>
      <c r="M722" s="156"/>
      <c r="N722" s="32"/>
      <c r="O722" s="32"/>
      <c r="P722" s="32"/>
      <c r="Q722" s="134"/>
      <c r="R722" s="32"/>
      <c r="S722" s="135"/>
      <c r="T722" s="131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32"/>
      <c r="AF722" s="27"/>
      <c r="AG722" s="85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201"/>
      <c r="K723" s="32"/>
      <c r="L723" s="32"/>
      <c r="M723" s="156"/>
      <c r="N723" s="32"/>
      <c r="O723" s="32"/>
      <c r="P723" s="32"/>
      <c r="Q723" s="134"/>
      <c r="R723" s="32"/>
      <c r="S723" s="135"/>
      <c r="T723" s="131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32"/>
      <c r="AF723" s="27"/>
      <c r="AG723" s="85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201"/>
      <c r="K724" s="32"/>
      <c r="L724" s="32"/>
      <c r="M724" s="156"/>
      <c r="N724" s="32"/>
      <c r="O724" s="32"/>
      <c r="P724" s="32"/>
      <c r="Q724" s="134"/>
      <c r="R724" s="32"/>
      <c r="S724" s="135"/>
      <c r="T724" s="131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32"/>
      <c r="AF724" s="27"/>
      <c r="AG724" s="85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201"/>
      <c r="K725" s="32"/>
      <c r="L725" s="32"/>
      <c r="M725" s="156"/>
      <c r="N725" s="32"/>
      <c r="O725" s="32"/>
      <c r="P725" s="32"/>
      <c r="Q725" s="134"/>
      <c r="R725" s="32"/>
      <c r="S725" s="135"/>
      <c r="T725" s="131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32"/>
      <c r="AF725" s="27"/>
      <c r="AG725" s="85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201"/>
      <c r="K726" s="32"/>
      <c r="L726" s="32"/>
      <c r="M726" s="156"/>
      <c r="N726" s="32"/>
      <c r="O726" s="32"/>
      <c r="P726" s="32"/>
      <c r="Q726" s="134"/>
      <c r="R726" s="32"/>
      <c r="S726" s="135"/>
      <c r="T726" s="131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32"/>
      <c r="AF726" s="27"/>
      <c r="AG726" s="85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201"/>
      <c r="K727" s="32"/>
      <c r="L727" s="32"/>
      <c r="M727" s="156"/>
      <c r="N727" s="32"/>
      <c r="O727" s="32"/>
      <c r="P727" s="32"/>
      <c r="Q727" s="134"/>
      <c r="R727" s="32"/>
      <c r="S727" s="135"/>
      <c r="T727" s="131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32"/>
      <c r="AF727" s="27"/>
      <c r="AG727" s="85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201"/>
      <c r="K728" s="32"/>
      <c r="L728" s="32"/>
      <c r="M728" s="156"/>
      <c r="N728" s="32"/>
      <c r="O728" s="32"/>
      <c r="P728" s="32"/>
      <c r="Q728" s="134"/>
      <c r="R728" s="32"/>
      <c r="S728" s="135"/>
      <c r="T728" s="131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32"/>
      <c r="AF728" s="27"/>
      <c r="AG728" s="85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201"/>
      <c r="K729" s="32"/>
      <c r="L729" s="32"/>
      <c r="M729" s="156"/>
      <c r="N729" s="32"/>
      <c r="O729" s="32"/>
      <c r="P729" s="32"/>
      <c r="Q729" s="134"/>
      <c r="R729" s="32"/>
      <c r="S729" s="135"/>
      <c r="T729" s="131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32"/>
      <c r="AF729" s="27"/>
      <c r="AG729" s="85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201"/>
      <c r="K730" s="32"/>
      <c r="L730" s="32"/>
      <c r="M730" s="156"/>
      <c r="N730" s="32"/>
      <c r="O730" s="32"/>
      <c r="P730" s="32"/>
      <c r="Q730" s="134"/>
      <c r="R730" s="32"/>
      <c r="S730" s="135"/>
      <c r="T730" s="131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32"/>
      <c r="AF730" s="27"/>
      <c r="AG730" s="85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201"/>
      <c r="K731" s="32"/>
      <c r="L731" s="32"/>
      <c r="M731" s="156"/>
      <c r="N731" s="32"/>
      <c r="O731" s="32"/>
      <c r="P731" s="32"/>
      <c r="Q731" s="134"/>
      <c r="R731" s="32"/>
      <c r="S731" s="135"/>
      <c r="T731" s="131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32"/>
      <c r="AF731" s="27"/>
      <c r="AG731" s="85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201"/>
      <c r="K732" s="32"/>
      <c r="L732" s="32"/>
      <c r="M732" s="156"/>
      <c r="N732" s="32"/>
      <c r="O732" s="32"/>
      <c r="P732" s="32"/>
      <c r="Q732" s="134"/>
      <c r="R732" s="32"/>
      <c r="S732" s="135"/>
      <c r="T732" s="131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32"/>
      <c r="AF732" s="27"/>
      <c r="AG732" s="85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201"/>
      <c r="K733" s="32"/>
      <c r="L733" s="32"/>
      <c r="M733" s="156"/>
      <c r="N733" s="32"/>
      <c r="O733" s="32"/>
      <c r="P733" s="32"/>
      <c r="Q733" s="134"/>
      <c r="R733" s="32"/>
      <c r="S733" s="135"/>
      <c r="T733" s="131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32"/>
      <c r="AF733" s="27"/>
      <c r="AG733" s="85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201"/>
      <c r="K734" s="32"/>
      <c r="L734" s="32"/>
      <c r="M734" s="156"/>
      <c r="N734" s="32"/>
      <c r="O734" s="32"/>
      <c r="P734" s="32"/>
      <c r="Q734" s="134"/>
      <c r="R734" s="32"/>
      <c r="S734" s="135"/>
      <c r="T734" s="131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32"/>
      <c r="AF734" s="27"/>
      <c r="AG734" s="85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201"/>
      <c r="K735" s="32"/>
      <c r="L735" s="32"/>
      <c r="M735" s="156"/>
      <c r="N735" s="32"/>
      <c r="O735" s="32"/>
      <c r="P735" s="32"/>
      <c r="Q735" s="134"/>
      <c r="R735" s="32"/>
      <c r="S735" s="135"/>
      <c r="T735" s="131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32"/>
      <c r="AF735" s="27"/>
      <c r="AG735" s="85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201"/>
      <c r="K736" s="32"/>
      <c r="L736" s="32"/>
      <c r="M736" s="156"/>
      <c r="N736" s="32"/>
      <c r="O736" s="32"/>
      <c r="P736" s="32"/>
      <c r="Q736" s="134"/>
      <c r="R736" s="32"/>
      <c r="S736" s="135"/>
      <c r="T736" s="131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32"/>
      <c r="AF736" s="27"/>
      <c r="AG736" s="85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201"/>
      <c r="K737" s="32"/>
      <c r="L737" s="32"/>
      <c r="M737" s="156"/>
      <c r="N737" s="32"/>
      <c r="O737" s="32"/>
      <c r="P737" s="32"/>
      <c r="Q737" s="134"/>
      <c r="R737" s="32"/>
      <c r="S737" s="135"/>
      <c r="T737" s="131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32"/>
      <c r="AF737" s="27"/>
      <c r="AG737" s="85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201"/>
      <c r="K738" s="32"/>
      <c r="L738" s="32"/>
      <c r="M738" s="156"/>
      <c r="N738" s="32"/>
      <c r="O738" s="32"/>
      <c r="P738" s="32"/>
      <c r="Q738" s="134"/>
      <c r="R738" s="32"/>
      <c r="S738" s="135"/>
      <c r="T738" s="131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32"/>
      <c r="AF738" s="27"/>
      <c r="AG738" s="85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201"/>
      <c r="K739" s="32"/>
      <c r="L739" s="32"/>
      <c r="M739" s="156"/>
      <c r="N739" s="32"/>
      <c r="O739" s="32"/>
      <c r="P739" s="32"/>
      <c r="Q739" s="134"/>
      <c r="R739" s="32"/>
      <c r="S739" s="135"/>
      <c r="T739" s="131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32"/>
      <c r="AF739" s="27"/>
      <c r="AG739" s="85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201"/>
      <c r="K740" s="32"/>
      <c r="L740" s="32"/>
      <c r="M740" s="156"/>
      <c r="N740" s="32"/>
      <c r="O740" s="32"/>
      <c r="P740" s="32"/>
      <c r="Q740" s="134"/>
      <c r="R740" s="32"/>
      <c r="S740" s="135"/>
      <c r="T740" s="131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32"/>
      <c r="AF740" s="27"/>
      <c r="AG740" s="85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201"/>
      <c r="K741" s="32"/>
      <c r="L741" s="32"/>
      <c r="M741" s="156"/>
      <c r="N741" s="32"/>
      <c r="O741" s="32"/>
      <c r="P741" s="32"/>
      <c r="Q741" s="134"/>
      <c r="R741" s="32"/>
      <c r="S741" s="135"/>
      <c r="T741" s="131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32"/>
      <c r="AF741" s="27"/>
      <c r="AG741" s="85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201"/>
      <c r="K742" s="32"/>
      <c r="L742" s="32"/>
      <c r="M742" s="156"/>
      <c r="N742" s="32"/>
      <c r="O742" s="32"/>
      <c r="P742" s="32"/>
      <c r="Q742" s="134"/>
      <c r="R742" s="32"/>
      <c r="S742" s="135"/>
      <c r="T742" s="131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32"/>
      <c r="AF742" s="27"/>
      <c r="AG742" s="85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201"/>
      <c r="K743" s="32"/>
      <c r="L743" s="32"/>
      <c r="M743" s="156"/>
      <c r="N743" s="32"/>
      <c r="O743" s="32"/>
      <c r="P743" s="32"/>
      <c r="Q743" s="134"/>
      <c r="R743" s="32"/>
      <c r="S743" s="135"/>
      <c r="T743" s="131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32"/>
      <c r="AF743" s="27"/>
      <c r="AG743" s="85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201"/>
      <c r="K744" s="32"/>
      <c r="L744" s="32"/>
      <c r="M744" s="156"/>
      <c r="N744" s="32"/>
      <c r="O744" s="32"/>
      <c r="P744" s="32"/>
      <c r="Q744" s="134"/>
      <c r="R744" s="32"/>
      <c r="S744" s="135"/>
      <c r="T744" s="131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32"/>
      <c r="AF744" s="27"/>
      <c r="AG744" s="85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201"/>
      <c r="K745" s="32"/>
      <c r="L745" s="32"/>
      <c r="M745" s="156"/>
      <c r="N745" s="32"/>
      <c r="O745" s="32"/>
      <c r="P745" s="32"/>
      <c r="Q745" s="134"/>
      <c r="R745" s="32"/>
      <c r="S745" s="135"/>
      <c r="T745" s="131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32"/>
      <c r="AF745" s="27"/>
      <c r="AG745" s="85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201"/>
      <c r="K746" s="32"/>
      <c r="L746" s="32"/>
      <c r="M746" s="156"/>
      <c r="N746" s="32"/>
      <c r="O746" s="32"/>
      <c r="P746" s="32"/>
      <c r="Q746" s="134"/>
      <c r="R746" s="32"/>
      <c r="S746" s="135"/>
      <c r="T746" s="131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32"/>
      <c r="AF746" s="27"/>
      <c r="AG746" s="85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201"/>
      <c r="K747" s="32"/>
      <c r="L747" s="32"/>
      <c r="M747" s="156"/>
      <c r="N747" s="32"/>
      <c r="O747" s="32"/>
      <c r="P747" s="32"/>
      <c r="Q747" s="134"/>
      <c r="R747" s="32"/>
      <c r="S747" s="135"/>
      <c r="T747" s="131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32"/>
      <c r="AF747" s="27"/>
      <c r="AG747" s="85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201"/>
      <c r="K748" s="32"/>
      <c r="L748" s="32"/>
      <c r="M748" s="156"/>
      <c r="N748" s="32"/>
      <c r="O748" s="32"/>
      <c r="P748" s="32"/>
      <c r="Q748" s="134"/>
      <c r="R748" s="32"/>
      <c r="S748" s="135"/>
      <c r="T748" s="131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32"/>
      <c r="AF748" s="27"/>
      <c r="AG748" s="85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201"/>
      <c r="K749" s="32"/>
      <c r="L749" s="32"/>
      <c r="M749" s="156"/>
      <c r="N749" s="32"/>
      <c r="O749" s="32"/>
      <c r="P749" s="32"/>
      <c r="Q749" s="134"/>
      <c r="R749" s="32"/>
      <c r="S749" s="135"/>
      <c r="T749" s="131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32"/>
      <c r="AF749" s="27"/>
      <c r="AG749" s="85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201"/>
      <c r="K750" s="32"/>
      <c r="L750" s="32"/>
      <c r="M750" s="156"/>
      <c r="N750" s="32"/>
      <c r="O750" s="32"/>
      <c r="P750" s="32"/>
      <c r="Q750" s="134"/>
      <c r="R750" s="32"/>
      <c r="S750" s="135"/>
      <c r="T750" s="131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32"/>
      <c r="AF750" s="27"/>
      <c r="AG750" s="85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201"/>
      <c r="K751" s="32"/>
      <c r="L751" s="32"/>
      <c r="M751" s="156"/>
      <c r="N751" s="32"/>
      <c r="O751" s="32"/>
      <c r="P751" s="32"/>
      <c r="Q751" s="134"/>
      <c r="R751" s="32"/>
      <c r="S751" s="135"/>
      <c r="T751" s="131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32"/>
      <c r="AF751" s="27"/>
      <c r="AG751" s="85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201"/>
      <c r="K752" s="32"/>
      <c r="L752" s="32"/>
      <c r="M752" s="156"/>
      <c r="N752" s="32"/>
      <c r="O752" s="32"/>
      <c r="P752" s="32"/>
      <c r="Q752" s="134"/>
      <c r="R752" s="32"/>
      <c r="S752" s="135"/>
      <c r="T752" s="131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32"/>
      <c r="AF752" s="27"/>
      <c r="AG752" s="85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201"/>
      <c r="K753" s="32"/>
      <c r="L753" s="32"/>
      <c r="M753" s="156"/>
      <c r="N753" s="32"/>
      <c r="O753" s="32"/>
      <c r="P753" s="32"/>
      <c r="Q753" s="134"/>
      <c r="R753" s="32"/>
      <c r="S753" s="135"/>
      <c r="T753" s="131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32"/>
      <c r="AF753" s="27"/>
      <c r="AG753" s="85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201"/>
      <c r="K754" s="32"/>
      <c r="L754" s="32"/>
      <c r="M754" s="156"/>
      <c r="N754" s="32"/>
      <c r="O754" s="32"/>
      <c r="P754" s="32"/>
      <c r="Q754" s="134"/>
      <c r="R754" s="32"/>
      <c r="S754" s="135"/>
      <c r="T754" s="131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32"/>
      <c r="AF754" s="27"/>
      <c r="AG754" s="85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201"/>
      <c r="K755" s="32"/>
      <c r="L755" s="32"/>
      <c r="M755" s="156"/>
      <c r="N755" s="32"/>
      <c r="O755" s="32"/>
      <c r="P755" s="32"/>
      <c r="Q755" s="134"/>
      <c r="R755" s="32"/>
      <c r="S755" s="135"/>
      <c r="T755" s="131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32"/>
      <c r="AF755" s="27"/>
      <c r="AG755" s="85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201"/>
      <c r="K756" s="32"/>
      <c r="L756" s="32"/>
      <c r="M756" s="156"/>
      <c r="N756" s="32"/>
      <c r="O756" s="32"/>
      <c r="P756" s="32"/>
      <c r="Q756" s="134"/>
      <c r="R756" s="32"/>
      <c r="S756" s="135"/>
      <c r="T756" s="131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32"/>
      <c r="AF756" s="27"/>
      <c r="AG756" s="85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201"/>
      <c r="K757" s="32"/>
      <c r="L757" s="32"/>
      <c r="M757" s="156"/>
      <c r="N757" s="32"/>
      <c r="O757" s="32"/>
      <c r="P757" s="32"/>
      <c r="Q757" s="134"/>
      <c r="R757" s="32"/>
      <c r="S757" s="135"/>
      <c r="T757" s="131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32"/>
      <c r="AF757" s="27"/>
      <c r="AG757" s="85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201"/>
      <c r="K758" s="32"/>
      <c r="L758" s="32"/>
      <c r="M758" s="156"/>
      <c r="N758" s="32"/>
      <c r="O758" s="32"/>
      <c r="P758" s="32"/>
      <c r="Q758" s="134"/>
      <c r="R758" s="32"/>
      <c r="S758" s="135"/>
      <c r="T758" s="131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32"/>
      <c r="AF758" s="27"/>
      <c r="AG758" s="85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201"/>
      <c r="K759" s="32"/>
      <c r="L759" s="32"/>
      <c r="M759" s="156"/>
      <c r="N759" s="32"/>
      <c r="O759" s="32"/>
      <c r="P759" s="32"/>
      <c r="Q759" s="134"/>
      <c r="R759" s="32"/>
      <c r="S759" s="135"/>
      <c r="T759" s="131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32"/>
      <c r="AF759" s="27"/>
      <c r="AG759" s="85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201"/>
      <c r="K760" s="32"/>
      <c r="L760" s="32"/>
      <c r="M760" s="156"/>
      <c r="N760" s="32"/>
      <c r="O760" s="32"/>
      <c r="P760" s="32"/>
      <c r="Q760" s="134"/>
      <c r="R760" s="32"/>
      <c r="S760" s="135"/>
      <c r="T760" s="131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32"/>
      <c r="AF760" s="27"/>
      <c r="AG760" s="85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201"/>
      <c r="K761" s="32"/>
      <c r="L761" s="32"/>
      <c r="M761" s="156"/>
      <c r="N761" s="32"/>
      <c r="O761" s="32"/>
      <c r="P761" s="32"/>
      <c r="Q761" s="134"/>
      <c r="R761" s="32"/>
      <c r="S761" s="135"/>
      <c r="T761" s="131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32"/>
      <c r="AF761" s="27"/>
      <c r="AG761" s="85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201"/>
      <c r="K762" s="32"/>
      <c r="L762" s="32"/>
      <c r="M762" s="156"/>
      <c r="N762" s="32"/>
      <c r="O762" s="32"/>
      <c r="P762" s="32"/>
      <c r="Q762" s="134"/>
      <c r="R762" s="32"/>
      <c r="S762" s="135"/>
      <c r="T762" s="131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32"/>
      <c r="AF762" s="27"/>
      <c r="AG762" s="85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201"/>
      <c r="K763" s="32"/>
      <c r="L763" s="32"/>
      <c r="M763" s="156"/>
      <c r="N763" s="32"/>
      <c r="O763" s="32"/>
      <c r="P763" s="32"/>
      <c r="Q763" s="134"/>
      <c r="R763" s="32"/>
      <c r="S763" s="135"/>
      <c r="T763" s="131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32"/>
      <c r="AF763" s="27"/>
      <c r="AG763" s="85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201"/>
      <c r="K764" s="32"/>
      <c r="L764" s="32"/>
      <c r="M764" s="156"/>
      <c r="N764" s="32"/>
      <c r="O764" s="32"/>
      <c r="P764" s="32"/>
      <c r="Q764" s="134"/>
      <c r="R764" s="32"/>
      <c r="S764" s="135"/>
      <c r="T764" s="131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32"/>
      <c r="AF764" s="27"/>
      <c r="AG764" s="85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201"/>
      <c r="K765" s="32"/>
      <c r="L765" s="32"/>
      <c r="M765" s="156"/>
      <c r="N765" s="32"/>
      <c r="O765" s="32"/>
      <c r="P765" s="32"/>
      <c r="Q765" s="134"/>
      <c r="R765" s="32"/>
      <c r="S765" s="135"/>
      <c r="T765" s="131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32"/>
      <c r="AF765" s="27"/>
      <c r="AG765" s="85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201"/>
      <c r="K766" s="32"/>
      <c r="L766" s="32"/>
      <c r="M766" s="156"/>
      <c r="N766" s="32"/>
      <c r="O766" s="32"/>
      <c r="P766" s="32"/>
      <c r="Q766" s="134"/>
      <c r="R766" s="32"/>
      <c r="S766" s="135"/>
      <c r="T766" s="131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32"/>
      <c r="AF766" s="27"/>
      <c r="AG766" s="85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201"/>
      <c r="K767" s="32"/>
      <c r="L767" s="32"/>
      <c r="M767" s="156"/>
      <c r="N767" s="32"/>
      <c r="O767" s="32"/>
      <c r="P767" s="32"/>
      <c r="Q767" s="134"/>
      <c r="R767" s="32"/>
      <c r="S767" s="135"/>
      <c r="T767" s="131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32"/>
      <c r="AF767" s="27"/>
      <c r="AG767" s="85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201"/>
      <c r="K768" s="32"/>
      <c r="L768" s="32"/>
      <c r="M768" s="156"/>
      <c r="N768" s="32"/>
      <c r="O768" s="32"/>
      <c r="P768" s="32"/>
      <c r="Q768" s="134"/>
      <c r="R768" s="32"/>
      <c r="S768" s="135"/>
      <c r="T768" s="131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32"/>
      <c r="AF768" s="27"/>
      <c r="AG768" s="85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201"/>
      <c r="K769" s="32"/>
      <c r="L769" s="32"/>
      <c r="M769" s="156"/>
      <c r="N769" s="32"/>
      <c r="O769" s="32"/>
      <c r="P769" s="32"/>
      <c r="Q769" s="134"/>
      <c r="R769" s="32"/>
      <c r="S769" s="135"/>
      <c r="T769" s="131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32"/>
      <c r="AF769" s="27"/>
      <c r="AG769" s="85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201"/>
      <c r="K770" s="32"/>
      <c r="L770" s="32"/>
      <c r="M770" s="156"/>
      <c r="N770" s="32"/>
      <c r="O770" s="32"/>
      <c r="P770" s="32"/>
      <c r="Q770" s="134"/>
      <c r="R770" s="32"/>
      <c r="S770" s="135"/>
      <c r="T770" s="131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32"/>
      <c r="AF770" s="27"/>
      <c r="AG770" s="85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201"/>
      <c r="K771" s="32"/>
      <c r="L771" s="32"/>
      <c r="M771" s="156"/>
      <c r="N771" s="32"/>
      <c r="O771" s="32"/>
      <c r="P771" s="32"/>
      <c r="Q771" s="134"/>
      <c r="R771" s="32"/>
      <c r="S771" s="135"/>
      <c r="T771" s="131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32"/>
      <c r="AF771" s="27"/>
      <c r="AG771" s="85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201"/>
      <c r="K772" s="32"/>
      <c r="L772" s="32"/>
      <c r="M772" s="156"/>
      <c r="N772" s="32"/>
      <c r="O772" s="32"/>
      <c r="P772" s="32"/>
      <c r="Q772" s="134"/>
      <c r="R772" s="32"/>
      <c r="S772" s="135"/>
      <c r="T772" s="131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32"/>
      <c r="AF772" s="27"/>
      <c r="AG772" s="85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201"/>
      <c r="K773" s="32"/>
      <c r="L773" s="32"/>
      <c r="M773" s="156"/>
      <c r="N773" s="32"/>
      <c r="O773" s="32"/>
      <c r="P773" s="32"/>
      <c r="Q773" s="134"/>
      <c r="R773" s="32"/>
      <c r="S773" s="135"/>
      <c r="T773" s="131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32"/>
      <c r="AF773" s="27"/>
      <c r="AG773" s="85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201"/>
      <c r="K774" s="32"/>
      <c r="L774" s="32"/>
      <c r="M774" s="156"/>
      <c r="N774" s="32"/>
      <c r="O774" s="32"/>
      <c r="P774" s="32"/>
      <c r="Q774" s="134"/>
      <c r="R774" s="32"/>
      <c r="S774" s="135"/>
      <c r="T774" s="131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32"/>
      <c r="AF774" s="27"/>
      <c r="AG774" s="85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201"/>
      <c r="K775" s="32"/>
      <c r="L775" s="32"/>
      <c r="M775" s="156"/>
      <c r="N775" s="32"/>
      <c r="O775" s="32"/>
      <c r="P775" s="32"/>
      <c r="Q775" s="134"/>
      <c r="R775" s="32"/>
      <c r="S775" s="135"/>
      <c r="T775" s="131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32"/>
      <c r="AF775" s="27"/>
      <c r="AG775" s="85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201"/>
      <c r="K776" s="32"/>
      <c r="L776" s="32"/>
      <c r="M776" s="156"/>
      <c r="N776" s="32"/>
      <c r="O776" s="32"/>
      <c r="P776" s="32"/>
      <c r="Q776" s="134"/>
      <c r="R776" s="32"/>
      <c r="S776" s="135"/>
      <c r="T776" s="131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32"/>
      <c r="AF776" s="27"/>
      <c r="AG776" s="85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201"/>
      <c r="K777" s="32"/>
      <c r="L777" s="32"/>
      <c r="M777" s="156"/>
      <c r="N777" s="32"/>
      <c r="O777" s="32"/>
      <c r="P777" s="32"/>
      <c r="Q777" s="134"/>
      <c r="R777" s="32"/>
      <c r="S777" s="135"/>
      <c r="T777" s="131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32"/>
      <c r="AF777" s="27"/>
      <c r="AG777" s="85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201"/>
      <c r="K778" s="32"/>
      <c r="L778" s="32"/>
      <c r="M778" s="156"/>
      <c r="N778" s="32"/>
      <c r="O778" s="32"/>
      <c r="P778" s="32"/>
      <c r="Q778" s="134"/>
      <c r="R778" s="32"/>
      <c r="S778" s="135"/>
      <c r="T778" s="131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32"/>
      <c r="AF778" s="27"/>
      <c r="AG778" s="85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201"/>
      <c r="K779" s="32"/>
      <c r="L779" s="32"/>
      <c r="M779" s="156"/>
      <c r="N779" s="32"/>
      <c r="O779" s="32"/>
      <c r="P779" s="32"/>
      <c r="Q779" s="134"/>
      <c r="R779" s="32"/>
      <c r="S779" s="135"/>
      <c r="T779" s="131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32"/>
      <c r="AF779" s="27"/>
      <c r="AG779" s="85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201"/>
      <c r="K780" s="32"/>
      <c r="L780" s="32"/>
      <c r="M780" s="156"/>
      <c r="N780" s="32"/>
      <c r="O780" s="32"/>
      <c r="P780" s="32"/>
      <c r="Q780" s="134"/>
      <c r="R780" s="32"/>
      <c r="S780" s="135"/>
      <c r="T780" s="131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32"/>
      <c r="AF780" s="27"/>
      <c r="AG780" s="85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201"/>
      <c r="K781" s="32"/>
      <c r="L781" s="32"/>
      <c r="M781" s="156"/>
      <c r="N781" s="32"/>
      <c r="O781" s="32"/>
      <c r="P781" s="32"/>
      <c r="Q781" s="134"/>
      <c r="R781" s="32"/>
      <c r="S781" s="135"/>
      <c r="T781" s="131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32"/>
      <c r="AF781" s="27"/>
      <c r="AG781" s="85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201"/>
      <c r="K782" s="32"/>
      <c r="L782" s="32"/>
      <c r="M782" s="156"/>
      <c r="N782" s="32"/>
      <c r="O782" s="32"/>
      <c r="P782" s="32"/>
      <c r="Q782" s="134"/>
      <c r="R782" s="32"/>
      <c r="S782" s="135"/>
      <c r="T782" s="131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32"/>
      <c r="AF782" s="27"/>
      <c r="AG782" s="85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201"/>
      <c r="K783" s="32"/>
      <c r="L783" s="32"/>
      <c r="M783" s="156"/>
      <c r="N783" s="32"/>
      <c r="O783" s="32"/>
      <c r="P783" s="32"/>
      <c r="Q783" s="134"/>
      <c r="R783" s="32"/>
      <c r="S783" s="135"/>
      <c r="T783" s="131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32"/>
      <c r="AF783" s="27"/>
      <c r="AG783" s="85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201"/>
      <c r="K784" s="32"/>
      <c r="L784" s="32"/>
      <c r="M784" s="156"/>
      <c r="N784" s="32"/>
      <c r="O784" s="32"/>
      <c r="P784" s="32"/>
      <c r="Q784" s="134"/>
      <c r="R784" s="32"/>
      <c r="S784" s="135"/>
      <c r="T784" s="131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32"/>
      <c r="AF784" s="27"/>
      <c r="AG784" s="85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201"/>
      <c r="K785" s="32"/>
      <c r="L785" s="32"/>
      <c r="M785" s="156"/>
      <c r="N785" s="32"/>
      <c r="O785" s="32"/>
      <c r="P785" s="32"/>
      <c r="Q785" s="134"/>
      <c r="R785" s="32"/>
      <c r="S785" s="135"/>
      <c r="T785" s="131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32"/>
      <c r="AF785" s="27"/>
      <c r="AG785" s="85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201"/>
      <c r="K786" s="32"/>
      <c r="L786" s="32"/>
      <c r="M786" s="156"/>
      <c r="N786" s="32"/>
      <c r="O786" s="32"/>
      <c r="P786" s="32"/>
      <c r="Q786" s="134"/>
      <c r="R786" s="32"/>
      <c r="S786" s="135"/>
      <c r="T786" s="131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32"/>
      <c r="AF786" s="27"/>
      <c r="AG786" s="85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201"/>
      <c r="K787" s="32"/>
      <c r="L787" s="32"/>
      <c r="M787" s="156"/>
      <c r="N787" s="32"/>
      <c r="O787" s="32"/>
      <c r="P787" s="32"/>
      <c r="Q787" s="134"/>
      <c r="R787" s="32"/>
      <c r="S787" s="135"/>
      <c r="T787" s="131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32"/>
      <c r="AF787" s="27"/>
      <c r="AG787" s="85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201"/>
      <c r="K788" s="32"/>
      <c r="L788" s="32"/>
      <c r="M788" s="156"/>
      <c r="N788" s="32"/>
      <c r="O788" s="32"/>
      <c r="P788" s="32"/>
      <c r="Q788" s="134"/>
      <c r="R788" s="32"/>
      <c r="S788" s="135"/>
      <c r="T788" s="131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32"/>
      <c r="AF788" s="27"/>
      <c r="AG788" s="85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201"/>
      <c r="K789" s="32"/>
      <c r="L789" s="32"/>
      <c r="M789" s="156"/>
      <c r="N789" s="32"/>
      <c r="O789" s="32"/>
      <c r="P789" s="32"/>
      <c r="Q789" s="134"/>
      <c r="R789" s="32"/>
      <c r="S789" s="135"/>
      <c r="T789" s="131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32"/>
      <c r="AF789" s="27"/>
      <c r="AG789" s="85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201"/>
      <c r="K790" s="32"/>
      <c r="L790" s="32"/>
      <c r="M790" s="156"/>
      <c r="N790" s="32"/>
      <c r="O790" s="32"/>
      <c r="P790" s="32"/>
      <c r="Q790" s="134"/>
      <c r="R790" s="32"/>
      <c r="S790" s="135"/>
      <c r="T790" s="131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32"/>
      <c r="AF790" s="27"/>
      <c r="AG790" s="85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201"/>
      <c r="K791" s="32"/>
      <c r="L791" s="32"/>
      <c r="M791" s="156"/>
      <c r="N791" s="32"/>
      <c r="O791" s="32"/>
      <c r="P791" s="32"/>
      <c r="Q791" s="134"/>
      <c r="R791" s="32"/>
      <c r="S791" s="135"/>
      <c r="T791" s="131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32"/>
      <c r="AF791" s="27"/>
      <c r="AG791" s="85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201"/>
      <c r="K792" s="32"/>
      <c r="L792" s="32"/>
      <c r="M792" s="156"/>
      <c r="N792" s="32"/>
      <c r="O792" s="32"/>
      <c r="P792" s="32"/>
      <c r="Q792" s="134"/>
      <c r="R792" s="32"/>
      <c r="S792" s="135"/>
      <c r="T792" s="131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32"/>
      <c r="AF792" s="27"/>
      <c r="AG792" s="85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201"/>
      <c r="K793" s="32"/>
      <c r="L793" s="32"/>
      <c r="M793" s="156"/>
      <c r="N793" s="32"/>
      <c r="O793" s="32"/>
      <c r="P793" s="32"/>
      <c r="Q793" s="134"/>
      <c r="R793" s="32"/>
      <c r="S793" s="135"/>
      <c r="T793" s="131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32"/>
      <c r="AF793" s="27"/>
      <c r="AG793" s="85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201"/>
      <c r="K794" s="32"/>
      <c r="L794" s="32"/>
      <c r="M794" s="156"/>
      <c r="N794" s="32"/>
      <c r="O794" s="32"/>
      <c r="P794" s="32"/>
      <c r="Q794" s="134"/>
      <c r="R794" s="32"/>
      <c r="S794" s="135"/>
      <c r="T794" s="131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32"/>
      <c r="AF794" s="27"/>
      <c r="AG794" s="85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201"/>
      <c r="K795" s="32"/>
      <c r="L795" s="32"/>
      <c r="M795" s="156"/>
      <c r="N795" s="32"/>
      <c r="O795" s="32"/>
      <c r="P795" s="32"/>
      <c r="Q795" s="134"/>
      <c r="R795" s="32"/>
      <c r="S795" s="135"/>
      <c r="T795" s="131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32"/>
      <c r="AF795" s="27"/>
      <c r="AG795" s="85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201"/>
      <c r="K796" s="32"/>
      <c r="L796" s="32"/>
      <c r="M796" s="156"/>
      <c r="N796" s="32"/>
      <c r="O796" s="32"/>
      <c r="P796" s="32"/>
      <c r="Q796" s="134"/>
      <c r="R796" s="32"/>
      <c r="S796" s="135"/>
      <c r="T796" s="131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32"/>
      <c r="AF796" s="27"/>
      <c r="AG796" s="85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201"/>
      <c r="K797" s="32"/>
      <c r="L797" s="32"/>
      <c r="M797" s="156"/>
      <c r="N797" s="32"/>
      <c r="O797" s="32"/>
      <c r="P797" s="32"/>
      <c r="Q797" s="134"/>
      <c r="R797" s="32"/>
      <c r="S797" s="135"/>
      <c r="T797" s="131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32"/>
      <c r="AF797" s="27"/>
      <c r="AG797" s="85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201"/>
      <c r="K798" s="32"/>
      <c r="L798" s="32"/>
      <c r="M798" s="156"/>
      <c r="N798" s="32"/>
      <c r="O798" s="32"/>
      <c r="P798" s="32"/>
      <c r="Q798" s="134"/>
      <c r="R798" s="32"/>
      <c r="S798" s="135"/>
      <c r="T798" s="131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32"/>
      <c r="AF798" s="27"/>
      <c r="AG798" s="85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201"/>
      <c r="K799" s="32"/>
      <c r="L799" s="32"/>
      <c r="M799" s="156"/>
      <c r="N799" s="32"/>
      <c r="O799" s="32"/>
      <c r="P799" s="32"/>
      <c r="Q799" s="134"/>
      <c r="R799" s="32"/>
      <c r="S799" s="135"/>
      <c r="T799" s="131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32"/>
      <c r="AF799" s="27"/>
      <c r="AG799" s="85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201"/>
      <c r="K800" s="32"/>
      <c r="L800" s="32"/>
      <c r="M800" s="156"/>
      <c r="N800" s="32"/>
      <c r="O800" s="32"/>
      <c r="P800" s="32"/>
      <c r="Q800" s="134"/>
      <c r="R800" s="32"/>
      <c r="S800" s="135"/>
      <c r="T800" s="131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32"/>
      <c r="AF800" s="27"/>
      <c r="AG800" s="85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201"/>
      <c r="K801" s="32"/>
      <c r="L801" s="32"/>
      <c r="M801" s="156"/>
      <c r="N801" s="32"/>
      <c r="O801" s="32"/>
      <c r="P801" s="32"/>
      <c r="Q801" s="134"/>
      <c r="R801" s="32"/>
      <c r="S801" s="135"/>
      <c r="T801" s="131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32"/>
      <c r="AF801" s="27"/>
      <c r="AG801" s="85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201"/>
      <c r="K802" s="32"/>
      <c r="L802" s="32"/>
      <c r="M802" s="156"/>
      <c r="N802" s="32"/>
      <c r="O802" s="32"/>
      <c r="P802" s="32"/>
      <c r="Q802" s="134"/>
      <c r="R802" s="32"/>
      <c r="S802" s="135"/>
      <c r="T802" s="131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32"/>
      <c r="AF802" s="27"/>
      <c r="AG802" s="85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201"/>
      <c r="K803" s="32"/>
      <c r="L803" s="32"/>
      <c r="M803" s="156"/>
      <c r="N803" s="32"/>
      <c r="O803" s="32"/>
      <c r="P803" s="32"/>
      <c r="Q803" s="134"/>
      <c r="R803" s="32"/>
      <c r="S803" s="135"/>
      <c r="T803" s="131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32"/>
      <c r="AF803" s="27"/>
      <c r="AG803" s="85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201"/>
      <c r="K804" s="32"/>
      <c r="L804" s="32"/>
      <c r="M804" s="156"/>
      <c r="N804" s="32"/>
      <c r="O804" s="32"/>
      <c r="P804" s="32"/>
      <c r="Q804" s="134"/>
      <c r="R804" s="32"/>
      <c r="S804" s="135"/>
      <c r="T804" s="131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32"/>
      <c r="AF804" s="27"/>
      <c r="AG804" s="85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201"/>
      <c r="K805" s="32"/>
      <c r="L805" s="32"/>
      <c r="M805" s="156"/>
      <c r="N805" s="32"/>
      <c r="O805" s="32"/>
      <c r="P805" s="32"/>
      <c r="Q805" s="134"/>
      <c r="R805" s="32"/>
      <c r="S805" s="135"/>
      <c r="T805" s="131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32"/>
      <c r="AF805" s="27"/>
      <c r="AG805" s="85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201"/>
      <c r="K806" s="32"/>
      <c r="L806" s="32"/>
      <c r="M806" s="156"/>
      <c r="N806" s="32"/>
      <c r="O806" s="32"/>
      <c r="P806" s="32"/>
      <c r="Q806" s="134"/>
      <c r="R806" s="32"/>
      <c r="S806" s="135"/>
      <c r="T806" s="131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32"/>
      <c r="AF806" s="27"/>
      <c r="AG806" s="85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201"/>
      <c r="K807" s="32"/>
      <c r="L807" s="32"/>
      <c r="M807" s="156"/>
      <c r="N807" s="32"/>
      <c r="O807" s="32"/>
      <c r="P807" s="32"/>
      <c r="Q807" s="134"/>
      <c r="R807" s="32"/>
      <c r="S807" s="135"/>
      <c r="T807" s="131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32"/>
      <c r="AF807" s="27"/>
      <c r="AG807" s="85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201"/>
      <c r="K808" s="32"/>
      <c r="L808" s="32"/>
      <c r="M808" s="156"/>
      <c r="N808" s="32"/>
      <c r="O808" s="32"/>
      <c r="P808" s="32"/>
      <c r="Q808" s="134"/>
      <c r="R808" s="32"/>
      <c r="S808" s="135"/>
      <c r="T808" s="131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32"/>
      <c r="AF808" s="27"/>
      <c r="AG808" s="85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201"/>
      <c r="K809" s="32"/>
      <c r="L809" s="32"/>
      <c r="M809" s="156"/>
      <c r="N809" s="32"/>
      <c r="O809" s="32"/>
      <c r="P809" s="32"/>
      <c r="Q809" s="134"/>
      <c r="R809" s="32"/>
      <c r="S809" s="135"/>
      <c r="T809" s="131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32"/>
      <c r="AF809" s="27"/>
      <c r="AG809" s="85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201"/>
      <c r="K810" s="32"/>
      <c r="L810" s="32"/>
      <c r="M810" s="156"/>
      <c r="N810" s="32"/>
      <c r="O810" s="32"/>
      <c r="P810" s="32"/>
      <c r="Q810" s="134"/>
      <c r="R810" s="32"/>
      <c r="S810" s="135"/>
      <c r="T810" s="131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32"/>
      <c r="AF810" s="27"/>
      <c r="AG810" s="85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201"/>
      <c r="K811" s="32"/>
      <c r="L811" s="32"/>
      <c r="M811" s="156"/>
      <c r="N811" s="32"/>
      <c r="O811" s="32"/>
      <c r="P811" s="32"/>
      <c r="Q811" s="134"/>
      <c r="R811" s="32"/>
      <c r="S811" s="135"/>
      <c r="T811" s="131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32"/>
      <c r="AF811" s="27"/>
      <c r="AG811" s="85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201"/>
      <c r="K812" s="32"/>
      <c r="L812" s="32"/>
      <c r="M812" s="156"/>
      <c r="N812" s="32"/>
      <c r="O812" s="32"/>
      <c r="P812" s="32"/>
      <c r="Q812" s="134"/>
      <c r="R812" s="32"/>
      <c r="S812" s="135"/>
      <c r="T812" s="131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32"/>
      <c r="AF812" s="27"/>
      <c r="AG812" s="85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201"/>
      <c r="K813" s="32"/>
      <c r="L813" s="32"/>
      <c r="M813" s="156"/>
      <c r="N813" s="32"/>
      <c r="O813" s="32"/>
      <c r="P813" s="32"/>
      <c r="Q813" s="134"/>
      <c r="R813" s="32"/>
      <c r="S813" s="135"/>
      <c r="T813" s="131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32"/>
      <c r="AF813" s="27"/>
      <c r="AG813" s="85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201"/>
      <c r="K814" s="32"/>
      <c r="L814" s="32"/>
      <c r="M814" s="156"/>
      <c r="N814" s="32"/>
      <c r="O814" s="32"/>
      <c r="P814" s="32"/>
      <c r="Q814" s="134"/>
      <c r="R814" s="32"/>
      <c r="S814" s="135"/>
      <c r="T814" s="131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32"/>
      <c r="AF814" s="27"/>
      <c r="AG814" s="85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201"/>
      <c r="K815" s="32"/>
      <c r="L815" s="32"/>
      <c r="M815" s="156"/>
      <c r="N815" s="32"/>
      <c r="O815" s="32"/>
      <c r="P815" s="32"/>
      <c r="Q815" s="134"/>
      <c r="R815" s="32"/>
      <c r="S815" s="135"/>
      <c r="T815" s="131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32"/>
      <c r="AF815" s="27"/>
      <c r="AG815" s="85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201"/>
      <c r="K816" s="32"/>
      <c r="L816" s="32"/>
      <c r="M816" s="156"/>
      <c r="N816" s="32"/>
      <c r="O816" s="32"/>
      <c r="P816" s="32"/>
      <c r="Q816" s="134"/>
      <c r="R816" s="32"/>
      <c r="S816" s="135"/>
      <c r="T816" s="131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32"/>
      <c r="AF816" s="27"/>
      <c r="AG816" s="85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201"/>
      <c r="K817" s="32"/>
      <c r="L817" s="32"/>
      <c r="M817" s="156"/>
      <c r="N817" s="32"/>
      <c r="O817" s="32"/>
      <c r="P817" s="32"/>
      <c r="Q817" s="134"/>
      <c r="R817" s="32"/>
      <c r="S817" s="135"/>
      <c r="T817" s="131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32"/>
      <c r="AF817" s="27"/>
      <c r="AG817" s="85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201"/>
      <c r="K818" s="32"/>
      <c r="L818" s="32"/>
      <c r="M818" s="156"/>
      <c r="N818" s="32"/>
      <c r="O818" s="32"/>
      <c r="P818" s="32"/>
      <c r="Q818" s="134"/>
      <c r="R818" s="32"/>
      <c r="S818" s="135"/>
      <c r="T818" s="131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32"/>
      <c r="AF818" s="27"/>
      <c r="AG818" s="85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201"/>
      <c r="K819" s="32"/>
      <c r="L819" s="32"/>
      <c r="M819" s="156"/>
      <c r="N819" s="32"/>
      <c r="O819" s="32"/>
      <c r="P819" s="32"/>
      <c r="Q819" s="134"/>
      <c r="R819" s="32"/>
      <c r="S819" s="135"/>
      <c r="T819" s="131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32"/>
      <c r="AF819" s="27"/>
      <c r="AG819" s="85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201"/>
      <c r="K820" s="32"/>
      <c r="L820" s="32"/>
      <c r="M820" s="156"/>
      <c r="N820" s="32"/>
      <c r="O820" s="32"/>
      <c r="P820" s="32"/>
      <c r="Q820" s="134"/>
      <c r="R820" s="32"/>
      <c r="S820" s="135"/>
      <c r="T820" s="131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32"/>
      <c r="AF820" s="27"/>
      <c r="AG820" s="85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201"/>
      <c r="K821" s="32"/>
      <c r="L821" s="32"/>
      <c r="M821" s="156"/>
      <c r="N821" s="32"/>
      <c r="O821" s="32"/>
      <c r="P821" s="32"/>
      <c r="Q821" s="134"/>
      <c r="R821" s="32"/>
      <c r="S821" s="135"/>
      <c r="T821" s="131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32"/>
      <c r="AF821" s="27"/>
      <c r="AG821" s="85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201"/>
      <c r="K822" s="32"/>
      <c r="L822" s="32"/>
      <c r="M822" s="156"/>
      <c r="N822" s="32"/>
      <c r="O822" s="32"/>
      <c r="P822" s="32"/>
      <c r="Q822" s="134"/>
      <c r="R822" s="32"/>
      <c r="S822" s="135"/>
      <c r="T822" s="131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32"/>
      <c r="AF822" s="27"/>
      <c r="AG822" s="85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201"/>
      <c r="K823" s="32"/>
      <c r="L823" s="32"/>
      <c r="M823" s="156"/>
      <c r="N823" s="32"/>
      <c r="O823" s="32"/>
      <c r="P823" s="32"/>
      <c r="Q823" s="134"/>
      <c r="R823" s="32"/>
      <c r="S823" s="135"/>
      <c r="T823" s="131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32"/>
      <c r="AF823" s="27"/>
      <c r="AG823" s="85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201"/>
      <c r="K824" s="32"/>
      <c r="L824" s="32"/>
      <c r="M824" s="156"/>
      <c r="N824" s="32"/>
      <c r="O824" s="32"/>
      <c r="P824" s="32"/>
      <c r="Q824" s="134"/>
      <c r="R824" s="32"/>
      <c r="S824" s="135"/>
      <c r="T824" s="131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32"/>
      <c r="AF824" s="27"/>
      <c r="AG824" s="85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201"/>
      <c r="K825" s="32"/>
      <c r="L825" s="32"/>
      <c r="M825" s="156"/>
      <c r="N825" s="32"/>
      <c r="O825" s="32"/>
      <c r="P825" s="32"/>
      <c r="Q825" s="134"/>
      <c r="R825" s="32"/>
      <c r="S825" s="135"/>
      <c r="T825" s="131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32"/>
      <c r="AF825" s="27"/>
      <c r="AG825" s="85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201"/>
      <c r="K826" s="32"/>
      <c r="L826" s="32"/>
      <c r="M826" s="156"/>
      <c r="N826" s="32"/>
      <c r="O826" s="32"/>
      <c r="P826" s="32"/>
      <c r="Q826" s="134"/>
      <c r="R826" s="32"/>
      <c r="S826" s="135"/>
      <c r="T826" s="131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32"/>
      <c r="AF826" s="27"/>
      <c r="AG826" s="85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201"/>
      <c r="K827" s="32"/>
      <c r="L827" s="32"/>
      <c r="M827" s="156"/>
      <c r="N827" s="32"/>
      <c r="O827" s="32"/>
      <c r="P827" s="32"/>
      <c r="Q827" s="134"/>
      <c r="R827" s="32"/>
      <c r="S827" s="135"/>
      <c r="T827" s="131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32"/>
      <c r="AF827" s="27"/>
      <c r="AG827" s="85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201"/>
      <c r="K828" s="32"/>
      <c r="L828" s="32"/>
      <c r="M828" s="156"/>
      <c r="N828" s="32"/>
      <c r="O828" s="32"/>
      <c r="P828" s="32"/>
      <c r="Q828" s="134"/>
      <c r="R828" s="32"/>
      <c r="S828" s="135"/>
      <c r="T828" s="131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32"/>
      <c r="AF828" s="27"/>
      <c r="AG828" s="85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201"/>
      <c r="K829" s="32"/>
      <c r="L829" s="32"/>
      <c r="M829" s="156"/>
      <c r="N829" s="32"/>
      <c r="O829" s="32"/>
      <c r="P829" s="32"/>
      <c r="Q829" s="134"/>
      <c r="R829" s="32"/>
      <c r="S829" s="135"/>
      <c r="T829" s="131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32"/>
      <c r="AF829" s="27"/>
      <c r="AG829" s="85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201"/>
      <c r="K830" s="32"/>
      <c r="L830" s="32"/>
      <c r="M830" s="156"/>
      <c r="N830" s="32"/>
      <c r="O830" s="32"/>
      <c r="P830" s="32"/>
      <c r="Q830" s="134"/>
      <c r="R830" s="32"/>
      <c r="S830" s="135"/>
      <c r="T830" s="131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32"/>
      <c r="AF830" s="27"/>
      <c r="AG830" s="85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201"/>
      <c r="K831" s="32"/>
      <c r="L831" s="32"/>
      <c r="M831" s="156"/>
      <c r="N831" s="32"/>
      <c r="O831" s="32"/>
      <c r="P831" s="32"/>
      <c r="Q831" s="134"/>
      <c r="R831" s="32"/>
      <c r="S831" s="135"/>
      <c r="T831" s="131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32"/>
      <c r="AF831" s="27"/>
      <c r="AG831" s="85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201"/>
      <c r="K832" s="32"/>
      <c r="L832" s="32"/>
      <c r="M832" s="156"/>
      <c r="N832" s="32"/>
      <c r="O832" s="32"/>
      <c r="P832" s="32"/>
      <c r="Q832" s="134"/>
      <c r="R832" s="32"/>
      <c r="S832" s="135"/>
      <c r="T832" s="131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32"/>
      <c r="AF832" s="27"/>
      <c r="AG832" s="85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201"/>
      <c r="K833" s="32"/>
      <c r="L833" s="32"/>
      <c r="M833" s="156"/>
      <c r="N833" s="32"/>
      <c r="O833" s="32"/>
      <c r="P833" s="32"/>
      <c r="Q833" s="134"/>
      <c r="R833" s="32"/>
      <c r="S833" s="135"/>
      <c r="T833" s="131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32"/>
      <c r="AF833" s="27"/>
      <c r="AG833" s="85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201"/>
      <c r="K834" s="32"/>
      <c r="L834" s="32"/>
      <c r="M834" s="156"/>
      <c r="N834" s="32"/>
      <c r="O834" s="32"/>
      <c r="P834" s="32"/>
      <c r="Q834" s="134"/>
      <c r="R834" s="32"/>
      <c r="S834" s="135"/>
      <c r="T834" s="131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32"/>
      <c r="AF834" s="27"/>
      <c r="AG834" s="85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201"/>
      <c r="K835" s="32"/>
      <c r="L835" s="32"/>
      <c r="M835" s="156"/>
      <c r="N835" s="32"/>
      <c r="O835" s="32"/>
      <c r="P835" s="32"/>
      <c r="Q835" s="134"/>
      <c r="R835" s="32"/>
      <c r="S835" s="135"/>
      <c r="T835" s="131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32"/>
      <c r="AF835" s="27"/>
      <c r="AG835" s="85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201"/>
      <c r="K836" s="32"/>
      <c r="L836" s="32"/>
      <c r="M836" s="156"/>
      <c r="N836" s="32"/>
      <c r="O836" s="32"/>
      <c r="P836" s="32"/>
      <c r="Q836" s="134"/>
      <c r="R836" s="32"/>
      <c r="S836" s="135"/>
      <c r="T836" s="131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32"/>
      <c r="AF836" s="27"/>
      <c r="AG836" s="85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201"/>
      <c r="K837" s="32"/>
      <c r="L837" s="32"/>
      <c r="M837" s="156"/>
      <c r="N837" s="32"/>
      <c r="O837" s="32"/>
      <c r="P837" s="32"/>
      <c r="Q837" s="134"/>
      <c r="R837" s="32"/>
      <c r="S837" s="135"/>
      <c r="T837" s="131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32"/>
      <c r="AF837" s="27"/>
      <c r="AG837" s="85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201"/>
      <c r="K838" s="32"/>
      <c r="L838" s="32"/>
      <c r="M838" s="156"/>
      <c r="N838" s="32"/>
      <c r="O838" s="32"/>
      <c r="P838" s="32"/>
      <c r="Q838" s="134"/>
      <c r="R838" s="32"/>
      <c r="S838" s="135"/>
      <c r="T838" s="131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32"/>
      <c r="AF838" s="27"/>
      <c r="AG838" s="85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201"/>
      <c r="K839" s="32"/>
      <c r="L839" s="32"/>
      <c r="M839" s="156"/>
      <c r="N839" s="32"/>
      <c r="O839" s="32"/>
      <c r="P839" s="32"/>
      <c r="Q839" s="134"/>
      <c r="R839" s="32"/>
      <c r="S839" s="135"/>
      <c r="T839" s="131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32"/>
      <c r="AF839" s="27"/>
      <c r="AG839" s="85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201"/>
      <c r="K840" s="32"/>
      <c r="L840" s="32"/>
      <c r="M840" s="156"/>
      <c r="N840" s="32"/>
      <c r="O840" s="32"/>
      <c r="P840" s="32"/>
      <c r="Q840" s="134"/>
      <c r="R840" s="32"/>
      <c r="S840" s="135"/>
      <c r="T840" s="131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32"/>
      <c r="AF840" s="27"/>
      <c r="AG840" s="85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201"/>
      <c r="K841" s="32"/>
      <c r="L841" s="32"/>
      <c r="M841" s="156"/>
      <c r="N841" s="32"/>
      <c r="O841" s="32"/>
      <c r="P841" s="32"/>
      <c r="Q841" s="134"/>
      <c r="R841" s="32"/>
      <c r="S841" s="135"/>
      <c r="T841" s="131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32"/>
      <c r="AF841" s="27"/>
      <c r="AG841" s="85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201"/>
      <c r="K842" s="32"/>
      <c r="L842" s="32"/>
      <c r="M842" s="156"/>
      <c r="N842" s="32"/>
      <c r="O842" s="32"/>
      <c r="P842" s="32"/>
      <c r="Q842" s="134"/>
      <c r="R842" s="32"/>
      <c r="S842" s="135"/>
      <c r="T842" s="131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32"/>
      <c r="AF842" s="27"/>
      <c r="AG842" s="85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201"/>
      <c r="K843" s="32"/>
      <c r="L843" s="32"/>
      <c r="M843" s="156"/>
      <c r="N843" s="32"/>
      <c r="O843" s="32"/>
      <c r="P843" s="32"/>
      <c r="Q843" s="134"/>
      <c r="R843" s="32"/>
      <c r="S843" s="135"/>
      <c r="T843" s="131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32"/>
      <c r="AF843" s="27"/>
      <c r="AG843" s="85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201"/>
      <c r="K844" s="32"/>
      <c r="L844" s="32"/>
      <c r="M844" s="156"/>
      <c r="N844" s="32"/>
      <c r="O844" s="32"/>
      <c r="P844" s="32"/>
      <c r="Q844" s="134"/>
      <c r="R844" s="32"/>
      <c r="S844" s="135"/>
      <c r="T844" s="131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32"/>
      <c r="AF844" s="27"/>
      <c r="AG844" s="85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201"/>
      <c r="K845" s="32"/>
      <c r="L845" s="32"/>
      <c r="M845" s="156"/>
      <c r="N845" s="32"/>
      <c r="O845" s="32"/>
      <c r="P845" s="32"/>
      <c r="Q845" s="134"/>
      <c r="R845" s="32"/>
      <c r="S845" s="135"/>
      <c r="T845" s="131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32"/>
      <c r="AF845" s="27"/>
      <c r="AG845" s="85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201"/>
      <c r="K846" s="32"/>
      <c r="L846" s="32"/>
      <c r="M846" s="156"/>
      <c r="N846" s="32"/>
      <c r="O846" s="32"/>
      <c r="P846" s="32"/>
      <c r="Q846" s="134"/>
      <c r="R846" s="32"/>
      <c r="S846" s="135"/>
      <c r="T846" s="131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32"/>
      <c r="AF846" s="27"/>
      <c r="AG846" s="85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201"/>
      <c r="K847" s="32"/>
      <c r="L847" s="32"/>
      <c r="M847" s="156"/>
      <c r="N847" s="32"/>
      <c r="O847" s="32"/>
      <c r="P847" s="32"/>
      <c r="Q847" s="134"/>
      <c r="R847" s="32"/>
      <c r="S847" s="135"/>
      <c r="T847" s="131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32"/>
      <c r="AF847" s="27"/>
      <c r="AG847" s="85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201"/>
      <c r="K848" s="32"/>
      <c r="L848" s="32"/>
      <c r="M848" s="156"/>
      <c r="N848" s="32"/>
      <c r="O848" s="32"/>
      <c r="P848" s="32"/>
      <c r="Q848" s="134"/>
      <c r="R848" s="32"/>
      <c r="S848" s="135"/>
      <c r="T848" s="131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32"/>
      <c r="AF848" s="27"/>
      <c r="AG848" s="85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201"/>
      <c r="K849" s="32"/>
      <c r="L849" s="32"/>
      <c r="M849" s="156"/>
      <c r="N849" s="32"/>
      <c r="O849" s="32"/>
      <c r="P849" s="32"/>
      <c r="Q849" s="134"/>
      <c r="R849" s="32"/>
      <c r="S849" s="135"/>
      <c r="T849" s="131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32"/>
      <c r="AF849" s="27"/>
      <c r="AG849" s="85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201"/>
      <c r="K850" s="32"/>
      <c r="L850" s="32"/>
      <c r="M850" s="156"/>
      <c r="N850" s="32"/>
      <c r="O850" s="32"/>
      <c r="P850" s="32"/>
      <c r="Q850" s="134"/>
      <c r="R850" s="32"/>
      <c r="S850" s="135"/>
      <c r="T850" s="131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32"/>
      <c r="AF850" s="27"/>
      <c r="AG850" s="85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201"/>
      <c r="K851" s="32"/>
      <c r="L851" s="32"/>
      <c r="M851" s="156"/>
      <c r="N851" s="32"/>
      <c r="O851" s="32"/>
      <c r="P851" s="32"/>
      <c r="Q851" s="134"/>
      <c r="R851" s="32"/>
      <c r="S851" s="135"/>
      <c r="T851" s="131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32"/>
      <c r="AF851" s="27"/>
      <c r="AG851" s="85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201"/>
      <c r="K852" s="32"/>
      <c r="L852" s="32"/>
      <c r="M852" s="156"/>
      <c r="N852" s="32"/>
      <c r="O852" s="32"/>
      <c r="P852" s="32"/>
      <c r="Q852" s="134"/>
      <c r="R852" s="32"/>
      <c r="S852" s="135"/>
      <c r="T852" s="131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32"/>
      <c r="AF852" s="27"/>
      <c r="AG852" s="85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201"/>
      <c r="K853" s="32"/>
      <c r="L853" s="32"/>
      <c r="M853" s="156"/>
      <c r="N853" s="32"/>
      <c r="O853" s="32"/>
      <c r="P853" s="32"/>
      <c r="Q853" s="134"/>
      <c r="R853" s="32"/>
      <c r="S853" s="135"/>
      <c r="T853" s="131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32"/>
      <c r="AF853" s="27"/>
      <c r="AG853" s="85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201"/>
      <c r="K854" s="32"/>
      <c r="L854" s="32"/>
      <c r="M854" s="156"/>
      <c r="N854" s="32"/>
      <c r="O854" s="32"/>
      <c r="P854" s="32"/>
      <c r="Q854" s="134"/>
      <c r="R854" s="32"/>
      <c r="S854" s="135"/>
      <c r="T854" s="131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32"/>
      <c r="AF854" s="27"/>
      <c r="AG854" s="85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201"/>
      <c r="K855" s="32"/>
      <c r="L855" s="32"/>
      <c r="M855" s="156"/>
      <c r="N855" s="32"/>
      <c r="O855" s="32"/>
      <c r="P855" s="32"/>
      <c r="Q855" s="134"/>
      <c r="R855" s="32"/>
      <c r="S855" s="135"/>
      <c r="T855" s="131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32"/>
      <c r="AF855" s="27"/>
      <c r="AG855" s="85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201"/>
      <c r="K856" s="32"/>
      <c r="L856" s="32"/>
      <c r="M856" s="156"/>
      <c r="N856" s="32"/>
      <c r="O856" s="32"/>
      <c r="P856" s="32"/>
      <c r="Q856" s="134"/>
      <c r="R856" s="32"/>
      <c r="S856" s="135"/>
      <c r="T856" s="131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32"/>
      <c r="AF856" s="27"/>
      <c r="AG856" s="85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201"/>
      <c r="K857" s="32"/>
      <c r="L857" s="32"/>
      <c r="M857" s="156"/>
      <c r="N857" s="32"/>
      <c r="O857" s="32"/>
      <c r="P857" s="32"/>
      <c r="Q857" s="134"/>
      <c r="R857" s="32"/>
      <c r="S857" s="135"/>
      <c r="T857" s="131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32"/>
      <c r="AF857" s="27"/>
      <c r="AG857" s="85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201"/>
      <c r="K858" s="32"/>
      <c r="L858" s="32"/>
      <c r="M858" s="156"/>
      <c r="N858" s="32"/>
      <c r="O858" s="32"/>
      <c r="P858" s="32"/>
      <c r="Q858" s="134"/>
      <c r="R858" s="32"/>
      <c r="S858" s="135"/>
      <c r="T858" s="131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32"/>
      <c r="AF858" s="27"/>
      <c r="AG858" s="85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201"/>
      <c r="K859" s="32"/>
      <c r="L859" s="32"/>
      <c r="M859" s="156"/>
      <c r="N859" s="32"/>
      <c r="O859" s="32"/>
      <c r="P859" s="32"/>
      <c r="Q859" s="134"/>
      <c r="R859" s="32"/>
      <c r="S859" s="135"/>
      <c r="T859" s="131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32"/>
      <c r="AF859" s="27"/>
      <c r="AG859" s="85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201"/>
      <c r="K860" s="32"/>
      <c r="L860" s="32"/>
      <c r="M860" s="156"/>
      <c r="N860" s="32"/>
      <c r="O860" s="32"/>
      <c r="P860" s="32"/>
      <c r="Q860" s="134"/>
      <c r="R860" s="32"/>
      <c r="S860" s="135"/>
      <c r="T860" s="131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32"/>
      <c r="AF860" s="27"/>
      <c r="AG860" s="85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201"/>
      <c r="K861" s="32"/>
      <c r="L861" s="32"/>
      <c r="M861" s="156"/>
      <c r="N861" s="32"/>
      <c r="O861" s="32"/>
      <c r="P861" s="32"/>
      <c r="Q861" s="134"/>
      <c r="R861" s="32"/>
      <c r="S861" s="135"/>
      <c r="T861" s="131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32"/>
      <c r="AF861" s="27"/>
      <c r="AG861" s="85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201"/>
      <c r="K862" s="32"/>
      <c r="L862" s="32"/>
      <c r="M862" s="156"/>
      <c r="N862" s="32"/>
      <c r="O862" s="32"/>
      <c r="P862" s="32"/>
      <c r="Q862" s="134"/>
      <c r="R862" s="32"/>
      <c r="S862" s="135"/>
      <c r="T862" s="131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32"/>
      <c r="AF862" s="27"/>
      <c r="AG862" s="85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201"/>
      <c r="K863" s="32"/>
      <c r="L863" s="32"/>
      <c r="M863" s="156"/>
      <c r="N863" s="32"/>
      <c r="O863" s="32"/>
      <c r="P863" s="32"/>
      <c r="Q863" s="134"/>
      <c r="R863" s="32"/>
      <c r="S863" s="135"/>
      <c r="T863" s="131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32"/>
      <c r="AF863" s="27"/>
      <c r="AG863" s="85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201"/>
      <c r="K864" s="32"/>
      <c r="L864" s="32"/>
      <c r="M864" s="156"/>
      <c r="N864" s="32"/>
      <c r="O864" s="32"/>
      <c r="P864" s="32"/>
      <c r="Q864" s="134"/>
      <c r="R864" s="32"/>
      <c r="S864" s="135"/>
      <c r="T864" s="131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32"/>
      <c r="AF864" s="27"/>
      <c r="AG864" s="85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201"/>
      <c r="K865" s="32"/>
      <c r="L865" s="32"/>
      <c r="M865" s="156"/>
      <c r="N865" s="32"/>
      <c r="O865" s="32"/>
      <c r="P865" s="32"/>
      <c r="Q865" s="134"/>
      <c r="R865" s="32"/>
      <c r="S865" s="135"/>
      <c r="T865" s="131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32"/>
      <c r="AF865" s="27"/>
      <c r="AG865" s="85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201"/>
      <c r="K866" s="32"/>
      <c r="L866" s="32"/>
      <c r="M866" s="156"/>
      <c r="N866" s="32"/>
      <c r="O866" s="32"/>
      <c r="P866" s="32"/>
      <c r="Q866" s="134"/>
      <c r="R866" s="32"/>
      <c r="S866" s="135"/>
      <c r="T866" s="131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32"/>
      <c r="AF866" s="27"/>
      <c r="AG866" s="85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201"/>
      <c r="K867" s="32"/>
      <c r="L867" s="32"/>
      <c r="M867" s="156"/>
      <c r="N867" s="32"/>
      <c r="O867" s="32"/>
      <c r="P867" s="32"/>
      <c r="Q867" s="134"/>
      <c r="R867" s="32"/>
      <c r="S867" s="135"/>
      <c r="T867" s="131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32"/>
      <c r="AF867" s="27"/>
      <c r="AG867" s="85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201"/>
      <c r="K868" s="32"/>
      <c r="L868" s="32"/>
      <c r="M868" s="156"/>
      <c r="N868" s="32"/>
      <c r="O868" s="32"/>
      <c r="P868" s="32"/>
      <c r="Q868" s="134"/>
      <c r="R868" s="32"/>
      <c r="S868" s="135"/>
      <c r="T868" s="131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32"/>
      <c r="AF868" s="27"/>
      <c r="AG868" s="85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201"/>
      <c r="K869" s="32"/>
      <c r="L869" s="32"/>
      <c r="M869" s="156"/>
      <c r="N869" s="32"/>
      <c r="O869" s="32"/>
      <c r="P869" s="32"/>
      <c r="Q869" s="134"/>
      <c r="R869" s="32"/>
      <c r="S869" s="135"/>
      <c r="T869" s="131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32"/>
      <c r="AF869" s="27"/>
      <c r="AG869" s="85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201"/>
      <c r="K870" s="32"/>
      <c r="L870" s="32"/>
      <c r="M870" s="156"/>
      <c r="N870" s="32"/>
      <c r="O870" s="32"/>
      <c r="P870" s="32"/>
      <c r="Q870" s="134"/>
      <c r="R870" s="32"/>
      <c r="S870" s="135"/>
      <c r="T870" s="131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32"/>
      <c r="AF870" s="27"/>
      <c r="AG870" s="85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201"/>
      <c r="K871" s="32"/>
      <c r="L871" s="32"/>
      <c r="M871" s="156"/>
      <c r="N871" s="32"/>
      <c r="O871" s="32"/>
      <c r="P871" s="32"/>
      <c r="Q871" s="134"/>
      <c r="R871" s="32"/>
      <c r="S871" s="135"/>
      <c r="T871" s="131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32"/>
      <c r="AF871" s="27"/>
      <c r="AG871" s="85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201"/>
      <c r="K872" s="32"/>
      <c r="L872" s="32"/>
      <c r="M872" s="156"/>
      <c r="N872" s="32"/>
      <c r="O872" s="32"/>
      <c r="P872" s="32"/>
      <c r="Q872" s="134"/>
      <c r="R872" s="32"/>
      <c r="S872" s="135"/>
      <c r="T872" s="131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32"/>
      <c r="AF872" s="27"/>
      <c r="AG872" s="85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201"/>
      <c r="K873" s="32"/>
      <c r="L873" s="32"/>
      <c r="M873" s="156"/>
      <c r="N873" s="32"/>
      <c r="O873" s="32"/>
      <c r="P873" s="32"/>
      <c r="Q873" s="134"/>
      <c r="R873" s="32"/>
      <c r="S873" s="135"/>
      <c r="T873" s="131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32"/>
      <c r="AF873" s="27"/>
      <c r="AG873" s="85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201"/>
      <c r="K874" s="32"/>
      <c r="L874" s="32"/>
      <c r="M874" s="156"/>
      <c r="N874" s="32"/>
      <c r="O874" s="32"/>
      <c r="P874" s="32"/>
      <c r="Q874" s="134"/>
      <c r="R874" s="32"/>
      <c r="S874" s="135"/>
      <c r="T874" s="131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32"/>
      <c r="AF874" s="27"/>
      <c r="AG874" s="85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201"/>
      <c r="K875" s="32"/>
      <c r="L875" s="32"/>
      <c r="M875" s="156"/>
      <c r="N875" s="32"/>
      <c r="O875" s="32"/>
      <c r="P875" s="32"/>
      <c r="Q875" s="134"/>
      <c r="R875" s="32"/>
      <c r="S875" s="135"/>
      <c r="T875" s="131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32"/>
      <c r="AF875" s="27"/>
      <c r="AG875" s="85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201"/>
      <c r="K876" s="32"/>
      <c r="L876" s="32"/>
      <c r="M876" s="156"/>
      <c r="N876" s="32"/>
      <c r="O876" s="32"/>
      <c r="P876" s="32"/>
      <c r="Q876" s="134"/>
      <c r="R876" s="32"/>
      <c r="S876" s="135"/>
      <c r="T876" s="131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32"/>
      <c r="AF876" s="27"/>
      <c r="AG876" s="85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201"/>
      <c r="K877" s="32"/>
      <c r="L877" s="32"/>
      <c r="M877" s="156"/>
      <c r="N877" s="32"/>
      <c r="O877" s="32"/>
      <c r="P877" s="32"/>
      <c r="Q877" s="134"/>
      <c r="R877" s="32"/>
      <c r="S877" s="135"/>
      <c r="T877" s="131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32"/>
      <c r="AF877" s="27"/>
      <c r="AG877" s="85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201"/>
      <c r="K878" s="32"/>
      <c r="L878" s="32"/>
      <c r="M878" s="156"/>
      <c r="N878" s="32"/>
      <c r="O878" s="32"/>
      <c r="P878" s="32"/>
      <c r="Q878" s="134"/>
      <c r="R878" s="32"/>
      <c r="S878" s="135"/>
      <c r="T878" s="131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32"/>
      <c r="AF878" s="27"/>
      <c r="AG878" s="85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201"/>
      <c r="K879" s="32"/>
      <c r="L879" s="32"/>
      <c r="M879" s="156"/>
      <c r="N879" s="32"/>
      <c r="O879" s="32"/>
      <c r="P879" s="32"/>
      <c r="Q879" s="134"/>
      <c r="R879" s="32"/>
      <c r="S879" s="135"/>
      <c r="T879" s="131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32"/>
      <c r="AF879" s="27"/>
      <c r="AG879" s="85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201"/>
      <c r="K880" s="32"/>
      <c r="L880" s="32"/>
      <c r="M880" s="156"/>
      <c r="N880" s="32"/>
      <c r="O880" s="32"/>
      <c r="P880" s="32"/>
      <c r="Q880" s="134"/>
      <c r="R880" s="32"/>
      <c r="S880" s="135"/>
      <c r="T880" s="131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32"/>
      <c r="AF880" s="27"/>
      <c r="AG880" s="85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201"/>
      <c r="K881" s="32"/>
      <c r="L881" s="32"/>
      <c r="M881" s="156"/>
      <c r="N881" s="32"/>
      <c r="O881" s="32"/>
      <c r="P881" s="32"/>
      <c r="Q881" s="134"/>
      <c r="R881" s="32"/>
      <c r="S881" s="135"/>
      <c r="T881" s="131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32"/>
      <c r="AF881" s="27"/>
      <c r="AG881" s="85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201"/>
      <c r="K882" s="32"/>
      <c r="L882" s="32"/>
      <c r="M882" s="156"/>
      <c r="N882" s="32"/>
      <c r="O882" s="32"/>
      <c r="P882" s="32"/>
      <c r="Q882" s="134"/>
      <c r="R882" s="32"/>
      <c r="S882" s="135"/>
      <c r="T882" s="131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32"/>
      <c r="AF882" s="27"/>
      <c r="AG882" s="85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201"/>
      <c r="K883" s="32"/>
      <c r="L883" s="32"/>
      <c r="M883" s="156"/>
      <c r="N883" s="32"/>
      <c r="O883" s="32"/>
      <c r="P883" s="32"/>
      <c r="Q883" s="134"/>
      <c r="R883" s="32"/>
      <c r="S883" s="135"/>
      <c r="T883" s="131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32"/>
      <c r="AF883" s="27"/>
      <c r="AG883" s="85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201"/>
      <c r="K884" s="32"/>
      <c r="L884" s="32"/>
      <c r="M884" s="156"/>
      <c r="N884" s="32"/>
      <c r="O884" s="32"/>
      <c r="P884" s="32"/>
      <c r="Q884" s="134"/>
      <c r="R884" s="32"/>
      <c r="S884" s="135"/>
      <c r="T884" s="131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32"/>
      <c r="AF884" s="27"/>
      <c r="AG884" s="85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201"/>
      <c r="K885" s="32"/>
      <c r="L885" s="32"/>
      <c r="M885" s="156"/>
      <c r="N885" s="32"/>
      <c r="O885" s="32"/>
      <c r="P885" s="32"/>
      <c r="Q885" s="134"/>
      <c r="R885" s="32"/>
      <c r="S885" s="135"/>
      <c r="T885" s="131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32"/>
      <c r="AF885" s="27"/>
      <c r="AG885" s="85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201"/>
      <c r="K886" s="32"/>
      <c r="L886" s="32"/>
      <c r="M886" s="156"/>
      <c r="N886" s="32"/>
      <c r="O886" s="32"/>
      <c r="P886" s="32"/>
      <c r="Q886" s="134"/>
      <c r="R886" s="32"/>
      <c r="S886" s="135"/>
      <c r="T886" s="131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32"/>
      <c r="AF886" s="27"/>
      <c r="AG886" s="85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201"/>
      <c r="K887" s="32"/>
      <c r="L887" s="32"/>
      <c r="M887" s="156"/>
      <c r="N887" s="32"/>
      <c r="O887" s="32"/>
      <c r="P887" s="32"/>
      <c r="Q887" s="134"/>
      <c r="R887" s="32"/>
      <c r="S887" s="135"/>
      <c r="T887" s="131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32"/>
      <c r="AF887" s="27"/>
      <c r="AG887" s="85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201"/>
      <c r="K888" s="32"/>
      <c r="L888" s="32"/>
      <c r="M888" s="156"/>
      <c r="N888" s="32"/>
      <c r="O888" s="32"/>
      <c r="P888" s="32"/>
      <c r="Q888" s="134"/>
      <c r="R888" s="32"/>
      <c r="S888" s="135"/>
      <c r="T888" s="131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32"/>
      <c r="AF888" s="27"/>
      <c r="AG888" s="85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201"/>
      <c r="K889" s="32"/>
      <c r="L889" s="32"/>
      <c r="M889" s="156"/>
      <c r="N889" s="32"/>
      <c r="O889" s="32"/>
      <c r="P889" s="32"/>
      <c r="Q889" s="134"/>
      <c r="R889" s="32"/>
      <c r="S889" s="135"/>
      <c r="T889" s="131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32"/>
      <c r="AF889" s="27"/>
      <c r="AG889" s="85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201"/>
      <c r="K890" s="32"/>
      <c r="L890" s="32"/>
      <c r="M890" s="156"/>
      <c r="N890" s="32"/>
      <c r="O890" s="32"/>
      <c r="P890" s="32"/>
      <c r="Q890" s="134"/>
      <c r="R890" s="32"/>
      <c r="S890" s="135"/>
      <c r="T890" s="131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32"/>
      <c r="AF890" s="27"/>
      <c r="AG890" s="85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201"/>
      <c r="K891" s="32"/>
      <c r="L891" s="32"/>
      <c r="M891" s="156"/>
      <c r="N891" s="32"/>
      <c r="O891" s="32"/>
      <c r="P891" s="32"/>
      <c r="Q891" s="134"/>
      <c r="R891" s="32"/>
      <c r="S891" s="135"/>
      <c r="T891" s="131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32"/>
      <c r="AF891" s="27"/>
      <c r="AG891" s="85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201"/>
      <c r="K892" s="32"/>
      <c r="L892" s="32"/>
      <c r="M892" s="156"/>
      <c r="N892" s="32"/>
      <c r="O892" s="32"/>
      <c r="P892" s="32"/>
      <c r="Q892" s="134"/>
      <c r="R892" s="32"/>
      <c r="S892" s="135"/>
      <c r="T892" s="131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32"/>
      <c r="AF892" s="27"/>
      <c r="AG892" s="85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201"/>
      <c r="K893" s="32"/>
      <c r="L893" s="32"/>
      <c r="M893" s="156"/>
      <c r="N893" s="32"/>
      <c r="O893" s="32"/>
      <c r="P893" s="32"/>
      <c r="Q893" s="134"/>
      <c r="R893" s="32"/>
      <c r="S893" s="135"/>
      <c r="T893" s="131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32"/>
      <c r="AF893" s="27"/>
      <c r="AG893" s="85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201"/>
      <c r="K894" s="32"/>
      <c r="L894" s="32"/>
      <c r="M894" s="156"/>
      <c r="N894" s="32"/>
      <c r="O894" s="32"/>
      <c r="P894" s="32"/>
      <c r="Q894" s="134"/>
      <c r="R894" s="32"/>
      <c r="S894" s="135"/>
      <c r="T894" s="131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32"/>
      <c r="AF894" s="27"/>
      <c r="AG894" s="85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201"/>
      <c r="K895" s="32"/>
      <c r="L895" s="32"/>
      <c r="M895" s="156"/>
      <c r="N895" s="32"/>
      <c r="O895" s="32"/>
      <c r="P895" s="32"/>
      <c r="Q895" s="134"/>
      <c r="R895" s="32"/>
      <c r="S895" s="135"/>
      <c r="T895" s="131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32"/>
      <c r="AF895" s="27"/>
      <c r="AG895" s="85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201"/>
      <c r="K896" s="32"/>
      <c r="L896" s="32"/>
      <c r="M896" s="156"/>
      <c r="N896" s="32"/>
      <c r="O896" s="32"/>
      <c r="P896" s="32"/>
      <c r="Q896" s="134"/>
      <c r="R896" s="32"/>
      <c r="S896" s="135"/>
      <c r="T896" s="131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32"/>
      <c r="AF896" s="27"/>
      <c r="AG896" s="85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201"/>
      <c r="K897" s="32"/>
      <c r="L897" s="32"/>
      <c r="M897" s="156"/>
      <c r="N897" s="32"/>
      <c r="O897" s="32"/>
      <c r="P897" s="32"/>
      <c r="Q897" s="134"/>
      <c r="R897" s="32"/>
      <c r="S897" s="135"/>
      <c r="T897" s="131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32"/>
      <c r="AF897" s="27"/>
      <c r="AG897" s="85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201"/>
      <c r="K898" s="32"/>
      <c r="L898" s="32"/>
      <c r="M898" s="156"/>
      <c r="N898" s="32"/>
      <c r="O898" s="32"/>
      <c r="P898" s="32"/>
      <c r="Q898" s="134"/>
      <c r="R898" s="32"/>
      <c r="S898" s="135"/>
      <c r="T898" s="131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32"/>
      <c r="AF898" s="27"/>
      <c r="AG898" s="85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201"/>
      <c r="K899" s="32"/>
      <c r="L899" s="32"/>
      <c r="M899" s="156"/>
      <c r="N899" s="32"/>
      <c r="O899" s="32"/>
      <c r="P899" s="32"/>
      <c r="Q899" s="134"/>
      <c r="R899" s="32"/>
      <c r="S899" s="135"/>
      <c r="T899" s="131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32"/>
      <c r="AF899" s="27"/>
      <c r="AG899" s="85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201"/>
      <c r="K900" s="32"/>
      <c r="L900" s="32"/>
      <c r="M900" s="156"/>
      <c r="N900" s="32"/>
      <c r="O900" s="32"/>
      <c r="P900" s="32"/>
      <c r="Q900" s="134"/>
      <c r="R900" s="32"/>
      <c r="S900" s="135"/>
      <c r="T900" s="131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32"/>
      <c r="AF900" s="27"/>
      <c r="AG900" s="85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201"/>
      <c r="K901" s="32"/>
      <c r="L901" s="32"/>
      <c r="M901" s="156"/>
      <c r="N901" s="32"/>
      <c r="O901" s="32"/>
      <c r="P901" s="32"/>
      <c r="Q901" s="134"/>
      <c r="R901" s="32"/>
      <c r="S901" s="135"/>
      <c r="T901" s="131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32"/>
      <c r="AF901" s="27"/>
      <c r="AG901" s="85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201"/>
      <c r="K902" s="32"/>
      <c r="L902" s="32"/>
      <c r="M902" s="156"/>
      <c r="N902" s="32"/>
      <c r="O902" s="32"/>
      <c r="P902" s="32"/>
      <c r="Q902" s="134"/>
      <c r="R902" s="32"/>
      <c r="S902" s="135"/>
      <c r="T902" s="131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32"/>
      <c r="AF902" s="27"/>
      <c r="AG902" s="85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201"/>
      <c r="K903" s="32"/>
      <c r="L903" s="32"/>
      <c r="M903" s="156"/>
      <c r="N903" s="32"/>
      <c r="O903" s="32"/>
      <c r="P903" s="32"/>
      <c r="Q903" s="134"/>
      <c r="R903" s="32"/>
      <c r="S903" s="135"/>
      <c r="T903" s="131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32"/>
      <c r="AF903" s="27"/>
      <c r="AG903" s="85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201"/>
      <c r="K904" s="32"/>
      <c r="L904" s="32"/>
      <c r="M904" s="156"/>
      <c r="N904" s="32"/>
      <c r="O904" s="32"/>
      <c r="P904" s="32"/>
      <c r="Q904" s="134"/>
      <c r="R904" s="32"/>
      <c r="S904" s="135"/>
      <c r="T904" s="131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32"/>
      <c r="AF904" s="27"/>
      <c r="AG904" s="85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201"/>
      <c r="K905" s="32"/>
      <c r="L905" s="32"/>
      <c r="M905" s="156"/>
      <c r="N905" s="32"/>
      <c r="O905" s="32"/>
      <c r="P905" s="32"/>
      <c r="Q905" s="134"/>
      <c r="R905" s="32"/>
      <c r="S905" s="135"/>
      <c r="T905" s="131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32"/>
      <c r="AF905" s="27"/>
      <c r="AG905" s="85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201"/>
      <c r="K906" s="32"/>
      <c r="L906" s="32"/>
      <c r="M906" s="156"/>
      <c r="N906" s="32"/>
      <c r="O906" s="32"/>
      <c r="P906" s="32"/>
      <c r="Q906" s="134"/>
      <c r="R906" s="32"/>
      <c r="S906" s="135"/>
      <c r="T906" s="131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32"/>
      <c r="AF906" s="27"/>
      <c r="AG906" s="85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201"/>
      <c r="K907" s="32"/>
      <c r="L907" s="32"/>
      <c r="M907" s="156"/>
      <c r="N907" s="32"/>
      <c r="O907" s="32"/>
      <c r="P907" s="32"/>
      <c r="Q907" s="134"/>
      <c r="R907" s="32"/>
      <c r="S907" s="135"/>
      <c r="T907" s="131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32"/>
      <c r="AF907" s="27"/>
      <c r="AG907" s="85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201"/>
      <c r="K908" s="32"/>
      <c r="L908" s="32"/>
      <c r="M908" s="156"/>
      <c r="N908" s="32"/>
      <c r="O908" s="32"/>
      <c r="P908" s="32"/>
      <c r="Q908" s="134"/>
      <c r="R908" s="32"/>
      <c r="S908" s="135"/>
      <c r="T908" s="131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32"/>
      <c r="AF908" s="27"/>
      <c r="AG908" s="85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201"/>
      <c r="K909" s="32"/>
      <c r="L909" s="32"/>
      <c r="M909" s="156"/>
      <c r="N909" s="32"/>
      <c r="O909" s="32"/>
      <c r="P909" s="32"/>
      <c r="Q909" s="134"/>
      <c r="R909" s="32"/>
      <c r="S909" s="135"/>
      <c r="T909" s="131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32"/>
      <c r="AF909" s="27"/>
      <c r="AG909" s="85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201"/>
      <c r="K910" s="32"/>
      <c r="L910" s="32"/>
      <c r="M910" s="156"/>
      <c r="N910" s="32"/>
      <c r="O910" s="32"/>
      <c r="P910" s="32"/>
      <c r="Q910" s="134"/>
      <c r="R910" s="32"/>
      <c r="S910" s="135"/>
      <c r="T910" s="131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32"/>
      <c r="AF910" s="27"/>
      <c r="AG910" s="85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201"/>
      <c r="K911" s="32"/>
      <c r="L911" s="32"/>
      <c r="M911" s="156"/>
      <c r="N911" s="32"/>
      <c r="O911" s="32"/>
      <c r="P911" s="32"/>
      <c r="Q911" s="134"/>
      <c r="R911" s="32"/>
      <c r="S911" s="135"/>
      <c r="T911" s="131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32"/>
      <c r="AF911" s="27"/>
      <c r="AG911" s="85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201"/>
      <c r="K912" s="32"/>
      <c r="L912" s="32"/>
      <c r="M912" s="156"/>
      <c r="N912" s="32"/>
      <c r="O912" s="32"/>
      <c r="P912" s="32"/>
      <c r="Q912" s="134"/>
      <c r="R912" s="32"/>
      <c r="S912" s="135"/>
      <c r="T912" s="131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32"/>
      <c r="AF912" s="27"/>
      <c r="AG912" s="85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201"/>
      <c r="K913" s="32"/>
      <c r="L913" s="32"/>
      <c r="M913" s="156"/>
      <c r="N913" s="32"/>
      <c r="O913" s="32"/>
      <c r="P913" s="32"/>
      <c r="Q913" s="134"/>
      <c r="R913" s="32"/>
      <c r="S913" s="135"/>
      <c r="T913" s="131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32"/>
      <c r="AF913" s="27"/>
      <c r="AG913" s="85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201"/>
      <c r="K914" s="32"/>
      <c r="L914" s="32"/>
      <c r="M914" s="156"/>
      <c r="N914" s="32"/>
      <c r="O914" s="32"/>
      <c r="P914" s="32"/>
      <c r="Q914" s="134"/>
      <c r="R914" s="32"/>
      <c r="S914" s="135"/>
      <c r="T914" s="131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32"/>
      <c r="AF914" s="27"/>
      <c r="AG914" s="85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201"/>
      <c r="K915" s="32"/>
      <c r="L915" s="32"/>
      <c r="M915" s="156"/>
      <c r="N915" s="32"/>
      <c r="O915" s="32"/>
      <c r="P915" s="32"/>
      <c r="Q915" s="134"/>
      <c r="R915" s="32"/>
      <c r="S915" s="135"/>
      <c r="T915" s="131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32"/>
      <c r="AF915" s="27"/>
      <c r="AG915" s="85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201"/>
      <c r="K916" s="32"/>
      <c r="L916" s="32"/>
      <c r="M916" s="156"/>
      <c r="N916" s="32"/>
      <c r="O916" s="32"/>
      <c r="P916" s="32"/>
      <c r="Q916" s="134"/>
      <c r="R916" s="32"/>
      <c r="S916" s="135"/>
      <c r="T916" s="131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32"/>
      <c r="AF916" s="27"/>
      <c r="AG916" s="85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201"/>
      <c r="K917" s="32"/>
      <c r="L917" s="32"/>
      <c r="M917" s="156"/>
      <c r="N917" s="32"/>
      <c r="O917" s="32"/>
      <c r="P917" s="32"/>
      <c r="Q917" s="134"/>
      <c r="R917" s="32"/>
      <c r="S917" s="135"/>
      <c r="T917" s="131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32"/>
      <c r="AF917" s="27"/>
      <c r="AG917" s="85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201"/>
      <c r="K918" s="32"/>
      <c r="L918" s="32"/>
      <c r="M918" s="156"/>
      <c r="N918" s="32"/>
      <c r="O918" s="32"/>
      <c r="P918" s="32"/>
      <c r="Q918" s="134"/>
      <c r="R918" s="32"/>
      <c r="S918" s="135"/>
      <c r="T918" s="131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32"/>
      <c r="AF918" s="27"/>
      <c r="AG918" s="85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201"/>
      <c r="K919" s="32"/>
      <c r="L919" s="32"/>
      <c r="M919" s="156"/>
      <c r="N919" s="32"/>
      <c r="O919" s="32"/>
      <c r="P919" s="32"/>
      <c r="Q919" s="134"/>
      <c r="R919" s="32"/>
      <c r="S919" s="135"/>
      <c r="T919" s="131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32"/>
      <c r="AF919" s="27"/>
      <c r="AG919" s="85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201"/>
      <c r="K920" s="32"/>
      <c r="L920" s="32"/>
      <c r="M920" s="156"/>
      <c r="N920" s="32"/>
      <c r="O920" s="32"/>
      <c r="P920" s="32"/>
      <c r="Q920" s="134"/>
      <c r="R920" s="32"/>
      <c r="S920" s="135"/>
      <c r="T920" s="131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32"/>
      <c r="AF920" s="27"/>
      <c r="AG920" s="85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201"/>
      <c r="K921" s="32"/>
      <c r="L921" s="32"/>
      <c r="M921" s="156"/>
      <c r="N921" s="32"/>
      <c r="O921" s="32"/>
      <c r="P921" s="32"/>
      <c r="Q921" s="134"/>
      <c r="R921" s="32"/>
      <c r="S921" s="135"/>
      <c r="T921" s="131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32"/>
      <c r="AF921" s="27"/>
      <c r="AG921" s="85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201"/>
      <c r="K922" s="32"/>
      <c r="L922" s="32"/>
      <c r="M922" s="156"/>
      <c r="N922" s="32"/>
      <c r="O922" s="32"/>
      <c r="P922" s="32"/>
      <c r="Q922" s="134"/>
      <c r="R922" s="32"/>
      <c r="S922" s="135"/>
      <c r="T922" s="131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32"/>
      <c r="AF922" s="27"/>
      <c r="AG922" s="85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201"/>
      <c r="K923" s="32"/>
      <c r="L923" s="32"/>
      <c r="M923" s="156"/>
      <c r="N923" s="32"/>
      <c r="O923" s="32"/>
      <c r="P923" s="32"/>
      <c r="Q923" s="134"/>
      <c r="R923" s="32"/>
      <c r="S923" s="135"/>
      <c r="T923" s="131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32"/>
      <c r="AF923" s="27"/>
      <c r="AG923" s="85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201"/>
      <c r="K924" s="32"/>
      <c r="L924" s="32"/>
      <c r="M924" s="156"/>
      <c r="N924" s="32"/>
      <c r="O924" s="32"/>
      <c r="P924" s="32"/>
      <c r="Q924" s="134"/>
      <c r="R924" s="32"/>
      <c r="S924" s="135"/>
      <c r="T924" s="131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32"/>
      <c r="AF924" s="27"/>
      <c r="AG924" s="85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201"/>
      <c r="K925" s="32"/>
      <c r="L925" s="32"/>
      <c r="M925" s="156"/>
      <c r="N925" s="32"/>
      <c r="O925" s="32"/>
      <c r="P925" s="32"/>
      <c r="Q925" s="134"/>
      <c r="R925" s="32"/>
      <c r="S925" s="135"/>
      <c r="T925" s="131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32"/>
      <c r="AF925" s="27"/>
      <c r="AG925" s="85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201"/>
      <c r="K926" s="32"/>
      <c r="L926" s="32"/>
      <c r="M926" s="156"/>
      <c r="N926" s="32"/>
      <c r="O926" s="32"/>
      <c r="P926" s="32"/>
      <c r="Q926" s="134"/>
      <c r="R926" s="32"/>
      <c r="S926" s="135"/>
      <c r="T926" s="131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32"/>
      <c r="AF926" s="27"/>
      <c r="AG926" s="85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201"/>
      <c r="K927" s="32"/>
      <c r="L927" s="32"/>
      <c r="M927" s="156"/>
      <c r="N927" s="32"/>
      <c r="O927" s="32"/>
      <c r="P927" s="32"/>
      <c r="Q927" s="134"/>
      <c r="R927" s="32"/>
      <c r="S927" s="135"/>
      <c r="T927" s="131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32"/>
      <c r="AF927" s="27"/>
      <c r="AG927" s="85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201"/>
      <c r="K928" s="32"/>
      <c r="L928" s="32"/>
      <c r="M928" s="156"/>
      <c r="N928" s="32"/>
      <c r="O928" s="32"/>
      <c r="P928" s="32"/>
      <c r="Q928" s="134"/>
      <c r="R928" s="32"/>
      <c r="S928" s="135"/>
      <c r="T928" s="131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32"/>
      <c r="AF928" s="27"/>
      <c r="AG928" s="85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201"/>
      <c r="K929" s="32"/>
      <c r="L929" s="32"/>
      <c r="M929" s="156"/>
      <c r="N929" s="32"/>
      <c r="O929" s="32"/>
      <c r="P929" s="32"/>
      <c r="Q929" s="134"/>
      <c r="R929" s="32"/>
      <c r="S929" s="135"/>
      <c r="T929" s="131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32"/>
      <c r="AF929" s="27"/>
      <c r="AG929" s="85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201"/>
      <c r="K930" s="32"/>
      <c r="L930" s="32"/>
      <c r="M930" s="156"/>
      <c r="N930" s="32"/>
      <c r="O930" s="32"/>
      <c r="P930" s="32"/>
      <c r="Q930" s="134"/>
      <c r="R930" s="32"/>
      <c r="S930" s="135"/>
      <c r="T930" s="131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32"/>
      <c r="AF930" s="27"/>
      <c r="AG930" s="85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201"/>
      <c r="K931" s="32"/>
      <c r="L931" s="32"/>
      <c r="M931" s="156"/>
      <c r="N931" s="32"/>
      <c r="O931" s="32"/>
      <c r="P931" s="32"/>
      <c r="Q931" s="134"/>
      <c r="R931" s="32"/>
      <c r="S931" s="135"/>
      <c r="T931" s="131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32"/>
      <c r="AF931" s="27"/>
      <c r="AG931" s="85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201"/>
      <c r="K932" s="32"/>
      <c r="L932" s="32"/>
      <c r="M932" s="156"/>
      <c r="N932" s="32"/>
      <c r="O932" s="32"/>
      <c r="P932" s="32"/>
      <c r="Q932" s="134"/>
      <c r="R932" s="32"/>
      <c r="S932" s="135"/>
      <c r="T932" s="131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32"/>
      <c r="AF932" s="27"/>
      <c r="AG932" s="85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201"/>
      <c r="K933" s="32"/>
      <c r="L933" s="32"/>
      <c r="M933" s="156"/>
      <c r="N933" s="32"/>
      <c r="O933" s="32"/>
      <c r="P933" s="32"/>
      <c r="Q933" s="134"/>
      <c r="R933" s="32"/>
      <c r="S933" s="135"/>
      <c r="T933" s="131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32"/>
      <c r="AF933" s="27"/>
      <c r="AG933" s="85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201"/>
      <c r="K934" s="32"/>
      <c r="L934" s="32"/>
      <c r="M934" s="156"/>
      <c r="N934" s="32"/>
      <c r="O934" s="32"/>
      <c r="P934" s="32"/>
      <c r="Q934" s="134"/>
      <c r="R934" s="32"/>
      <c r="S934" s="135"/>
      <c r="T934" s="131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32"/>
      <c r="AF934" s="27"/>
      <c r="AG934" s="85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201"/>
      <c r="K935" s="32"/>
      <c r="L935" s="32"/>
      <c r="M935" s="156"/>
      <c r="N935" s="32"/>
      <c r="O935" s="32"/>
      <c r="P935" s="32"/>
      <c r="Q935" s="134"/>
      <c r="R935" s="32"/>
      <c r="S935" s="135"/>
      <c r="T935" s="131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32"/>
      <c r="AF935" s="27"/>
      <c r="AG935" s="85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201"/>
      <c r="K936" s="32"/>
      <c r="L936" s="32"/>
      <c r="M936" s="156"/>
      <c r="N936" s="32"/>
      <c r="O936" s="32"/>
      <c r="P936" s="32"/>
      <c r="Q936" s="134"/>
      <c r="R936" s="32"/>
      <c r="S936" s="135"/>
      <c r="T936" s="131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32"/>
      <c r="AF936" s="27"/>
      <c r="AG936" s="85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201"/>
      <c r="K937" s="32"/>
      <c r="L937" s="32"/>
      <c r="M937" s="156"/>
      <c r="N937" s="32"/>
      <c r="O937" s="32"/>
      <c r="P937" s="32"/>
      <c r="Q937" s="134"/>
      <c r="R937" s="32"/>
      <c r="S937" s="135"/>
      <c r="T937" s="131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32"/>
      <c r="AF937" s="27"/>
      <c r="AG937" s="85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201"/>
      <c r="K938" s="32"/>
      <c r="L938" s="32"/>
      <c r="M938" s="156"/>
      <c r="N938" s="32"/>
      <c r="O938" s="32"/>
      <c r="P938" s="32"/>
      <c r="Q938" s="134"/>
      <c r="R938" s="32"/>
      <c r="S938" s="135"/>
      <c r="T938" s="131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32"/>
      <c r="AF938" s="27"/>
      <c r="AG938" s="85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201"/>
      <c r="K939" s="32"/>
      <c r="L939" s="32"/>
      <c r="M939" s="156"/>
      <c r="N939" s="32"/>
      <c r="O939" s="32"/>
      <c r="P939" s="32"/>
      <c r="Q939" s="134"/>
      <c r="R939" s="32"/>
      <c r="S939" s="135"/>
      <c r="T939" s="131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32"/>
      <c r="AF939" s="27"/>
      <c r="AG939" s="85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201"/>
      <c r="K940" s="32"/>
      <c r="L940" s="32"/>
      <c r="M940" s="156"/>
      <c r="N940" s="32"/>
      <c r="O940" s="32"/>
      <c r="P940" s="32"/>
      <c r="Q940" s="134"/>
      <c r="R940" s="32"/>
      <c r="S940" s="135"/>
      <c r="T940" s="131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32"/>
      <c r="AF940" s="27"/>
      <c r="AG940" s="85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201"/>
      <c r="K941" s="32"/>
      <c r="L941" s="32"/>
      <c r="M941" s="156"/>
      <c r="N941" s="32"/>
      <c r="O941" s="32"/>
      <c r="P941" s="32"/>
      <c r="Q941" s="134"/>
      <c r="R941" s="32"/>
      <c r="S941" s="135"/>
      <c r="T941" s="131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32"/>
      <c r="AF941" s="27"/>
      <c r="AG941" s="85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201"/>
      <c r="K942" s="32"/>
      <c r="L942" s="32"/>
      <c r="M942" s="156"/>
      <c r="N942" s="32"/>
      <c r="O942" s="32"/>
      <c r="P942" s="32"/>
      <c r="Q942" s="134"/>
      <c r="R942" s="32"/>
      <c r="S942" s="135"/>
      <c r="T942" s="131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32"/>
      <c r="AF942" s="27"/>
      <c r="AG942" s="85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201"/>
      <c r="K943" s="32"/>
      <c r="L943" s="32"/>
      <c r="M943" s="156"/>
      <c r="N943" s="32"/>
      <c r="O943" s="32"/>
      <c r="P943" s="32"/>
      <c r="Q943" s="134"/>
      <c r="R943" s="32"/>
      <c r="S943" s="135"/>
      <c r="T943" s="131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32"/>
      <c r="AF943" s="27"/>
      <c r="AG943" s="85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201"/>
      <c r="K944" s="32"/>
      <c r="L944" s="32"/>
      <c r="M944" s="156"/>
      <c r="N944" s="32"/>
      <c r="O944" s="32"/>
      <c r="P944" s="32"/>
      <c r="Q944" s="134"/>
      <c r="R944" s="32"/>
      <c r="S944" s="135"/>
      <c r="T944" s="131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32"/>
      <c r="AF944" s="27"/>
      <c r="AG944" s="85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201"/>
      <c r="K945" s="32"/>
      <c r="L945" s="32"/>
      <c r="M945" s="156"/>
      <c r="N945" s="32"/>
      <c r="O945" s="32"/>
      <c r="P945" s="32"/>
      <c r="Q945" s="134"/>
      <c r="R945" s="32"/>
      <c r="S945" s="135"/>
      <c r="T945" s="131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32"/>
      <c r="AF945" s="27"/>
      <c r="AG945" s="85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201"/>
      <c r="K946" s="32"/>
      <c r="L946" s="32"/>
      <c r="M946" s="156"/>
      <c r="N946" s="32"/>
      <c r="O946" s="32"/>
      <c r="P946" s="32"/>
      <c r="Q946" s="134"/>
      <c r="R946" s="32"/>
      <c r="S946" s="135"/>
      <c r="T946" s="131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32"/>
      <c r="AF946" s="27"/>
      <c r="AG946" s="85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201"/>
      <c r="K947" s="32"/>
      <c r="L947" s="32"/>
      <c r="M947" s="156"/>
      <c r="N947" s="32"/>
      <c r="O947" s="32"/>
      <c r="P947" s="32"/>
      <c r="Q947" s="134"/>
      <c r="R947" s="32"/>
      <c r="S947" s="135"/>
      <c r="T947" s="131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32"/>
      <c r="AF947" s="27"/>
      <c r="AG947" s="85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201"/>
      <c r="K948" s="32"/>
      <c r="L948" s="32"/>
      <c r="M948" s="156"/>
      <c r="N948" s="32"/>
      <c r="O948" s="32"/>
      <c r="P948" s="32"/>
      <c r="Q948" s="134"/>
      <c r="R948" s="32"/>
      <c r="S948" s="135"/>
      <c r="T948" s="131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32"/>
      <c r="AF948" s="27"/>
      <c r="AG948" s="85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201"/>
      <c r="K949" s="32"/>
      <c r="L949" s="32"/>
      <c r="M949" s="156"/>
      <c r="N949" s="32"/>
      <c r="O949" s="32"/>
      <c r="P949" s="32"/>
      <c r="Q949" s="134"/>
      <c r="R949" s="32"/>
      <c r="S949" s="135"/>
      <c r="T949" s="131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32"/>
      <c r="AF949" s="27"/>
      <c r="AG949" s="85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201"/>
      <c r="K950" s="32"/>
      <c r="L950" s="32"/>
      <c r="M950" s="156"/>
      <c r="N950" s="32"/>
      <c r="O950" s="32"/>
      <c r="P950" s="32"/>
      <c r="Q950" s="134"/>
      <c r="R950" s="32"/>
      <c r="S950" s="135"/>
      <c r="T950" s="131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32"/>
      <c r="AF950" s="27"/>
      <c r="AG950" s="85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201"/>
      <c r="K951" s="32"/>
      <c r="L951" s="32"/>
      <c r="M951" s="156"/>
      <c r="N951" s="32"/>
      <c r="O951" s="32"/>
      <c r="P951" s="32"/>
      <c r="Q951" s="134"/>
      <c r="R951" s="32"/>
      <c r="S951" s="135"/>
      <c r="T951" s="131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32"/>
      <c r="AF951" s="27"/>
      <c r="AG951" s="85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201"/>
      <c r="K952" s="32"/>
      <c r="L952" s="32"/>
      <c r="M952" s="156"/>
      <c r="N952" s="32"/>
      <c r="O952" s="32"/>
      <c r="P952" s="32"/>
      <c r="Q952" s="134"/>
      <c r="R952" s="32"/>
      <c r="S952" s="135"/>
      <c r="T952" s="131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32"/>
      <c r="AF952" s="27"/>
      <c r="AG952" s="85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201"/>
      <c r="K953" s="32"/>
      <c r="L953" s="32"/>
      <c r="M953" s="156"/>
      <c r="N953" s="32"/>
      <c r="O953" s="32"/>
      <c r="P953" s="32"/>
      <c r="Q953" s="134"/>
      <c r="R953" s="32"/>
      <c r="S953" s="135"/>
      <c r="T953" s="131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32"/>
      <c r="AF953" s="27"/>
      <c r="AG953" s="85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201"/>
      <c r="K954" s="32"/>
      <c r="L954" s="32"/>
      <c r="M954" s="156"/>
      <c r="N954" s="32"/>
      <c r="O954" s="32"/>
      <c r="P954" s="32"/>
      <c r="Q954" s="134"/>
      <c r="R954" s="32"/>
      <c r="S954" s="135"/>
      <c r="T954" s="131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32"/>
      <c r="AF954" s="27"/>
      <c r="AG954" s="85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201"/>
      <c r="K955" s="32"/>
      <c r="L955" s="32"/>
      <c r="M955" s="156"/>
      <c r="N955" s="32"/>
      <c r="O955" s="32"/>
      <c r="P955" s="32"/>
      <c r="Q955" s="134"/>
      <c r="R955" s="32"/>
      <c r="S955" s="135"/>
      <c r="T955" s="131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32"/>
      <c r="AF955" s="27"/>
      <c r="AG955" s="85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201"/>
      <c r="K956" s="32"/>
      <c r="L956" s="32"/>
      <c r="M956" s="156"/>
      <c r="N956" s="32"/>
      <c r="O956" s="32"/>
      <c r="P956" s="32"/>
      <c r="Q956" s="134"/>
      <c r="R956" s="32"/>
      <c r="S956" s="135"/>
      <c r="T956" s="131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32"/>
      <c r="AF956" s="27"/>
      <c r="AG956" s="85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201"/>
      <c r="K957" s="32"/>
      <c r="L957" s="32"/>
      <c r="M957" s="156"/>
      <c r="N957" s="32"/>
      <c r="O957" s="32"/>
      <c r="P957" s="32"/>
      <c r="Q957" s="134"/>
      <c r="R957" s="32"/>
      <c r="S957" s="135"/>
      <c r="T957" s="131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32"/>
      <c r="AF957" s="27"/>
      <c r="AG957" s="85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201"/>
      <c r="K958" s="32"/>
      <c r="L958" s="32"/>
      <c r="M958" s="156"/>
      <c r="N958" s="32"/>
      <c r="O958" s="32"/>
      <c r="P958" s="32"/>
      <c r="Q958" s="134"/>
      <c r="R958" s="32"/>
      <c r="S958" s="135"/>
      <c r="T958" s="131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32"/>
      <c r="AF958" s="27"/>
      <c r="AG958" s="85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201"/>
      <c r="K959" s="32"/>
      <c r="L959" s="32"/>
      <c r="M959" s="156"/>
      <c r="N959" s="32"/>
      <c r="O959" s="32"/>
      <c r="P959" s="32"/>
      <c r="Q959" s="134"/>
      <c r="R959" s="32"/>
      <c r="S959" s="135"/>
      <c r="T959" s="131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32"/>
      <c r="AF959" s="27"/>
      <c r="AG959" s="85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201"/>
      <c r="K960" s="32"/>
      <c r="L960" s="32"/>
      <c r="M960" s="156"/>
      <c r="N960" s="32"/>
      <c r="O960" s="32"/>
      <c r="P960" s="32"/>
      <c r="Q960" s="134"/>
      <c r="R960" s="32"/>
      <c r="S960" s="135"/>
      <c r="T960" s="131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32"/>
      <c r="AF960" s="27"/>
      <c r="AG960" s="85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201"/>
      <c r="K961" s="32"/>
      <c r="L961" s="32"/>
      <c r="M961" s="156"/>
      <c r="N961" s="32"/>
      <c r="O961" s="32"/>
      <c r="P961" s="32"/>
      <c r="Q961" s="134"/>
      <c r="R961" s="32"/>
      <c r="S961" s="135"/>
      <c r="T961" s="131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32"/>
      <c r="AF961" s="27"/>
      <c r="AG961" s="85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201"/>
      <c r="K962" s="32"/>
      <c r="L962" s="32"/>
      <c r="M962" s="156"/>
      <c r="N962" s="32"/>
      <c r="O962" s="32"/>
      <c r="P962" s="32"/>
      <c r="Q962" s="134"/>
      <c r="R962" s="32"/>
      <c r="S962" s="135"/>
      <c r="T962" s="131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32"/>
      <c r="AF962" s="27"/>
      <c r="AG962" s="85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201"/>
      <c r="K963" s="32"/>
      <c r="L963" s="32"/>
      <c r="M963" s="156"/>
      <c r="N963" s="32"/>
      <c r="O963" s="32"/>
      <c r="P963" s="32"/>
      <c r="Q963" s="134"/>
      <c r="R963" s="32"/>
      <c r="S963" s="135"/>
      <c r="T963" s="131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32"/>
      <c r="AF963" s="27"/>
      <c r="AG963" s="85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201"/>
      <c r="K964" s="32"/>
      <c r="L964" s="32"/>
      <c r="M964" s="156"/>
      <c r="N964" s="32"/>
      <c r="O964" s="32"/>
      <c r="P964" s="32"/>
      <c r="Q964" s="134"/>
      <c r="R964" s="32"/>
      <c r="S964" s="135"/>
      <c r="T964" s="131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32"/>
      <c r="AF964" s="27"/>
      <c r="AG964" s="85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201"/>
      <c r="K965" s="32"/>
      <c r="L965" s="32"/>
      <c r="M965" s="156"/>
      <c r="N965" s="32"/>
      <c r="O965" s="32"/>
      <c r="P965" s="32"/>
      <c r="Q965" s="134"/>
      <c r="R965" s="32"/>
      <c r="S965" s="135"/>
      <c r="T965" s="131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32"/>
      <c r="AF965" s="27"/>
      <c r="AG965" s="85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201"/>
      <c r="K966" s="32"/>
      <c r="L966" s="32"/>
      <c r="M966" s="156"/>
      <c r="N966" s="32"/>
      <c r="O966" s="32"/>
      <c r="P966" s="32"/>
      <c r="Q966" s="134"/>
      <c r="R966" s="32"/>
      <c r="S966" s="135"/>
      <c r="T966" s="131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32"/>
      <c r="AF966" s="27"/>
      <c r="AG966" s="85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201"/>
      <c r="K967" s="32"/>
      <c r="L967" s="32"/>
      <c r="M967" s="156"/>
      <c r="N967" s="32"/>
      <c r="O967" s="32"/>
      <c r="P967" s="32"/>
      <c r="Q967" s="134"/>
      <c r="R967" s="32"/>
      <c r="S967" s="135"/>
      <c r="T967" s="131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32"/>
      <c r="AF967" s="27"/>
      <c r="AG967" s="85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201"/>
      <c r="K968" s="32"/>
      <c r="L968" s="32"/>
      <c r="M968" s="156"/>
      <c r="N968" s="32"/>
      <c r="O968" s="32"/>
      <c r="P968" s="32"/>
      <c r="Q968" s="134"/>
      <c r="R968" s="32"/>
      <c r="S968" s="135"/>
      <c r="T968" s="131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32"/>
      <c r="AF968" s="27"/>
      <c r="AG968" s="85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201"/>
      <c r="K969" s="32"/>
      <c r="L969" s="32"/>
      <c r="M969" s="156"/>
      <c r="N969" s="32"/>
      <c r="O969" s="32"/>
      <c r="P969" s="32"/>
      <c r="Q969" s="134"/>
      <c r="R969" s="32"/>
      <c r="S969" s="135"/>
      <c r="T969" s="131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32"/>
      <c r="AF969" s="27"/>
      <c r="AG969" s="85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201"/>
      <c r="K970" s="32"/>
      <c r="L970" s="32"/>
      <c r="M970" s="156"/>
      <c r="N970" s="32"/>
      <c r="O970" s="32"/>
      <c r="P970" s="32"/>
      <c r="Q970" s="134"/>
      <c r="R970" s="32"/>
      <c r="S970" s="135"/>
      <c r="T970" s="131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32"/>
      <c r="AF970" s="27"/>
      <c r="AG970" s="85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201"/>
      <c r="K971" s="32"/>
      <c r="L971" s="32"/>
      <c r="M971" s="156"/>
      <c r="N971" s="32"/>
      <c r="O971" s="32"/>
      <c r="P971" s="32"/>
      <c r="Q971" s="134"/>
      <c r="R971" s="32"/>
      <c r="S971" s="135"/>
      <c r="T971" s="131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32"/>
      <c r="AF971" s="27"/>
      <c r="AG971" s="85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201"/>
      <c r="K972" s="32"/>
      <c r="L972" s="32"/>
      <c r="M972" s="156"/>
      <c r="N972" s="32"/>
      <c r="O972" s="32"/>
      <c r="P972" s="32"/>
      <c r="Q972" s="134"/>
      <c r="R972" s="32"/>
      <c r="S972" s="135"/>
      <c r="T972" s="131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32"/>
      <c r="AF972" s="27"/>
      <c r="AG972" s="85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201"/>
      <c r="K973" s="32"/>
      <c r="L973" s="32"/>
      <c r="M973" s="156"/>
      <c r="N973" s="32"/>
      <c r="O973" s="32"/>
      <c r="P973" s="32"/>
      <c r="Q973" s="134"/>
      <c r="R973" s="32"/>
      <c r="S973" s="135"/>
      <c r="T973" s="131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32"/>
      <c r="AF973" s="27"/>
      <c r="AG973" s="85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201"/>
      <c r="K974" s="32"/>
      <c r="L974" s="32"/>
      <c r="M974" s="156"/>
      <c r="N974" s="32"/>
      <c r="O974" s="32"/>
      <c r="P974" s="32"/>
      <c r="Q974" s="134"/>
      <c r="R974" s="32"/>
      <c r="S974" s="135"/>
      <c r="T974" s="131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32"/>
      <c r="AF974" s="27"/>
      <c r="AG974" s="85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201"/>
      <c r="K975" s="32"/>
      <c r="L975" s="32"/>
      <c r="M975" s="156"/>
      <c r="N975" s="32"/>
      <c r="O975" s="32"/>
      <c r="P975" s="32"/>
      <c r="Q975" s="134"/>
      <c r="R975" s="32"/>
      <c r="S975" s="135"/>
      <c r="T975" s="131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32"/>
      <c r="AF975" s="27"/>
      <c r="AG975" s="85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201"/>
      <c r="K976" s="32"/>
      <c r="L976" s="32"/>
      <c r="M976" s="156"/>
      <c r="N976" s="32"/>
      <c r="O976" s="32"/>
      <c r="P976" s="32"/>
      <c r="Q976" s="134"/>
      <c r="R976" s="32"/>
      <c r="S976" s="135"/>
      <c r="T976" s="131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32"/>
      <c r="AF976" s="27"/>
      <c r="AG976" s="85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201"/>
      <c r="K977" s="32"/>
      <c r="L977" s="32"/>
      <c r="M977" s="156"/>
      <c r="N977" s="32"/>
      <c r="O977" s="32"/>
      <c r="P977" s="32"/>
      <c r="Q977" s="134"/>
      <c r="R977" s="32"/>
      <c r="S977" s="135"/>
      <c r="T977" s="131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32"/>
      <c r="AF977" s="27"/>
      <c r="AG977" s="85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201"/>
      <c r="K978" s="32"/>
      <c r="L978" s="32"/>
      <c r="M978" s="156"/>
      <c r="N978" s="32"/>
      <c r="O978" s="32"/>
      <c r="P978" s="32"/>
      <c r="Q978" s="134"/>
      <c r="R978" s="32"/>
      <c r="S978" s="135"/>
      <c r="T978" s="131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32"/>
      <c r="AF978" s="27"/>
      <c r="AG978" s="85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201"/>
      <c r="K979" s="32"/>
      <c r="L979" s="32"/>
      <c r="M979" s="156"/>
      <c r="N979" s="32"/>
      <c r="O979" s="32"/>
      <c r="P979" s="32"/>
      <c r="Q979" s="134"/>
      <c r="R979" s="32"/>
      <c r="S979" s="135"/>
      <c r="T979" s="131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32"/>
      <c r="AF979" s="27"/>
      <c r="AG979" s="85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</row>
  </sheetData>
  <autoFilter ref="$A$1:$AQ$979">
    <sortState ref="A1:AQ979">
      <sortCondition ref="J1:J979"/>
      <sortCondition ref="A1:A979"/>
    </sortState>
  </autoFilter>
  <customSheetViews>
    <customSheetView guid="{F123B67F-BABF-4FFF-B2FB-D69D39A0116C}" filter="1" showAutoFilter="1">
      <autoFilter ref="$A$1:$AQ$979"/>
    </customSheetView>
  </customSheetViews>
  <mergeCells count="3">
    <mergeCell ref="P284:R284"/>
    <mergeCell ref="L286:N286"/>
    <mergeCell ref="N304:Q304"/>
  </mergeCells>
  <hyperlinks>
    <hyperlink r:id="rId1" ref="H1"/>
    <hyperlink r:id="rId2" ref="AG1"/>
    <hyperlink r:id="rId3" ref="P2"/>
    <hyperlink r:id="rId4" ref="T2"/>
    <hyperlink r:id="rId5" ref="AE2"/>
    <hyperlink r:id="rId6" ref="AE3"/>
    <hyperlink r:id="rId7" ref="P4"/>
    <hyperlink r:id="rId8" ref="T4"/>
    <hyperlink r:id="rId9" ref="AE4"/>
    <hyperlink r:id="rId10" ref="AE5"/>
    <hyperlink r:id="rId11" ref="P6"/>
    <hyperlink r:id="rId12" ref="T6"/>
    <hyperlink r:id="rId13" ref="AE6"/>
    <hyperlink r:id="rId14" ref="P7"/>
    <hyperlink r:id="rId15" ref="R7"/>
    <hyperlink r:id="rId16" ref="T7"/>
    <hyperlink r:id="rId17" ref="AE7"/>
    <hyperlink r:id="rId18" ref="P8"/>
    <hyperlink r:id="rId19" ref="T8"/>
    <hyperlink r:id="rId20" ref="AE8"/>
    <hyperlink r:id="rId21" ref="P9"/>
    <hyperlink r:id="rId22" ref="T9"/>
    <hyperlink r:id="rId23" ref="AE9"/>
    <hyperlink r:id="rId24" ref="P10"/>
    <hyperlink r:id="rId25" ref="T10"/>
    <hyperlink r:id="rId26" ref="AE10"/>
    <hyperlink r:id="rId27" ref="P11"/>
    <hyperlink r:id="rId28" ref="R11"/>
    <hyperlink r:id="rId29" ref="T11"/>
    <hyperlink r:id="rId30" ref="AE11"/>
    <hyperlink r:id="rId31" ref="P12"/>
    <hyperlink r:id="rId32" ref="P13"/>
    <hyperlink r:id="rId33" ref="T13"/>
    <hyperlink r:id="rId34" ref="AE13"/>
    <hyperlink r:id="rId35" ref="N14"/>
    <hyperlink r:id="rId36" ref="P14"/>
    <hyperlink r:id="rId37" ref="R14"/>
    <hyperlink r:id="rId38" ref="T14"/>
    <hyperlink r:id="rId39" ref="AE14"/>
    <hyperlink r:id="rId40" ref="P15"/>
    <hyperlink r:id="rId41" ref="T15"/>
    <hyperlink r:id="rId42" ref="AE15"/>
    <hyperlink r:id="rId43" ref="P16"/>
    <hyperlink r:id="rId44" ref="T16"/>
    <hyperlink r:id="rId45" ref="AE16"/>
    <hyperlink r:id="rId46" ref="P17"/>
    <hyperlink r:id="rId47" ref="T17"/>
    <hyperlink r:id="rId48" ref="AE17"/>
    <hyperlink r:id="rId49" ref="P18"/>
    <hyperlink r:id="rId50" ref="R18"/>
    <hyperlink r:id="rId51" ref="T18"/>
    <hyperlink r:id="rId52" ref="AE18"/>
    <hyperlink r:id="rId53" ref="P19"/>
    <hyperlink r:id="rId54" ref="T19"/>
    <hyperlink r:id="rId55" ref="AE19"/>
    <hyperlink r:id="rId56" ref="P20"/>
    <hyperlink r:id="rId57" ref="AE20"/>
    <hyperlink r:id="rId58" ref="P21"/>
    <hyperlink r:id="rId59" ref="T21"/>
    <hyperlink r:id="rId60" ref="AE21"/>
    <hyperlink r:id="rId61" ref="P22"/>
    <hyperlink r:id="rId62" ref="AE22"/>
    <hyperlink r:id="rId63" ref="P23"/>
    <hyperlink r:id="rId64" ref="R23"/>
    <hyperlink r:id="rId65" ref="T23"/>
    <hyperlink r:id="rId66" ref="AE23"/>
    <hyperlink r:id="rId67" ref="P24"/>
    <hyperlink r:id="rId68" ref="R24"/>
    <hyperlink r:id="rId69" ref="T24"/>
    <hyperlink r:id="rId70" ref="AE24"/>
    <hyperlink r:id="rId71" ref="P25"/>
    <hyperlink r:id="rId72" ref="R25"/>
    <hyperlink r:id="rId73" ref="T25"/>
    <hyperlink r:id="rId74" ref="AE25"/>
    <hyperlink r:id="rId75" ref="P26"/>
    <hyperlink r:id="rId76" ref="T26"/>
    <hyperlink r:id="rId77" ref="AE26"/>
    <hyperlink r:id="rId78" ref="P27"/>
    <hyperlink r:id="rId79" ref="R27"/>
    <hyperlink r:id="rId80" ref="T27"/>
    <hyperlink r:id="rId81" ref="AE27"/>
    <hyperlink r:id="rId82" ref="P28"/>
    <hyperlink r:id="rId83" ref="T28"/>
    <hyperlink r:id="rId84" ref="AE28"/>
    <hyperlink r:id="rId85" ref="P29"/>
    <hyperlink r:id="rId86" ref="T29"/>
    <hyperlink r:id="rId87" ref="AE29"/>
    <hyperlink r:id="rId88" ref="P30"/>
    <hyperlink r:id="rId89" ref="AE30"/>
    <hyperlink r:id="rId90" ref="P31"/>
    <hyperlink r:id="rId91" ref="R31"/>
    <hyperlink r:id="rId92" ref="T31"/>
    <hyperlink r:id="rId93" ref="AE31"/>
    <hyperlink r:id="rId94" ref="P32"/>
    <hyperlink r:id="rId95" ref="R32"/>
    <hyperlink r:id="rId96" ref="T32"/>
    <hyperlink r:id="rId97" ref="AE32"/>
    <hyperlink r:id="rId98" ref="P33"/>
    <hyperlink r:id="rId99" ref="T33"/>
    <hyperlink r:id="rId100" ref="AE33"/>
    <hyperlink r:id="rId101" ref="P34"/>
    <hyperlink r:id="rId102" ref="R34"/>
    <hyperlink r:id="rId103" ref="T34"/>
    <hyperlink r:id="rId104" ref="AE34"/>
    <hyperlink r:id="rId105" ref="P35"/>
    <hyperlink r:id="rId106" ref="T35"/>
    <hyperlink r:id="rId107" ref="AE35"/>
    <hyperlink r:id="rId108" ref="P36"/>
    <hyperlink r:id="rId109" ref="T36"/>
    <hyperlink r:id="rId110" ref="AE36"/>
    <hyperlink r:id="rId111" ref="P37"/>
    <hyperlink r:id="rId112" ref="AE37"/>
    <hyperlink r:id="rId113" ref="P38"/>
    <hyperlink r:id="rId114" ref="R38"/>
    <hyperlink r:id="rId115" ref="AE38"/>
    <hyperlink r:id="rId116" ref="P39"/>
    <hyperlink r:id="rId117" ref="R39"/>
    <hyperlink r:id="rId118" ref="AE39"/>
    <hyperlink r:id="rId119" ref="P40"/>
    <hyperlink r:id="rId120" ref="R40"/>
    <hyperlink r:id="rId121" ref="T40"/>
    <hyperlink r:id="rId122" ref="AE40"/>
    <hyperlink r:id="rId123" ref="P41"/>
    <hyperlink r:id="rId124" ref="T41"/>
    <hyperlink r:id="rId125" ref="AE41"/>
    <hyperlink r:id="rId126" ref="P42"/>
    <hyperlink r:id="rId127" ref="R42"/>
    <hyperlink r:id="rId128" ref="T42"/>
    <hyperlink r:id="rId129" ref="AE42"/>
    <hyperlink r:id="rId130" ref="P43"/>
    <hyperlink r:id="rId131" ref="R43"/>
    <hyperlink r:id="rId132" ref="T43"/>
    <hyperlink r:id="rId133" ref="AE43"/>
    <hyperlink r:id="rId134" ref="P44"/>
    <hyperlink r:id="rId135" ref="T44"/>
    <hyperlink r:id="rId136" ref="AE44"/>
    <hyperlink r:id="rId137" ref="P45"/>
    <hyperlink r:id="rId138" ref="T45"/>
    <hyperlink r:id="rId139" ref="AE45"/>
    <hyperlink r:id="rId140" ref="P46"/>
    <hyperlink r:id="rId141" ref="AE46"/>
    <hyperlink r:id="rId142" ref="P47"/>
    <hyperlink r:id="rId143" ref="T47"/>
    <hyperlink r:id="rId144" ref="AE47"/>
    <hyperlink r:id="rId145" ref="P48"/>
    <hyperlink r:id="rId146" ref="R48"/>
    <hyperlink r:id="rId147" ref="T48"/>
    <hyperlink r:id="rId148" ref="AE48"/>
    <hyperlink r:id="rId149" ref="P49"/>
    <hyperlink r:id="rId150" ref="T49"/>
    <hyperlink r:id="rId151" ref="AE49"/>
    <hyperlink r:id="rId152" ref="P50"/>
    <hyperlink r:id="rId153" ref="AE50"/>
    <hyperlink r:id="rId154" ref="P51"/>
    <hyperlink r:id="rId155" ref="R51"/>
    <hyperlink r:id="rId156" ref="T51"/>
    <hyperlink r:id="rId157" ref="AE51"/>
    <hyperlink r:id="rId158" ref="P52"/>
    <hyperlink r:id="rId159" ref="T52"/>
    <hyperlink r:id="rId160" ref="AE52"/>
    <hyperlink r:id="rId161" ref="P53"/>
    <hyperlink r:id="rId162" ref="T53"/>
    <hyperlink r:id="rId163" ref="AE53"/>
    <hyperlink r:id="rId164" ref="P54"/>
    <hyperlink r:id="rId165" ref="R54"/>
    <hyperlink r:id="rId166" ref="T54"/>
    <hyperlink r:id="rId167" ref="AE54"/>
    <hyperlink r:id="rId168" ref="P55"/>
    <hyperlink r:id="rId169" ref="T55"/>
    <hyperlink r:id="rId170" ref="AE55"/>
    <hyperlink r:id="rId171" ref="P56"/>
    <hyperlink r:id="rId172" ref="P57"/>
    <hyperlink r:id="rId173" ref="T57"/>
    <hyperlink r:id="rId174" ref="AE57"/>
    <hyperlink r:id="rId175" ref="P58"/>
    <hyperlink r:id="rId176" ref="R58"/>
    <hyperlink r:id="rId177" ref="AE58"/>
    <hyperlink r:id="rId178" ref="P59"/>
    <hyperlink r:id="rId179" ref="T59"/>
    <hyperlink r:id="rId180" ref="AE59"/>
    <hyperlink r:id="rId181" ref="P60"/>
    <hyperlink r:id="rId182" ref="T60"/>
    <hyperlink r:id="rId183" ref="AE60"/>
    <hyperlink r:id="rId184" ref="P61"/>
    <hyperlink r:id="rId185" ref="T61"/>
    <hyperlink r:id="rId186" ref="P62"/>
    <hyperlink r:id="rId187" ref="T62"/>
    <hyperlink r:id="rId188" ref="AE62"/>
    <hyperlink r:id="rId189" ref="P63"/>
    <hyperlink r:id="rId190" ref="T63"/>
    <hyperlink r:id="rId191" ref="AE63"/>
    <hyperlink r:id="rId192" ref="P64"/>
    <hyperlink r:id="rId193" ref="R64"/>
    <hyperlink r:id="rId194" ref="T64"/>
    <hyperlink r:id="rId195" ref="AE64"/>
    <hyperlink r:id="rId196" ref="P65"/>
    <hyperlink r:id="rId197" ref="T65"/>
    <hyperlink r:id="rId198" ref="AE65"/>
    <hyperlink r:id="rId199" ref="P66"/>
    <hyperlink r:id="rId200" ref="T66"/>
    <hyperlink r:id="rId201" ref="AE66"/>
    <hyperlink r:id="rId202" ref="T67"/>
    <hyperlink r:id="rId203" ref="AE67"/>
    <hyperlink r:id="rId204" ref="P68"/>
    <hyperlink r:id="rId205" ref="T68"/>
    <hyperlink r:id="rId206" ref="AE68"/>
    <hyperlink r:id="rId207" ref="P69"/>
    <hyperlink r:id="rId208" ref="T69"/>
    <hyperlink r:id="rId209" ref="AE69"/>
    <hyperlink r:id="rId210" ref="P70"/>
    <hyperlink r:id="rId211" ref="T70"/>
    <hyperlink r:id="rId212" ref="AE70"/>
    <hyperlink r:id="rId213" ref="P71"/>
    <hyperlink r:id="rId214" ref="T71"/>
    <hyperlink r:id="rId215" ref="AE71"/>
    <hyperlink r:id="rId216" ref="P72"/>
    <hyperlink r:id="rId217" ref="T72"/>
    <hyperlink r:id="rId218" ref="AE72"/>
    <hyperlink r:id="rId219" ref="P73"/>
    <hyperlink r:id="rId220" ref="AE73"/>
    <hyperlink r:id="rId221" ref="P74"/>
    <hyperlink r:id="rId222" ref="T74"/>
    <hyperlink r:id="rId223" ref="AE74"/>
    <hyperlink r:id="rId224" ref="L75"/>
    <hyperlink r:id="rId225" ref="P75"/>
    <hyperlink r:id="rId226" ref="T75"/>
    <hyperlink r:id="rId227" ref="AE75"/>
    <hyperlink r:id="rId228" ref="P76"/>
    <hyperlink r:id="rId229" ref="T76"/>
    <hyperlink r:id="rId230" ref="AE76"/>
    <hyperlink r:id="rId231" ref="P77"/>
    <hyperlink r:id="rId232" ref="T77"/>
    <hyperlink r:id="rId233" ref="AE77"/>
    <hyperlink r:id="rId234" ref="P78"/>
    <hyperlink r:id="rId235" ref="T78"/>
    <hyperlink r:id="rId236" ref="AE78"/>
    <hyperlink r:id="rId237" ref="P79"/>
    <hyperlink r:id="rId238" ref="T79"/>
    <hyperlink r:id="rId239" ref="AE79"/>
    <hyperlink r:id="rId240" ref="P80"/>
    <hyperlink r:id="rId241" ref="T80"/>
    <hyperlink r:id="rId242" ref="AE80"/>
    <hyperlink r:id="rId243" ref="P81"/>
    <hyperlink r:id="rId244" ref="AE81"/>
    <hyperlink r:id="rId245" ref="P82"/>
    <hyperlink r:id="rId246" ref="T82"/>
    <hyperlink r:id="rId247" ref="AE82"/>
    <hyperlink r:id="rId248" ref="P83"/>
    <hyperlink r:id="rId249" ref="AE83"/>
    <hyperlink r:id="rId250" ref="P84"/>
    <hyperlink r:id="rId251" ref="T84"/>
    <hyperlink r:id="rId252" ref="AE84"/>
    <hyperlink r:id="rId253" ref="P85"/>
    <hyperlink r:id="rId254" ref="T85"/>
    <hyperlink r:id="rId255" ref="AE85"/>
    <hyperlink r:id="rId256" ref="P86"/>
    <hyperlink r:id="rId257" ref="T86"/>
    <hyperlink r:id="rId258" ref="AE86"/>
    <hyperlink r:id="rId259" ref="P87"/>
    <hyperlink r:id="rId260" ref="AE87"/>
    <hyperlink r:id="rId261" ref="P88"/>
    <hyperlink r:id="rId262" ref="T88"/>
    <hyperlink r:id="rId263" ref="AE88"/>
    <hyperlink r:id="rId264" ref="P89"/>
    <hyperlink r:id="rId265" ref="T89"/>
    <hyperlink r:id="rId266" ref="AE89"/>
    <hyperlink r:id="rId267" ref="P90"/>
    <hyperlink r:id="rId268" ref="T90"/>
    <hyperlink r:id="rId269" ref="AE90"/>
    <hyperlink r:id="rId270" ref="P91"/>
    <hyperlink r:id="rId271" ref="T91"/>
    <hyperlink r:id="rId272" ref="AE91"/>
    <hyperlink r:id="rId273" ref="P92"/>
    <hyperlink r:id="rId274" ref="T92"/>
    <hyperlink r:id="rId275" ref="AE92"/>
    <hyperlink r:id="rId276" ref="P93"/>
    <hyperlink r:id="rId277" ref="T93"/>
    <hyperlink r:id="rId278" ref="AE93"/>
    <hyperlink r:id="rId279" ref="P94"/>
    <hyperlink r:id="rId280" ref="T94"/>
    <hyperlink r:id="rId281" ref="AE94"/>
    <hyperlink r:id="rId282" ref="P95"/>
    <hyperlink r:id="rId283" ref="T95"/>
    <hyperlink r:id="rId284" ref="AE95"/>
    <hyperlink r:id="rId285" ref="P96"/>
    <hyperlink r:id="rId286" ref="T96"/>
    <hyperlink r:id="rId287" ref="AE96"/>
    <hyperlink r:id="rId288" ref="P97"/>
    <hyperlink r:id="rId289" ref="T97"/>
    <hyperlink r:id="rId290" ref="AE97"/>
    <hyperlink r:id="rId291" ref="P98"/>
    <hyperlink r:id="rId292" ref="T98"/>
    <hyperlink r:id="rId293" ref="AE98"/>
    <hyperlink r:id="rId294" ref="P99"/>
    <hyperlink r:id="rId295" ref="T99"/>
    <hyperlink r:id="rId296" ref="AE99"/>
    <hyperlink r:id="rId297" ref="P100"/>
    <hyperlink r:id="rId298" ref="T100"/>
    <hyperlink r:id="rId299" ref="AE100"/>
    <hyperlink r:id="rId300" ref="P101"/>
    <hyperlink r:id="rId301" ref="T101"/>
    <hyperlink r:id="rId302" ref="AE101"/>
    <hyperlink r:id="rId303" ref="P102"/>
    <hyperlink r:id="rId304" ref="T102"/>
    <hyperlink r:id="rId305" ref="AE102"/>
    <hyperlink r:id="rId306" ref="P103"/>
    <hyperlink r:id="rId307" ref="T103"/>
    <hyperlink r:id="rId308" ref="AE103"/>
    <hyperlink r:id="rId309" ref="P104"/>
    <hyperlink r:id="rId310" ref="T104"/>
    <hyperlink r:id="rId311" ref="AE104"/>
    <hyperlink r:id="rId312" ref="P105"/>
    <hyperlink r:id="rId313" ref="T105"/>
    <hyperlink r:id="rId314" ref="AE105"/>
    <hyperlink r:id="rId315" ref="P106"/>
    <hyperlink r:id="rId316" ref="T106"/>
    <hyperlink r:id="rId317" ref="AE106"/>
    <hyperlink r:id="rId318" ref="P107"/>
    <hyperlink r:id="rId319" ref="T107"/>
    <hyperlink r:id="rId320" ref="AE107"/>
    <hyperlink r:id="rId321" ref="P108"/>
    <hyperlink r:id="rId322" ref="T108"/>
    <hyperlink r:id="rId323" ref="AE108"/>
    <hyperlink r:id="rId324" ref="P109"/>
    <hyperlink r:id="rId325" ref="T109"/>
    <hyperlink r:id="rId326" ref="AE109"/>
    <hyperlink r:id="rId327" ref="P110"/>
    <hyperlink r:id="rId328" ref="AE110"/>
    <hyperlink r:id="rId329" ref="P111"/>
    <hyperlink r:id="rId330" ref="T111"/>
    <hyperlink r:id="rId331" ref="AE111"/>
    <hyperlink r:id="rId332" ref="P112"/>
    <hyperlink r:id="rId333" ref="T112"/>
    <hyperlink r:id="rId334" ref="AE112"/>
    <hyperlink r:id="rId335" ref="P113"/>
    <hyperlink r:id="rId336" ref="T113"/>
    <hyperlink r:id="rId337" ref="AE113"/>
    <hyperlink r:id="rId338" ref="P114"/>
    <hyperlink r:id="rId339" ref="T114"/>
    <hyperlink r:id="rId340" ref="AE114"/>
    <hyperlink r:id="rId341" ref="P115"/>
    <hyperlink r:id="rId342" ref="T115"/>
    <hyperlink r:id="rId343" ref="AE115"/>
    <hyperlink r:id="rId344" ref="P116"/>
    <hyperlink r:id="rId345" ref="T117"/>
    <hyperlink r:id="rId346" ref="AE117"/>
    <hyperlink r:id="rId347" ref="P118"/>
    <hyperlink r:id="rId348" ref="P119"/>
    <hyperlink r:id="rId349" ref="AE119"/>
    <hyperlink r:id="rId350" ref="P120"/>
    <hyperlink r:id="rId351" ref="T120"/>
    <hyperlink r:id="rId352" ref="AE120"/>
    <hyperlink r:id="rId353" ref="P121"/>
    <hyperlink r:id="rId354" ref="T121"/>
    <hyperlink r:id="rId355" ref="AE121"/>
    <hyperlink r:id="rId356" ref="P122"/>
    <hyperlink r:id="rId357" ref="T122"/>
    <hyperlink r:id="rId358" ref="AE122"/>
    <hyperlink r:id="rId359" ref="P123"/>
    <hyperlink r:id="rId360" ref="T123"/>
    <hyperlink r:id="rId361" ref="AE123"/>
    <hyperlink r:id="rId362" ref="P124"/>
    <hyperlink r:id="rId363" ref="T124"/>
    <hyperlink r:id="rId364" ref="AE124"/>
    <hyperlink r:id="rId365" ref="P125"/>
    <hyperlink r:id="rId366" ref="T125"/>
    <hyperlink r:id="rId367" ref="AE125"/>
    <hyperlink r:id="rId368" ref="P126"/>
    <hyperlink r:id="rId369" ref="AE126"/>
    <hyperlink r:id="rId370" ref="P127"/>
    <hyperlink r:id="rId371" ref="T127"/>
    <hyperlink r:id="rId372" ref="AE127"/>
    <hyperlink r:id="rId373" ref="P128"/>
    <hyperlink r:id="rId374" ref="T128"/>
    <hyperlink r:id="rId375" ref="AE128"/>
    <hyperlink r:id="rId376" ref="P129"/>
    <hyperlink r:id="rId377" ref="R129"/>
    <hyperlink r:id="rId378" ref="T129"/>
    <hyperlink r:id="rId379" ref="AE129"/>
    <hyperlink r:id="rId380" ref="P130"/>
    <hyperlink r:id="rId381" ref="T130"/>
    <hyperlink r:id="rId382" ref="AE130"/>
    <hyperlink r:id="rId383" ref="P131"/>
    <hyperlink r:id="rId384" ref="T131"/>
    <hyperlink r:id="rId385" ref="T132"/>
    <hyperlink r:id="rId386" ref="AE132"/>
    <hyperlink r:id="rId387" ref="P133"/>
    <hyperlink r:id="rId388" ref="AE133"/>
    <hyperlink r:id="rId389" ref="P134"/>
    <hyperlink r:id="rId390" ref="R134"/>
    <hyperlink r:id="rId391" ref="T134"/>
    <hyperlink r:id="rId392" ref="AE134"/>
    <hyperlink r:id="rId393" ref="P135"/>
    <hyperlink r:id="rId394" ref="R135"/>
    <hyperlink r:id="rId395" ref="T135"/>
    <hyperlink r:id="rId396" ref="AE135"/>
    <hyperlink r:id="rId397" ref="P136"/>
    <hyperlink r:id="rId398" ref="R136"/>
    <hyperlink r:id="rId399" ref="T136"/>
    <hyperlink r:id="rId400" ref="AE136"/>
    <hyperlink r:id="rId401" ref="P137"/>
    <hyperlink r:id="rId402" ref="T137"/>
    <hyperlink r:id="rId403" ref="AE137"/>
    <hyperlink r:id="rId404" ref="P138"/>
    <hyperlink r:id="rId405" ref="R138"/>
    <hyperlink r:id="rId406" ref="T138"/>
    <hyperlink r:id="rId407" ref="AE138"/>
    <hyperlink r:id="rId408" ref="P139"/>
    <hyperlink r:id="rId409" ref="T139"/>
    <hyperlink r:id="rId410" ref="AE139"/>
    <hyperlink r:id="rId411" ref="P140"/>
    <hyperlink r:id="rId412" ref="R140"/>
    <hyperlink r:id="rId413" ref="AE140"/>
    <hyperlink r:id="rId414" ref="P141"/>
    <hyperlink r:id="rId415" ref="R141"/>
    <hyperlink r:id="rId416" ref="T141"/>
    <hyperlink r:id="rId417" ref="AE141"/>
    <hyperlink r:id="rId418" ref="P142"/>
    <hyperlink r:id="rId419" ref="R142"/>
    <hyperlink r:id="rId420" ref="T142"/>
    <hyperlink r:id="rId421" ref="AE142"/>
    <hyperlink r:id="rId422" ref="P143"/>
    <hyperlink r:id="rId423" ref="R143"/>
    <hyperlink r:id="rId424" ref="T143"/>
    <hyperlink r:id="rId425" ref="AE143"/>
    <hyperlink r:id="rId426" ref="P144"/>
    <hyperlink r:id="rId427" ref="R144"/>
    <hyperlink r:id="rId428" ref="T144"/>
    <hyperlink r:id="rId429" ref="AE144"/>
    <hyperlink r:id="rId430" ref="P145"/>
    <hyperlink r:id="rId431" ref="R145"/>
    <hyperlink r:id="rId432" ref="T145"/>
    <hyperlink r:id="rId433" ref="AE145"/>
    <hyperlink r:id="rId434" ref="P146"/>
    <hyperlink r:id="rId435" ref="R146"/>
    <hyperlink r:id="rId436" ref="T146"/>
    <hyperlink r:id="rId437" ref="AE146"/>
    <hyperlink r:id="rId438" ref="P147"/>
    <hyperlink r:id="rId439" ref="R147"/>
    <hyperlink r:id="rId440" ref="T147"/>
    <hyperlink r:id="rId441" ref="AE147"/>
    <hyperlink r:id="rId442" ref="P148"/>
    <hyperlink r:id="rId443" ref="R148"/>
    <hyperlink r:id="rId444" ref="T148"/>
    <hyperlink r:id="rId445" ref="P149"/>
    <hyperlink r:id="rId446" ref="T149"/>
    <hyperlink r:id="rId447" ref="AE149"/>
    <hyperlink r:id="rId448" ref="P150"/>
    <hyperlink r:id="rId449" ref="P151"/>
    <hyperlink r:id="rId450" ref="R151"/>
    <hyperlink r:id="rId451" ref="T151"/>
    <hyperlink r:id="rId452" ref="AE151"/>
    <hyperlink r:id="rId453" ref="P152"/>
    <hyperlink r:id="rId454" ref="T152"/>
    <hyperlink r:id="rId455" ref="AE152"/>
    <hyperlink r:id="rId456" ref="P154"/>
    <hyperlink r:id="rId457" ref="R154"/>
    <hyperlink r:id="rId458" ref="T154"/>
    <hyperlink r:id="rId459" ref="AE154"/>
    <hyperlink r:id="rId460" ref="P155"/>
    <hyperlink r:id="rId461" ref="R155"/>
    <hyperlink r:id="rId462" ref="T155"/>
    <hyperlink r:id="rId463" ref="AE155"/>
    <hyperlink r:id="rId464" ref="P156"/>
    <hyperlink r:id="rId465" ref="R156"/>
    <hyperlink r:id="rId466" ref="T156"/>
    <hyperlink r:id="rId467" ref="AE156"/>
    <hyperlink r:id="rId468" ref="P157"/>
    <hyperlink r:id="rId469" ref="R157"/>
    <hyperlink r:id="rId470" ref="T157"/>
    <hyperlink r:id="rId471" ref="AE157"/>
    <hyperlink r:id="rId472" ref="P158"/>
    <hyperlink r:id="rId473" ref="R158"/>
    <hyperlink r:id="rId474" ref="T158"/>
    <hyperlink r:id="rId475" ref="AE158"/>
    <hyperlink r:id="rId476" ref="P159"/>
    <hyperlink r:id="rId477" ref="R159"/>
    <hyperlink r:id="rId478" ref="T159"/>
    <hyperlink r:id="rId479" ref="AE159"/>
    <hyperlink r:id="rId480" ref="P160"/>
    <hyperlink r:id="rId481" ref="T160"/>
    <hyperlink r:id="rId482" ref="AE160"/>
    <hyperlink r:id="rId483" ref="P161"/>
    <hyperlink r:id="rId484" ref="T161"/>
    <hyperlink r:id="rId485" ref="AE161"/>
    <hyperlink r:id="rId486" ref="P162"/>
    <hyperlink r:id="rId487" ref="T162"/>
    <hyperlink r:id="rId488" ref="AE162"/>
    <hyperlink r:id="rId489" ref="P163"/>
    <hyperlink r:id="rId490" ref="T163"/>
    <hyperlink r:id="rId491" ref="AE163"/>
    <hyperlink r:id="rId492" ref="P164"/>
    <hyperlink r:id="rId493" ref="T164"/>
    <hyperlink r:id="rId494" ref="AE164"/>
    <hyperlink r:id="rId495" ref="P165"/>
    <hyperlink r:id="rId496" ref="T165"/>
    <hyperlink r:id="rId497" ref="AE165"/>
    <hyperlink r:id="rId498" ref="P166"/>
    <hyperlink r:id="rId499" ref="AE166"/>
    <hyperlink r:id="rId500" ref="P167"/>
    <hyperlink r:id="rId501" ref="T167"/>
    <hyperlink r:id="rId502" ref="AE167"/>
    <hyperlink r:id="rId503" ref="P168"/>
    <hyperlink r:id="rId504" ref="T168"/>
    <hyperlink r:id="rId505" ref="AE168"/>
    <hyperlink r:id="rId506" ref="P169"/>
    <hyperlink r:id="rId507" ref="T169"/>
    <hyperlink r:id="rId508" ref="AE169"/>
    <hyperlink r:id="rId509" ref="P170"/>
    <hyperlink r:id="rId510" ref="T170"/>
    <hyperlink r:id="rId511" ref="AE170"/>
    <hyperlink r:id="rId512" ref="P171"/>
    <hyperlink r:id="rId513" ref="R171"/>
    <hyperlink r:id="rId514" ref="T171"/>
    <hyperlink r:id="rId515" ref="AE171"/>
    <hyperlink r:id="rId516" ref="P172"/>
    <hyperlink r:id="rId517" ref="R172"/>
    <hyperlink r:id="rId518" ref="T172"/>
    <hyperlink r:id="rId519" ref="AE172"/>
    <hyperlink r:id="rId520" ref="P173"/>
    <hyperlink r:id="rId521" ref="T173"/>
    <hyperlink r:id="rId522" ref="P174"/>
    <hyperlink r:id="rId523" ref="AE174"/>
    <hyperlink r:id="rId524" ref="P175"/>
    <hyperlink r:id="rId525" ref="T175"/>
    <hyperlink r:id="rId526" ref="AE175"/>
    <hyperlink r:id="rId527" ref="P176"/>
    <hyperlink r:id="rId528" ref="T176"/>
    <hyperlink r:id="rId529" ref="AE176"/>
    <hyperlink r:id="rId530" ref="P177"/>
    <hyperlink r:id="rId531" ref="AE177"/>
    <hyperlink r:id="rId532" ref="P178"/>
    <hyperlink r:id="rId533" location="osp-school-info*Enrollment" ref="T178"/>
    <hyperlink r:id="rId534" location="osp-school-info*Enrollment" ref="AE178"/>
    <hyperlink r:id="rId535" ref="P179"/>
    <hyperlink r:id="rId536" location="tuitioncosts" ref="T179"/>
    <hyperlink r:id="rId537" location="tuitioncosts" ref="U179"/>
    <hyperlink r:id="rId538" ref="AE179"/>
    <hyperlink r:id="rId539" ref="AF179"/>
    <hyperlink r:id="rId540" ref="P180"/>
    <hyperlink r:id="rId541" ref="T180"/>
    <hyperlink r:id="rId542" ref="AE180"/>
    <hyperlink r:id="rId543" ref="P181"/>
    <hyperlink r:id="rId544" ref="T181"/>
    <hyperlink r:id="rId545" ref="AE181"/>
    <hyperlink r:id="rId546" ref="P182"/>
    <hyperlink r:id="rId547" ref="T182"/>
    <hyperlink r:id="rId548" ref="AE182"/>
    <hyperlink r:id="rId549" ref="P183"/>
    <hyperlink r:id="rId550" ref="T183"/>
    <hyperlink r:id="rId551" ref="AE183"/>
    <hyperlink r:id="rId552" ref="P184"/>
    <hyperlink r:id="rId553" ref="T184"/>
    <hyperlink r:id="rId554" ref="AE184"/>
    <hyperlink r:id="rId555" ref="P185"/>
    <hyperlink r:id="rId556" ref="T185"/>
    <hyperlink r:id="rId557" ref="P186"/>
    <hyperlink r:id="rId558" ref="T186"/>
    <hyperlink r:id="rId559" ref="AE186"/>
    <hyperlink r:id="rId560" ref="P187"/>
    <hyperlink r:id="rId561" ref="T187"/>
    <hyperlink r:id="rId562" ref="AE187"/>
    <hyperlink r:id="rId563" ref="P188"/>
    <hyperlink r:id="rId564" ref="T188"/>
    <hyperlink r:id="rId565" ref="AE188"/>
    <hyperlink r:id="rId566" ref="P189"/>
    <hyperlink r:id="rId567" ref="T189"/>
    <hyperlink r:id="rId568" ref="AE189"/>
    <hyperlink r:id="rId569" ref="P190"/>
    <hyperlink r:id="rId570" ref="T190"/>
    <hyperlink r:id="rId571" ref="AE190"/>
    <hyperlink r:id="rId572" location="tncms-source=signup" ref="P191"/>
    <hyperlink r:id="rId573" ref="T191"/>
    <hyperlink r:id="rId574" ref="AE191"/>
    <hyperlink r:id="rId575" ref="P192"/>
    <hyperlink r:id="rId576" ref="T192"/>
    <hyperlink r:id="rId577" ref="AE192"/>
    <hyperlink r:id="rId578" ref="P193"/>
    <hyperlink r:id="rId579" ref="T193"/>
    <hyperlink r:id="rId580" ref="AE193"/>
    <hyperlink r:id="rId581" ref="P194"/>
    <hyperlink r:id="rId582" ref="T194"/>
    <hyperlink r:id="rId583" ref="AE194"/>
    <hyperlink r:id="rId584" ref="P195"/>
    <hyperlink r:id="rId585" ref="R195"/>
    <hyperlink r:id="rId586" ref="T195"/>
    <hyperlink r:id="rId587" ref="AE195"/>
    <hyperlink r:id="rId588" ref="P196"/>
    <hyperlink r:id="rId589" ref="T196"/>
    <hyperlink r:id="rId590" ref="AE196"/>
    <hyperlink r:id="rId591" ref="P197"/>
    <hyperlink r:id="rId592" ref="T197"/>
    <hyperlink r:id="rId593" ref="AE197"/>
    <hyperlink r:id="rId594" ref="P198"/>
    <hyperlink r:id="rId595" ref="T198"/>
    <hyperlink r:id="rId596" ref="AE198"/>
    <hyperlink r:id="rId597" ref="P199"/>
    <hyperlink r:id="rId598" ref="T199"/>
    <hyperlink r:id="rId599" ref="AE199"/>
    <hyperlink r:id="rId600" ref="P200"/>
    <hyperlink r:id="rId601" ref="T200"/>
    <hyperlink r:id="rId602" ref="AE200"/>
    <hyperlink r:id="rId603" ref="P201"/>
    <hyperlink r:id="rId604" ref="T201"/>
    <hyperlink r:id="rId605" ref="AE201"/>
    <hyperlink r:id="rId606" ref="P202"/>
    <hyperlink r:id="rId607" ref="T202"/>
    <hyperlink r:id="rId608" ref="AE202"/>
    <hyperlink r:id="rId609" ref="P203"/>
    <hyperlink r:id="rId610" ref="T203"/>
    <hyperlink r:id="rId611" ref="AE203"/>
    <hyperlink r:id="rId612" ref="P204"/>
    <hyperlink r:id="rId613" ref="T204"/>
    <hyperlink r:id="rId614" ref="AE204"/>
    <hyperlink r:id="rId615" ref="P205"/>
    <hyperlink r:id="rId616" ref="T205"/>
    <hyperlink r:id="rId617" ref="AE205"/>
    <hyperlink r:id="rId618" ref="P206"/>
    <hyperlink r:id="rId619" ref="T206"/>
    <hyperlink r:id="rId620" ref="AE206"/>
    <hyperlink r:id="rId621" ref="P207"/>
    <hyperlink r:id="rId622" ref="T207"/>
    <hyperlink r:id="rId623" ref="AE207"/>
    <hyperlink r:id="rId624" ref="P208"/>
    <hyperlink r:id="rId625" ref="T208"/>
    <hyperlink r:id="rId626" ref="P209"/>
    <hyperlink r:id="rId627" ref="AE209"/>
    <hyperlink r:id="rId628" ref="P210"/>
    <hyperlink r:id="rId629" ref="T210"/>
    <hyperlink r:id="rId630" ref="AE210"/>
    <hyperlink r:id="rId631" ref="P211"/>
    <hyperlink r:id="rId632" ref="T211"/>
    <hyperlink r:id="rId633" ref="AE211"/>
    <hyperlink r:id="rId634" ref="P212"/>
    <hyperlink r:id="rId635" ref="R212"/>
    <hyperlink r:id="rId636" ref="AE212"/>
    <hyperlink r:id="rId637" ref="P213"/>
    <hyperlink r:id="rId638" location="students" ref="L214"/>
    <hyperlink r:id="rId639" ref="P214"/>
    <hyperlink r:id="rId640" location="tuition" ref="R214"/>
    <hyperlink r:id="rId641" ref="T214"/>
    <hyperlink r:id="rId642" location="students" ref="AE214"/>
    <hyperlink r:id="rId643" ref="L215"/>
    <hyperlink r:id="rId644" ref="L217"/>
    <hyperlink r:id="rId645" ref="P217"/>
    <hyperlink r:id="rId646" ref="T217"/>
    <hyperlink r:id="rId647" ref="AE217"/>
    <hyperlink r:id="rId648" ref="L218"/>
    <hyperlink r:id="rId649" ref="N218"/>
    <hyperlink r:id="rId650" ref="P218"/>
    <hyperlink r:id="rId651" ref="T218"/>
    <hyperlink r:id="rId652" location="students" ref="AE218"/>
    <hyperlink r:id="rId653" ref="L219"/>
    <hyperlink r:id="rId654" ref="T219"/>
    <hyperlink r:id="rId655" location="students" ref="AE219"/>
    <hyperlink r:id="rId656" location="students" ref="L220"/>
    <hyperlink r:id="rId657" ref="P220"/>
    <hyperlink r:id="rId658" ref="R220"/>
    <hyperlink r:id="rId659" ref="T220"/>
    <hyperlink r:id="rId660" location="students" ref="AE220"/>
    <hyperlink r:id="rId661" location="students" ref="L221"/>
    <hyperlink r:id="rId662" ref="T221"/>
    <hyperlink r:id="rId663" location="students" ref="AE221"/>
    <hyperlink r:id="rId664" ref="L222"/>
    <hyperlink r:id="rId665" ref="P222"/>
    <hyperlink r:id="rId666" ref="T222"/>
    <hyperlink r:id="rId667" location="students" ref="AE222"/>
    <hyperlink r:id="rId668" ref="L223"/>
    <hyperlink r:id="rId669" location="tuition" ref="L224"/>
    <hyperlink r:id="rId670" ref="L225"/>
    <hyperlink r:id="rId671" ref="L226"/>
    <hyperlink r:id="rId672" ref="L227"/>
    <hyperlink r:id="rId673" ref="L228"/>
    <hyperlink r:id="rId674" ref="L229"/>
    <hyperlink r:id="rId675" ref="L230"/>
    <hyperlink r:id="rId676" ref="L231"/>
    <hyperlink r:id="rId677" ref="L232"/>
    <hyperlink r:id="rId678" ref="L233"/>
    <hyperlink r:id="rId679" ref="L234"/>
    <hyperlink r:id="rId680" ref="L235"/>
    <hyperlink r:id="rId681" ref="L236"/>
    <hyperlink r:id="rId682" ref="T236"/>
    <hyperlink r:id="rId683" ref="L237"/>
    <hyperlink r:id="rId684" ref="T237"/>
    <hyperlink r:id="rId685" location="students" ref="AE237"/>
    <hyperlink r:id="rId686" ref="L238"/>
    <hyperlink r:id="rId687" ref="T238"/>
    <hyperlink r:id="rId688" location="students" ref="AE238"/>
    <hyperlink r:id="rId689" ref="L239"/>
    <hyperlink r:id="rId690" ref="T239"/>
    <hyperlink r:id="rId691" location="students" ref="AE239"/>
    <hyperlink r:id="rId692" ref="L240"/>
    <hyperlink r:id="rId693" location="tuition" ref="R240"/>
    <hyperlink r:id="rId694" ref="AE240"/>
    <hyperlink r:id="rId695" ref="L241"/>
    <hyperlink r:id="rId696" ref="P241"/>
    <hyperlink r:id="rId697" ref="T241"/>
    <hyperlink r:id="rId698" location="tuition" ref="L242"/>
    <hyperlink r:id="rId699" ref="P242"/>
    <hyperlink r:id="rId700" ref="L243"/>
    <hyperlink r:id="rId701" ref="P243"/>
    <hyperlink r:id="rId702" ref="T243"/>
    <hyperlink r:id="rId703" ref="AE243"/>
    <hyperlink r:id="rId704" ref="L244"/>
    <hyperlink r:id="rId705" ref="T244"/>
    <hyperlink r:id="rId706" ref="AE244"/>
    <hyperlink r:id="rId707" ref="L245"/>
    <hyperlink r:id="rId708" location="students" ref="L246"/>
    <hyperlink r:id="rId709" ref="P246"/>
    <hyperlink r:id="rId710" ref="T246"/>
    <hyperlink r:id="rId711" location="students" ref="AE246"/>
    <hyperlink r:id="rId712" location="students" ref="L247"/>
    <hyperlink r:id="rId713" ref="P247"/>
    <hyperlink r:id="rId714" location="students" ref="AE247"/>
    <hyperlink r:id="rId715" ref="L248"/>
    <hyperlink r:id="rId716" ref="T248"/>
    <hyperlink r:id="rId717" ref="AE248"/>
    <hyperlink r:id="rId718" ref="L249"/>
    <hyperlink r:id="rId719" ref="N249"/>
    <hyperlink r:id="rId720" ref="P249"/>
    <hyperlink r:id="rId721" ref="R249"/>
    <hyperlink r:id="rId722" ref="L250"/>
    <hyperlink r:id="rId723" ref="P250"/>
    <hyperlink r:id="rId724" location="students" ref="AE250"/>
    <hyperlink r:id="rId725" ref="L251"/>
    <hyperlink r:id="rId726" ref="N251"/>
    <hyperlink r:id="rId727" ref="T251"/>
    <hyperlink r:id="rId728" ref="AE251"/>
    <hyperlink r:id="rId729" ref="L252"/>
    <hyperlink r:id="rId730" ref="N252"/>
    <hyperlink r:id="rId731" location="students" ref="AE252"/>
    <hyperlink r:id="rId732" ref="P253"/>
    <hyperlink r:id="rId733" ref="L254"/>
    <hyperlink r:id="rId734" ref="T254"/>
    <hyperlink r:id="rId735" ref="AE254"/>
    <hyperlink r:id="rId736" location="students" ref="L255"/>
    <hyperlink r:id="rId737" ref="P255"/>
    <hyperlink r:id="rId738" ref="T255"/>
    <hyperlink r:id="rId739" ref="L256"/>
    <hyperlink r:id="rId740" ref="P256"/>
    <hyperlink r:id="rId741" location="students" ref="AE256"/>
    <hyperlink r:id="rId742" ref="L257"/>
    <hyperlink r:id="rId743" ref="P257"/>
    <hyperlink r:id="rId744" location="tuition" ref="R257"/>
    <hyperlink r:id="rId745" ref="AE257"/>
    <hyperlink r:id="rId746" ref="L258"/>
    <hyperlink r:id="rId747" ref="P258"/>
    <hyperlink r:id="rId748" ref="AE258"/>
    <hyperlink r:id="rId749" ref="L259"/>
    <hyperlink r:id="rId750" ref="P259"/>
    <hyperlink r:id="rId751" ref="L260"/>
    <hyperlink r:id="rId752" ref="P260"/>
    <hyperlink r:id="rId753" ref="AE260"/>
    <hyperlink r:id="rId754" location="students" ref="L261"/>
    <hyperlink r:id="rId755" ref="P261"/>
    <hyperlink r:id="rId756" ref="R261"/>
    <hyperlink r:id="rId757" ref="L262"/>
    <hyperlink r:id="rId758" ref="P262"/>
    <hyperlink r:id="rId759" ref="L263"/>
    <hyperlink r:id="rId760" ref="L264"/>
    <hyperlink r:id="rId761" ref="P264"/>
    <hyperlink r:id="rId762" location="students" ref="AE264"/>
    <hyperlink r:id="rId763" ref="L265"/>
    <hyperlink r:id="rId764" ref="P265"/>
    <hyperlink r:id="rId765" location="tuition" ref="R265"/>
    <hyperlink r:id="rId766" ref="AE265"/>
    <hyperlink r:id="rId767" ref="L266"/>
    <hyperlink r:id="rId768" ref="P266"/>
    <hyperlink r:id="rId769" ref="L268"/>
    <hyperlink r:id="rId770" ref="P268"/>
    <hyperlink r:id="rId771" ref="R268"/>
    <hyperlink r:id="rId772" location="students" ref="AE268"/>
    <hyperlink r:id="rId773" ref="P269"/>
    <hyperlink r:id="rId774" ref="T269"/>
    <hyperlink r:id="rId775" ref="L270"/>
    <hyperlink r:id="rId776" ref="T270"/>
    <hyperlink r:id="rId777" location="students" ref="AE270"/>
    <hyperlink r:id="rId778" ref="L271"/>
    <hyperlink r:id="rId779" ref="P271"/>
    <hyperlink r:id="rId780" ref="L272"/>
    <hyperlink r:id="rId781" ref="L273"/>
    <hyperlink r:id="rId782" ref="P273"/>
    <hyperlink r:id="rId783" location="students" ref="AE273"/>
    <hyperlink r:id="rId784" ref="L274"/>
    <hyperlink r:id="rId785" ref="P274"/>
    <hyperlink r:id="rId786" location="students" ref="AE274"/>
    <hyperlink r:id="rId787" ref="L275"/>
    <hyperlink r:id="rId788" ref="P275"/>
    <hyperlink r:id="rId789" ref="R275"/>
    <hyperlink r:id="rId790" ref="AE275"/>
    <hyperlink r:id="rId791" ref="L276"/>
    <hyperlink r:id="rId792" ref="P276"/>
    <hyperlink r:id="rId793" ref="P277"/>
    <hyperlink r:id="rId794" ref="P278"/>
    <hyperlink r:id="rId795" ref="L279"/>
    <hyperlink r:id="rId796" ref="P279"/>
    <hyperlink r:id="rId797" location="tuition" ref="T279"/>
    <hyperlink r:id="rId798" ref="L280"/>
    <hyperlink r:id="rId799" ref="P280"/>
    <hyperlink r:id="rId800" ref="L281"/>
    <hyperlink r:id="rId801" ref="P281"/>
    <hyperlink r:id="rId802" ref="L282"/>
    <hyperlink r:id="rId803" ref="T282"/>
    <hyperlink r:id="rId804" ref="L283"/>
    <hyperlink r:id="rId805" ref="P283"/>
    <hyperlink r:id="rId806" ref="L284"/>
    <hyperlink r:id="rId807" location=":~:text=When%20St.,from%20the%20Sisters%20of%20St." ref="P284"/>
    <hyperlink r:id="rId808" ref="T284"/>
    <hyperlink r:id="rId809" ref="L285"/>
    <hyperlink r:id="rId810" ref="P285"/>
    <hyperlink r:id="rId811" ref="L286"/>
    <hyperlink r:id="rId812" ref="P286"/>
    <hyperlink r:id="rId813" location="students" ref="L287"/>
    <hyperlink r:id="rId814" ref="P287"/>
    <hyperlink r:id="rId815" ref="T287"/>
    <hyperlink r:id="rId816" ref="L288"/>
    <hyperlink r:id="rId817" ref="R288"/>
    <hyperlink r:id="rId818" ref="L289"/>
    <hyperlink r:id="rId819" location="students" ref="L290"/>
    <hyperlink r:id="rId820" ref="P290"/>
    <hyperlink r:id="rId821" ref="P291"/>
    <hyperlink r:id="rId822" ref="L292"/>
    <hyperlink r:id="rId823" ref="P292"/>
    <hyperlink r:id="rId824" ref="T292"/>
    <hyperlink r:id="rId825" ref="L293"/>
    <hyperlink r:id="rId826" ref="L294"/>
    <hyperlink r:id="rId827" ref="T294"/>
    <hyperlink r:id="rId828" ref="L295"/>
    <hyperlink r:id="rId829" ref="P295"/>
    <hyperlink r:id="rId830" location=":~:text=It%20has%20203%20students%20in%20grades%20PK%2C%20K-8,Tuition%20is%20%245%2C770%20for%20the%20highest%20grade%20offered." ref="T295"/>
    <hyperlink r:id="rId831" ref="L296"/>
    <hyperlink r:id="rId832" ref="L297"/>
    <hyperlink r:id="rId833" ref="T297"/>
    <hyperlink r:id="rId834" location="students" ref="AE297"/>
    <hyperlink r:id="rId835" ref="L298"/>
    <hyperlink r:id="rId836" location="tuition" ref="T298"/>
    <hyperlink r:id="rId837" ref="AE298"/>
    <hyperlink r:id="rId838" ref="L299"/>
    <hyperlink r:id="rId839" location="students" ref="L300"/>
    <hyperlink r:id="rId840" ref="P300"/>
    <hyperlink r:id="rId841" ref="L301"/>
    <hyperlink r:id="rId842" location="students" ref="AE301"/>
    <hyperlink r:id="rId843" location="students" ref="L302"/>
    <hyperlink r:id="rId844" ref="P302"/>
    <hyperlink r:id="rId845" ref="L303"/>
    <hyperlink r:id="rId846" ref="T303"/>
    <hyperlink r:id="rId847" ref="L304"/>
    <hyperlink r:id="rId848" ref="R304"/>
    <hyperlink r:id="rId849" ref="T304"/>
    <hyperlink r:id="rId850" ref="L305"/>
    <hyperlink r:id="rId851" ref="T305"/>
    <hyperlink r:id="rId852" ref="L306"/>
    <hyperlink r:id="rId853" location="students" ref="AE306"/>
    <hyperlink r:id="rId854" ref="L307"/>
    <hyperlink r:id="rId855" ref="P307"/>
    <hyperlink r:id="rId856" ref="T307"/>
    <hyperlink r:id="rId857" ref="L308"/>
    <hyperlink r:id="rId858" ref="R308"/>
    <hyperlink r:id="rId859" location="tuition" ref="T308"/>
    <hyperlink r:id="rId860" location="students" ref="AE308"/>
    <hyperlink r:id="rId861" ref="L309"/>
    <hyperlink r:id="rId862" ref="T309"/>
    <hyperlink r:id="rId863" ref="L310"/>
    <hyperlink r:id="rId864" ref="L311"/>
    <hyperlink r:id="rId865" ref="R311"/>
    <hyperlink r:id="rId866" location="students" ref="AE311"/>
    <hyperlink r:id="rId867" ref="L312"/>
    <hyperlink r:id="rId868" ref="N312"/>
    <hyperlink r:id="rId869" ref="L313"/>
    <hyperlink r:id="rId870" ref="N313"/>
    <hyperlink r:id="rId871" ref="L314"/>
    <hyperlink r:id="rId872" ref="L315"/>
    <hyperlink r:id="rId873" ref="T315"/>
    <hyperlink r:id="rId874" ref="L316"/>
    <hyperlink r:id="rId875" ref="L317"/>
    <hyperlink r:id="rId876" ref="L318"/>
    <hyperlink r:id="rId877" ref="L319"/>
    <hyperlink r:id="rId878" ref="L320"/>
    <hyperlink r:id="rId879" location="students" ref="AE320"/>
    <hyperlink r:id="rId880" ref="L321"/>
    <hyperlink r:id="rId881" location="students" ref="L322"/>
    <hyperlink r:id="rId882" ref="L323"/>
    <hyperlink r:id="rId883" location="tuition" ref="AE323"/>
    <hyperlink r:id="rId884" ref="L324"/>
    <hyperlink r:id="rId885" ref="P325"/>
    <hyperlink r:id="rId886" ref="T325"/>
    <hyperlink r:id="rId887" ref="L326"/>
    <hyperlink r:id="rId888" location="osp-school-info*Enrollment" ref="T326"/>
    <hyperlink r:id="rId889" location="Neighborhood" ref="L327"/>
    <hyperlink r:id="rId890" ref="P327"/>
    <hyperlink r:id="rId891" ref="L328"/>
    <hyperlink r:id="rId892" ref="L329"/>
    <hyperlink r:id="rId893" ref="AE329"/>
    <hyperlink r:id="rId894" location="students" ref="L330"/>
    <hyperlink r:id="rId895" ref="P330"/>
    <hyperlink r:id="rId896" location="students" ref="AE330"/>
    <hyperlink r:id="rId897" ref="P331"/>
    <hyperlink r:id="rId898" location="students" ref="L332"/>
    <hyperlink r:id="rId899" ref="P332"/>
    <hyperlink r:id="rId900" location="tuition" ref="T332"/>
    <hyperlink r:id="rId901" location="students" ref="AE332"/>
    <hyperlink r:id="rId902" ref="L333"/>
    <hyperlink r:id="rId903" location="students" ref="AE333"/>
    <hyperlink r:id="rId904" location="students" ref="L334"/>
    <hyperlink r:id="rId905" ref="L335"/>
    <hyperlink r:id="rId906" ref="T335"/>
    <hyperlink r:id="rId907" ref="L338"/>
    <hyperlink r:id="rId908" ref="P338"/>
    <hyperlink r:id="rId909" ref="T338"/>
    <hyperlink r:id="rId910" location="students" ref="AE338"/>
    <hyperlink r:id="rId911" ref="L339"/>
    <hyperlink r:id="rId912" location="students" ref="L340"/>
    <hyperlink r:id="rId913" ref="L341"/>
    <hyperlink r:id="rId914" ref="T341"/>
    <hyperlink r:id="rId915" ref="L342"/>
    <hyperlink r:id="rId916" location="students" ref="L343"/>
    <hyperlink r:id="rId917" ref="L344"/>
    <hyperlink r:id="rId918" location="tuition" ref="R344"/>
    <hyperlink r:id="rId919" location="students" ref="AE344"/>
    <hyperlink r:id="rId920" ref="L345"/>
    <hyperlink r:id="rId921" location="students" ref="AE345"/>
    <hyperlink r:id="rId922" ref="L346"/>
    <hyperlink r:id="rId923" location="tuition" ref="T346"/>
    <hyperlink r:id="rId924" location="students" ref="AE346"/>
    <hyperlink r:id="rId925" ref="L347"/>
    <hyperlink r:id="rId926" ref="P347"/>
    <hyperlink r:id="rId927" ref="L348"/>
    <hyperlink r:id="rId928" ref="T348"/>
    <hyperlink r:id="rId929" location="students" ref="AE348"/>
    <hyperlink r:id="rId930" ref="L349"/>
    <hyperlink r:id="rId931" ref="T349"/>
    <hyperlink r:id="rId932" location="students" ref="AE349"/>
    <hyperlink r:id="rId933" ref="L350"/>
    <hyperlink r:id="rId934" ref="N350"/>
    <hyperlink r:id="rId935" ref="AE350"/>
    <hyperlink r:id="rId936" ref="N351"/>
    <hyperlink r:id="rId937" ref="AE351"/>
    <hyperlink r:id="rId938" location="students" ref="L352"/>
    <hyperlink r:id="rId939" ref="N352"/>
    <hyperlink r:id="rId940" location="tuition" ref="T352"/>
    <hyperlink r:id="rId941" location="students" ref="AE352"/>
    <hyperlink r:id="rId942" ref="L353"/>
    <hyperlink r:id="rId943" ref="T353"/>
    <hyperlink r:id="rId944" location="students" ref="AE353"/>
    <hyperlink r:id="rId945" ref="L354"/>
    <hyperlink r:id="rId946" ref="P354"/>
    <hyperlink r:id="rId947" ref="AE354"/>
    <hyperlink r:id="rId948" ref="L355"/>
    <hyperlink r:id="rId949" location="students" ref="L356"/>
    <hyperlink r:id="rId950" location="tuition" ref="T356"/>
    <hyperlink r:id="rId951" ref="L357"/>
    <hyperlink r:id="rId952" location="tuition" ref="T357"/>
    <hyperlink r:id="rId953" ref="AE357"/>
    <hyperlink r:id="rId954" ref="L358"/>
    <hyperlink r:id="rId955" ref="T358"/>
    <hyperlink r:id="rId956" ref="AE358"/>
    <hyperlink r:id="rId957" ref="L359"/>
    <hyperlink r:id="rId958" ref="L360"/>
    <hyperlink r:id="rId959" ref="T360"/>
    <hyperlink r:id="rId960" location="students" ref="AE360"/>
    <hyperlink r:id="rId961" ref="L361"/>
    <hyperlink r:id="rId962" ref="L362"/>
    <hyperlink r:id="rId963" ref="L363"/>
    <hyperlink r:id="rId964" ref="N363"/>
    <hyperlink r:id="rId965" ref="L364"/>
    <hyperlink r:id="rId966" ref="L365"/>
    <hyperlink r:id="rId967" ref="L366"/>
    <hyperlink r:id="rId968" location="students" ref="AE366"/>
    <hyperlink r:id="rId969" ref="L367"/>
    <hyperlink r:id="rId970" ref="T367"/>
    <hyperlink r:id="rId971" ref="AE367"/>
    <hyperlink r:id="rId972" ref="L368"/>
    <hyperlink r:id="rId973" ref="T368"/>
    <hyperlink r:id="rId974" location="students" ref="AE368"/>
    <hyperlink r:id="rId975" ref="L369"/>
    <hyperlink r:id="rId976" ref="L370"/>
    <hyperlink r:id="rId977" ref="T370"/>
    <hyperlink r:id="rId978" ref="L371"/>
    <hyperlink r:id="rId979" ref="T371"/>
    <hyperlink r:id="rId980" ref="L372"/>
    <hyperlink r:id="rId981" ref="T372"/>
    <hyperlink r:id="rId982" ref="L373"/>
    <hyperlink r:id="rId983" ref="L374"/>
    <hyperlink r:id="rId984" ref="T374"/>
    <hyperlink r:id="rId985" location="students" ref="AE374"/>
    <hyperlink r:id="rId986" ref="L375"/>
    <hyperlink r:id="rId987" location="students" ref="AE375"/>
    <hyperlink r:id="rId988" ref="L376"/>
    <hyperlink r:id="rId989" ref="L377"/>
    <hyperlink r:id="rId990" ref="T377"/>
    <hyperlink r:id="rId991" ref="L378"/>
    <hyperlink r:id="rId992" location="tuition" ref="T378"/>
    <hyperlink r:id="rId993" location="students" ref="AE378"/>
    <hyperlink r:id="rId994" ref="L379"/>
    <hyperlink r:id="rId995" location="tuition" ref="T379"/>
    <hyperlink r:id="rId996" ref="L380"/>
    <hyperlink r:id="rId997" ref="T380"/>
    <hyperlink r:id="rId998" location="students" ref="AE380"/>
    <hyperlink r:id="rId999" location="students" ref="L381"/>
    <hyperlink r:id="rId1000" location="students" ref="AE381"/>
    <hyperlink r:id="rId1001" ref="P382"/>
    <hyperlink r:id="rId1002" ref="P383"/>
    <hyperlink r:id="rId1003" ref="P384"/>
    <hyperlink r:id="rId1004" ref="AE384"/>
    <hyperlink r:id="rId1005" ref="L385"/>
    <hyperlink r:id="rId1006" ref="P385"/>
    <hyperlink r:id="rId1007" ref="T385"/>
    <hyperlink r:id="rId1008" location="students" ref="AE385"/>
    <hyperlink r:id="rId1009" location="students" ref="L386"/>
    <hyperlink r:id="rId1010" ref="L387"/>
    <hyperlink r:id="rId1011" location="students" ref="L388"/>
    <hyperlink r:id="rId1012" ref="P388"/>
    <hyperlink r:id="rId1013" location="students" ref="AE388"/>
    <hyperlink r:id="rId1014" ref="L389"/>
    <hyperlink r:id="rId1015" ref="P389"/>
    <hyperlink r:id="rId1016" ref="T389"/>
    <hyperlink r:id="rId1017" location="students" ref="L390"/>
    <hyperlink r:id="rId1018" ref="P390"/>
    <hyperlink r:id="rId1019" location="students" ref="AE390"/>
    <hyperlink r:id="rId1020" location="students" ref="L391"/>
    <hyperlink r:id="rId1021" ref="P391"/>
    <hyperlink r:id="rId1022" ref="T391"/>
    <hyperlink r:id="rId1023" ref="L392"/>
    <hyperlink r:id="rId1024" ref="P392"/>
    <hyperlink r:id="rId1025" ref="T392"/>
    <hyperlink r:id="rId1026" location="students" ref="L393"/>
    <hyperlink r:id="rId1027" ref="P393"/>
    <hyperlink r:id="rId1028" ref="T393"/>
    <hyperlink r:id="rId1029" location="students" ref="AE393"/>
    <hyperlink r:id="rId1030" location="students" ref="L394"/>
    <hyperlink r:id="rId1031" ref="T394"/>
    <hyperlink r:id="rId1032" ref="L395"/>
    <hyperlink r:id="rId1033" location="students" ref="AE395"/>
    <hyperlink r:id="rId1034" ref="L396"/>
    <hyperlink r:id="rId1035" location="tuition" ref="T396"/>
    <hyperlink r:id="rId1036" ref="L397"/>
    <hyperlink r:id="rId1037" ref="T397"/>
    <hyperlink r:id="rId1038" location="students" ref="AE397"/>
    <hyperlink r:id="rId1039" ref="L398"/>
    <hyperlink r:id="rId1040" ref="T398"/>
    <hyperlink r:id="rId1041" location="students" ref="AE398"/>
    <hyperlink r:id="rId1042" location="students" ref="L399"/>
    <hyperlink r:id="rId1043" ref="P399"/>
    <hyperlink r:id="rId1044" ref="T399"/>
    <hyperlink r:id="rId1045" ref="AE399"/>
    <hyperlink r:id="rId1046" location="students" ref="L400"/>
    <hyperlink r:id="rId1047" ref="P400"/>
    <hyperlink r:id="rId1048" ref="T400"/>
    <hyperlink r:id="rId1049" location="students" ref="AE400"/>
    <hyperlink r:id="rId1050" ref="L401"/>
    <hyperlink r:id="rId1051" ref="P401"/>
    <hyperlink r:id="rId1052" ref="T401"/>
    <hyperlink r:id="rId1053" location="students" ref="AE401"/>
    <hyperlink r:id="rId1054" ref="L402"/>
    <hyperlink r:id="rId1055" ref="T402"/>
    <hyperlink r:id="rId1056" ref="L403"/>
    <hyperlink r:id="rId1057" ref="O403"/>
    <hyperlink r:id="rId1058" ref="P403"/>
    <hyperlink r:id="rId1059" ref="L404"/>
    <hyperlink r:id="rId1060" ref="P404"/>
    <hyperlink r:id="rId1061" ref="L405"/>
    <hyperlink r:id="rId1062" ref="P405"/>
    <hyperlink r:id="rId1063" ref="T405"/>
    <hyperlink r:id="rId1064" ref="L406"/>
    <hyperlink r:id="rId1065" ref="P406"/>
    <hyperlink r:id="rId1066" ref="L407"/>
    <hyperlink r:id="rId1067" ref="O407"/>
    <hyperlink r:id="rId1068" ref="P407"/>
    <hyperlink r:id="rId1069" ref="T407"/>
    <hyperlink r:id="rId1070" ref="L408"/>
    <hyperlink r:id="rId1071" ref="P408"/>
    <hyperlink r:id="rId1072" ref="T408"/>
    <hyperlink r:id="rId1073" ref="L409"/>
    <hyperlink r:id="rId1074" ref="O409"/>
    <hyperlink r:id="rId1075" ref="P409"/>
    <hyperlink r:id="rId1076" ref="T409"/>
    <hyperlink r:id="rId1077" ref="L410"/>
    <hyperlink r:id="rId1078" location="students" ref="L411"/>
    <hyperlink r:id="rId1079" ref="P411"/>
    <hyperlink r:id="rId1080" location="students" ref="AE411"/>
    <hyperlink r:id="rId1081" ref="N412"/>
    <hyperlink r:id="rId1082" location="tuition" ref="T412"/>
    <hyperlink r:id="rId1083" ref="L413"/>
    <hyperlink r:id="rId1084" ref="L414"/>
    <hyperlink r:id="rId1085" ref="P415"/>
    <hyperlink r:id="rId1086" ref="P416"/>
    <hyperlink r:id="rId1087" ref="L417"/>
    <hyperlink r:id="rId1088" ref="P418"/>
    <hyperlink r:id="rId1089" ref="P419"/>
    <hyperlink r:id="rId1090" ref="P420"/>
    <hyperlink r:id="rId1091" ref="L421"/>
    <hyperlink r:id="rId1092" ref="L422"/>
    <hyperlink r:id="rId1093" ref="T422"/>
    <hyperlink r:id="rId1094" location="students" ref="AE422"/>
    <hyperlink r:id="rId1095" ref="L423"/>
    <hyperlink r:id="rId1096" ref="T423"/>
    <hyperlink r:id="rId1097" location="students" ref="AE423"/>
    <hyperlink r:id="rId1098" ref="L426"/>
    <hyperlink r:id="rId1099" ref="P426"/>
    <hyperlink r:id="rId1100" ref="T426"/>
    <hyperlink r:id="rId1101" ref="AE426"/>
    <hyperlink r:id="rId1102" ref="L427"/>
    <hyperlink r:id="rId1103" ref="P427"/>
    <hyperlink r:id="rId1104" ref="T427"/>
    <hyperlink r:id="rId1105" ref="L428"/>
    <hyperlink r:id="rId1106" ref="P428"/>
    <hyperlink r:id="rId1107" ref="R428"/>
    <hyperlink r:id="rId1108" ref="T428"/>
    <hyperlink r:id="rId1109" ref="AE428"/>
    <hyperlink r:id="rId1110" ref="L429"/>
    <hyperlink r:id="rId1111" ref="P429"/>
    <hyperlink r:id="rId1112" ref="T429"/>
    <hyperlink r:id="rId1113" ref="AE429"/>
    <hyperlink r:id="rId1114" ref="L430"/>
    <hyperlink r:id="rId1115" ref="P430"/>
    <hyperlink r:id="rId1116" ref="T430"/>
    <hyperlink r:id="rId1117" location="students" ref="AE430"/>
    <hyperlink r:id="rId1118" ref="L431"/>
    <hyperlink r:id="rId1119" ref="P431"/>
    <hyperlink r:id="rId1120" ref="T431"/>
    <hyperlink r:id="rId1121" ref="AE431"/>
    <hyperlink r:id="rId1122" ref="L432"/>
    <hyperlink r:id="rId1123" ref="P432"/>
    <hyperlink r:id="rId1124" ref="T432"/>
    <hyperlink r:id="rId1125" ref="AE432"/>
    <hyperlink r:id="rId1126" ref="L433"/>
    <hyperlink r:id="rId1127" ref="P433"/>
    <hyperlink r:id="rId1128" ref="L434"/>
    <hyperlink r:id="rId1129" ref="P434"/>
    <hyperlink r:id="rId1130" ref="T434"/>
    <hyperlink r:id="rId1131" ref="AE434"/>
    <hyperlink r:id="rId1132" ref="L435"/>
    <hyperlink r:id="rId1133" ref="P435"/>
    <hyperlink r:id="rId1134" ref="T435"/>
    <hyperlink r:id="rId1135" ref="L436"/>
    <hyperlink r:id="rId1136" ref="P436"/>
    <hyperlink r:id="rId1137" ref="T436"/>
    <hyperlink r:id="rId1138" ref="AE436"/>
    <hyperlink r:id="rId1139" ref="P437"/>
    <hyperlink r:id="rId1140" ref="T437"/>
    <hyperlink r:id="rId1141" ref="L438"/>
    <hyperlink r:id="rId1142" ref="P438"/>
    <hyperlink r:id="rId1143" ref="L439"/>
    <hyperlink r:id="rId1144" ref="P439"/>
    <hyperlink r:id="rId1145" ref="AE439"/>
    <hyperlink r:id="rId1146" ref="L440"/>
    <hyperlink r:id="rId1147" ref="P440"/>
    <hyperlink r:id="rId1148" ref="T440"/>
    <hyperlink r:id="rId1149" ref="AE440"/>
    <hyperlink r:id="rId1150" ref="L441"/>
    <hyperlink r:id="rId1151" ref="P441"/>
    <hyperlink r:id="rId1152" ref="T441"/>
    <hyperlink r:id="rId1153" ref="AE441"/>
    <hyperlink r:id="rId1154" ref="L442"/>
    <hyperlink r:id="rId1155" ref="P442"/>
    <hyperlink r:id="rId1156" ref="T442"/>
    <hyperlink r:id="rId1157" ref="AE442"/>
    <hyperlink r:id="rId1158" ref="L443"/>
    <hyperlink r:id="rId1159" ref="P443"/>
    <hyperlink r:id="rId1160" ref="R443"/>
    <hyperlink r:id="rId1161" ref="T443"/>
    <hyperlink r:id="rId1162" ref="AE443"/>
    <hyperlink r:id="rId1163" ref="L444"/>
    <hyperlink r:id="rId1164" ref="P444"/>
    <hyperlink r:id="rId1165" ref="T444"/>
    <hyperlink r:id="rId1166" ref="L445"/>
    <hyperlink r:id="rId1167" ref="P445"/>
    <hyperlink r:id="rId1168" ref="T445"/>
    <hyperlink r:id="rId1169" ref="AE445"/>
    <hyperlink r:id="rId1170" ref="L446"/>
    <hyperlink r:id="rId1171" ref="P446"/>
    <hyperlink r:id="rId1172" location="google_vignette" ref="R446"/>
    <hyperlink r:id="rId1173" location="google_vignette" ref="T446"/>
    <hyperlink r:id="rId1174" ref="AE446"/>
    <hyperlink r:id="rId1175" ref="L447"/>
    <hyperlink r:id="rId1176" ref="P447"/>
    <hyperlink r:id="rId1177" ref="L448"/>
    <hyperlink r:id="rId1178" ref="P448"/>
    <hyperlink r:id="rId1179" ref="T448"/>
    <hyperlink r:id="rId1180" ref="AE448"/>
    <hyperlink r:id="rId1181" ref="P449"/>
    <hyperlink r:id="rId1182" ref="T449"/>
    <hyperlink r:id="rId1183" ref="L450"/>
    <hyperlink r:id="rId1184" ref="P450"/>
    <hyperlink r:id="rId1185" ref="T450"/>
    <hyperlink r:id="rId1186" ref="AE450"/>
    <hyperlink r:id="rId1187" ref="L451"/>
    <hyperlink r:id="rId1188" ref="P451"/>
    <hyperlink r:id="rId1189" ref="R451"/>
    <hyperlink r:id="rId1190" ref="T451"/>
    <hyperlink r:id="rId1191" ref="AE451"/>
  </hyperlinks>
  <printOptions/>
  <pageMargins bottom="0.75" footer="0.0" header="0.0" left="0.7" right="0.7" top="0.75"/>
  <pageSetup orientation="portrait"/>
  <drawing r:id="rId119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1942</v>
      </c>
      <c r="B1" s="102" t="s">
        <v>6</v>
      </c>
      <c r="I1" s="102" t="s">
        <v>1943</v>
      </c>
      <c r="J1" s="102" t="s">
        <v>1944</v>
      </c>
      <c r="K1" s="102" t="s">
        <v>1945</v>
      </c>
      <c r="L1" s="103"/>
      <c r="M1" s="103"/>
      <c r="N1" s="103"/>
      <c r="O1" s="103"/>
      <c r="P1" s="103"/>
      <c r="Q1" s="103"/>
      <c r="R1" s="103"/>
      <c r="S1" s="103"/>
      <c r="T1" s="103"/>
    </row>
    <row r="2">
      <c r="A2" s="106"/>
      <c r="B2" s="105" t="s">
        <v>1938</v>
      </c>
      <c r="C2" s="105" t="s">
        <v>1939</v>
      </c>
      <c r="D2" s="105" t="s">
        <v>506</v>
      </c>
      <c r="E2" s="105" t="s">
        <v>68</v>
      </c>
      <c r="F2" s="105" t="s">
        <v>1338</v>
      </c>
      <c r="G2" s="104" t="s">
        <v>237</v>
      </c>
      <c r="H2" s="105" t="s">
        <v>1940</v>
      </c>
      <c r="I2" s="106"/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</row>
    <row r="3">
      <c r="A3" s="105">
        <f> COUNTIF(All_closures!J2:J1005, "&gt;=8/1/2025")</f>
        <v>68</v>
      </c>
      <c r="B3" s="105">
        <f> COUNTIFS(All_closures!J2:J1005, "&gt;=8/1/2025",All_closures!I2:I1005, "Roman Catholic")</f>
        <v>50</v>
      </c>
      <c r="C3" s="105">
        <f> COUNTIFS(All_closures!J2:J1005, "&gt;=8/1/2025",All_closures!I2:I1005, "Episcopal")</f>
        <v>1</v>
      </c>
      <c r="D3" s="105">
        <f> COUNTIFS(All_closures!J2:J1005, "&gt;=8/1/2025",All_closures!I2:I1005, "Lutheran")</f>
        <v>0</v>
      </c>
      <c r="E3" s="105">
        <f> COUNTIFS(All_closures!J2:J1005, "&gt;=8/1/2025",All_closures!I2:I1005,  "Christian")</f>
        <v>4</v>
      </c>
      <c r="F3" s="105">
        <f> COUNTIFS(All_closures!J2:J1005, "&gt;=8/1/2025",All_closures!I2:I1005,  "Jewish")</f>
        <v>2</v>
      </c>
      <c r="G3" s="105">
        <f> COUNTIFS(All_closures!J2:J1005, "&gt;=8/1/2025",All_closures!I2:I1005,  "Special needs")</f>
        <v>0</v>
      </c>
      <c r="H3" s="105">
        <f> COUNTIFS(All_closures!J2:J1005, "&gt;=8/1/2025",All_closures!I2:I1005,  "Independent")</f>
        <v>11</v>
      </c>
      <c r="I3" s="112">
        <f> SUMIF(All_closures!J2:J1005, "&gt;=8/1/2025",  All_closures!K2:K1005)</f>
        <v>8618</v>
      </c>
      <c r="J3" s="112">
        <f> if(A3=0,"", SUMIF(All_closures!J2:J1005, "&gt;=8/1/2025",  All_closures!K2:K1005)/A3)</f>
        <v>126.7352941</v>
      </c>
      <c r="K3" s="113">
        <f> if(A3=0,"",AVERAGEIF(All_closures!J2:J1005, "&gt;=8/1/2025",  All_closures!S2:S1005))</f>
        <v>11743.72917</v>
      </c>
      <c r="L3" s="109"/>
      <c r="M3" s="109"/>
      <c r="N3" s="109"/>
      <c r="O3" s="109"/>
      <c r="P3" s="109"/>
      <c r="Q3" s="110"/>
      <c r="R3" s="111"/>
      <c r="S3" s="111"/>
      <c r="T3" s="111"/>
    </row>
    <row r="4">
      <c r="A4" s="105"/>
    </row>
    <row r="5">
      <c r="A5" s="105"/>
    </row>
    <row r="6">
      <c r="A6" s="105"/>
    </row>
    <row r="8">
      <c r="A8" s="105"/>
    </row>
  </sheetData>
  <mergeCells count="1">
    <mergeCell ref="B1:H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9.0"/>
  </cols>
  <sheetData>
    <row r="1">
      <c r="A1" s="1"/>
      <c r="B1" s="2" t="s">
        <v>0</v>
      </c>
    </row>
    <row r="2">
      <c r="A2" s="1">
        <f t="shared" ref="A2:A13" si="1">IF(EDATE(DATE(2025,6,1), row(A2))&lt;TODAY(), EDATE(DATE(2025,6,1), Row(A2)), "")</f>
        <v>45870</v>
      </c>
      <c r="B2" s="3">
        <f> IF(A2="","",COUNTIFS(All_closures!$J$2:$J$1005, "&gt;="&amp; EDATE(DATE(2025,6,1), row(B2)),All_closures!$J$2:$J$1005, "&lt;"&amp; EDATE(DATE(2025,7,1), row(B2))))</f>
        <v>0</v>
      </c>
    </row>
    <row r="3">
      <c r="A3" s="1">
        <f t="shared" si="1"/>
        <v>45901</v>
      </c>
      <c r="B3" s="3">
        <f> IF(A3="","",COUNTIFS(All_closures!$J$2:$J$1005, "&gt;="&amp; EDATE(DATE(2025,6,1), row(B3)),All_closures!$J$2:$J$1005, "&lt;"&amp; EDATE(DATE(2025,7,1), row(B3))))</f>
        <v>2</v>
      </c>
    </row>
    <row r="4">
      <c r="A4" s="1">
        <f t="shared" si="1"/>
        <v>45931</v>
      </c>
      <c r="B4" s="3">
        <f> IF(A4="","",COUNTIFS(All_closures!$J$2:$J$1005, "&gt;="&amp; EDATE(DATE(2025,6,1), row(B4)),All_closures!$J$2:$J$1005, "&lt;"&amp; EDATE(DATE(2025,7,1), row(B4))))</f>
        <v>2</v>
      </c>
    </row>
    <row r="5">
      <c r="A5" s="1">
        <f t="shared" si="1"/>
        <v>45962</v>
      </c>
      <c r="B5" s="3">
        <f> IF(A5="","",COUNTIFS(All_closures!$J$2:$J$1005, "&gt;="&amp; EDATE(DATE(2025,6,1), row(B5)),All_closures!$J$2:$J$1005, "&lt;"&amp; EDATE(DATE(2025,7,1), row(B5))))</f>
        <v>2</v>
      </c>
    </row>
    <row r="6">
      <c r="A6" s="1">
        <f t="shared" si="1"/>
        <v>45992</v>
      </c>
      <c r="B6" s="3">
        <f> IF(A6="","",COUNTIFS(All_closures!$J$2:$J$1005, "&gt;="&amp; EDATE(DATE(2025,6,1), row(B6)),All_closures!$J$2:$J$1005, "&lt;"&amp; EDATE(DATE(2025,7,1), row(B6))))</f>
        <v>2</v>
      </c>
    </row>
    <row r="7">
      <c r="A7" s="1">
        <f t="shared" si="1"/>
        <v>46023</v>
      </c>
      <c r="B7" s="3">
        <f> IF(A7="","",COUNTIFS(All_closures!$J$2:$J$1005, "&gt;="&amp; EDATE(DATE(2025,6,1), row(B7)),All_closures!$J$2:$J$1005, "&lt;"&amp; EDATE(DATE(2025,7,1), row(B7))))</f>
        <v>11</v>
      </c>
    </row>
    <row r="8">
      <c r="A8" s="1">
        <f t="shared" si="1"/>
        <v>46054</v>
      </c>
      <c r="B8" s="3">
        <f> IF(A8="","",COUNTIFS(All_closures!$J$2:$J$1005, "&gt;="&amp; EDATE(DATE(2025,6,1), row(B8)),All_closures!$J$2:$J$1005, "&lt;"&amp; EDATE(DATE(2025,7,1), row(B8))))</f>
        <v>12</v>
      </c>
    </row>
    <row r="9">
      <c r="A9" s="1">
        <f t="shared" si="1"/>
        <v>46082</v>
      </c>
      <c r="B9" s="3">
        <f> IF(A9="","",COUNTIFS(All_closures!$J$2:$J$1005, "&gt;="&amp; EDATE(DATE(2025,6,1), row(B9)),All_closures!$J$2:$J$1005, "&lt;"&amp; EDATE(DATE(2025,7,1), row(B9))))</f>
        <v>13</v>
      </c>
    </row>
    <row r="10">
      <c r="A10" s="1">
        <f t="shared" si="1"/>
        <v>46113</v>
      </c>
      <c r="B10" s="3">
        <f> IF(A10="","",COUNTIFS(All_closures!$J$2:$J$1005, "&gt;="&amp; EDATE(DATE(2025,6,1), row(B10)),All_closures!$J$2:$J$1005, "&lt;"&amp; EDATE(DATE(2025,7,1), row(B10))))</f>
        <v>1</v>
      </c>
    </row>
    <row r="11">
      <c r="A11" s="1">
        <f t="shared" si="1"/>
        <v>46143</v>
      </c>
      <c r="B11" s="3">
        <f> IF(A11="","",COUNTIFS(All_closures!$J$2:$J$1005, "&gt;="&amp; EDATE(DATE(2025,6,1), row(B11)),All_closures!$J$2:$J$1005, "&lt;"&amp; EDATE(DATE(2025,7,1), row(B11))))</f>
        <v>6</v>
      </c>
    </row>
    <row r="12">
      <c r="A12" s="1">
        <f t="shared" si="1"/>
        <v>46174</v>
      </c>
      <c r="B12" s="3">
        <f> IF(A12="","",COUNTIFS(All_closures!$J$2:$J$1005, "&gt;="&amp; EDATE(DATE(2025,6,1), row(B12)),All_closures!$J$2:$J$1005, "&lt;"&amp; EDATE(DATE(2025,7,1), row(B12))))</f>
        <v>13</v>
      </c>
    </row>
    <row r="13">
      <c r="A13" s="1">
        <f t="shared" si="1"/>
        <v>46204</v>
      </c>
      <c r="B13" s="3">
        <f> IF(A13="","",COUNTIFS(All_closures!$J$2:$J$1005, "&gt;="&amp; EDATE(DATE(2025,6,1), row(B13)),All_closures!$J$2:$J$1005, "&lt;"&amp; EDATE(DATE(2025,7,1), row(B13))))</f>
        <v>4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 t="str">
        <f t="shared" ref="A59:A61" si="2">IF(EDATE(DATE(2023,6,1), row(A59))&lt;TODAY(), EDATE(DATE(2023,6,1), Row(A59)), "")</f>
        <v/>
      </c>
      <c r="B59" s="3" t="str">
        <f> IF(A59="","",COUNTIFS(All_closures!$J$2:$J$1005, "&gt;="&amp; EDATE(DATE(2023,6,1), row(B59)),All_closures!$J$2:$J$1005, "&lt;"&amp; EDATE(DATE(2023,7,1), row(B59))))</f>
        <v/>
      </c>
    </row>
    <row r="60">
      <c r="A60" s="1" t="str">
        <f t="shared" si="2"/>
        <v/>
      </c>
      <c r="B60" s="3" t="str">
        <f> IF(A60="","",COUNTIFS(All_closures!$J$2:$J$1005, "&gt;="&amp; EDATE(DATE(2023,6,1), row(B60)),All_closures!$J$2:$J$1005, "&lt;"&amp; EDATE(DATE(2023,7,1), row(B60))))</f>
        <v/>
      </c>
    </row>
    <row r="61">
      <c r="A61" s="1" t="str">
        <f t="shared" si="2"/>
        <v/>
      </c>
      <c r="B61" s="3" t="str">
        <f> IF(A61="","",COUNTIFS(All_closures!$J$2:$J$1005, "&gt;="&amp; EDATE(DATE(2023,6,1), row(B61)),All_closures!$J$2:$J$1005, "&lt;"&amp; EDATE(DATE(2023,7,1), row(B61))))</f>
        <v/>
      </c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4362</v>
      </c>
      <c r="B2" s="288">
        <f> SUMIF(All_closures!J2:J1005, "&gt;=8/1/2025",  All_closures!AB2:AB1005)/SUMIFS(All_closures!K2:K1005, All_closures!J2:J1005, "&gt;=8/1/2025",All_closures!AA2:AA1005,"&lt;&gt;")*100</f>
        <v>34.21718821</v>
      </c>
    </row>
    <row r="3">
      <c r="A3" s="2" t="s">
        <v>4363</v>
      </c>
      <c r="B3" s="288">
        <f> SUMIF(All_closures!J2:J1005, "&gt;=8/1/2025",  All_closures!V2:V1005)/SUMIFS(All_closures!K2:K1005, All_closures!J2:J1005, "&gt;=8/1/2025",All_closures!U2:U1005,"&lt;&gt;")*100</f>
        <v>19.68733581</v>
      </c>
    </row>
    <row r="4">
      <c r="A4" s="2" t="s">
        <v>4364</v>
      </c>
      <c r="B4" s="288">
        <f> SUMIF(All_closures!J2:J1005, "&gt;=8/1/2025",  All_closures!X2:X1005)/SUMIFS(All_closures!K2:K1005, All_closures!J2:J1005, "&gt;=8/1/2025",All_closures!W2:W1005,"&lt;&gt;")*100</f>
        <v>25.32557976</v>
      </c>
    </row>
    <row r="5">
      <c r="A5" s="2" t="s">
        <v>4365</v>
      </c>
      <c r="B5" s="288">
        <f> SUMIF(All_closures!J2:J1005, "&gt;=8/1/2025",  All_closures!Z2:Z1005)/SUMIFS(All_closures!K2:K1005, All_closures!J2:J1005, "&gt;=8/1/2025",All_closures!Y2:Y1005,"&lt;&gt;")*100</f>
        <v>7.035455105</v>
      </c>
    </row>
    <row r="6">
      <c r="A6" s="2" t="s">
        <v>4366</v>
      </c>
      <c r="B6" s="288">
        <f> SUMIF(All_closures!J2:J1005, "&gt;=8/1/2025",  All_closures!AD2:AD1005)/SUMIFS(All_closures!K2:K1005, All_closures!J2:J1005, "&gt;=8/1/2025",All_closures!AC2:AC1005,"&lt;&gt;")*100</f>
        <v>14.20804345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4362</v>
      </c>
      <c r="B2" s="288">
        <f> SUMIF(All_closures!J2:J1005, "&gt;=8/1/2022",  All_closures!AB2:AB1005)/SUMIFS(All_closures!K2:K1005, All_closures!J2:J1005, "&gt;=8/1/2022",All_closures!AA2:AA1005,"&lt;&gt;")*100</f>
        <v>37.74170783</v>
      </c>
    </row>
    <row r="3">
      <c r="A3" s="2" t="s">
        <v>4363</v>
      </c>
      <c r="B3" s="288">
        <f> SUMIF(All_closures!J2:J1005, "&gt;=8/1/2022",  All_closures!V2:V1005)/SUMIFS(All_closures!K2:K1005, All_closures!J2:J1005, "&gt;=8/1/2022",All_closures!U2:U1005,"&lt;&gt;")*100</f>
        <v>18.22610689</v>
      </c>
    </row>
    <row r="4">
      <c r="A4" s="2" t="s">
        <v>4364</v>
      </c>
      <c r="B4" s="288">
        <f> SUMIF(All_closures!J2:J1005, "&gt;=8/1/2022",  All_closures!X2:X1005)/SUMIFS(All_closures!K2:K1005, All_closures!J2:J1005, "&gt;=8/1/2022",All_closures!W2:W1005,"&lt;&gt;")*100</f>
        <v>27.39603134</v>
      </c>
    </row>
    <row r="5">
      <c r="A5" s="2" t="s">
        <v>4365</v>
      </c>
      <c r="B5" s="288">
        <f> SUMIF(All_closures!J2:J1005, "&gt;=8/1/2022",  All_closures!Z2:Z1005)/SUMIFS(All_closures!K2:K1005, All_closures!J2:J1005, "&gt;=8/1/2022",All_closures!Y2:Y1005,"&lt;&gt;")*100</f>
        <v>6.602969634</v>
      </c>
    </row>
    <row r="6">
      <c r="A6" s="2" t="s">
        <v>4366</v>
      </c>
      <c r="B6" s="288">
        <f> SUMIF(All_closures!J2:J1005, "&gt;=8/1/2022",  All_closures!AD2:AD1005)/SUMIFS(All_closures!K2:K1005, All_closures!J2:J1005, "&gt;=8/1/2022",All_closures!AC2:AC1005,"&lt;&gt;")*100</f>
        <v>11.94372428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4362</v>
      </c>
      <c r="B2" s="288">
        <f> SUMIF(All_closures!J2:J1005, "&gt;=8/1/2023",  All_closures!AB2:AB1005)/SUMIFS(All_closures!K2:K1005, All_closures!J2:J1005, "&gt;=8/1/2023",All_closures!AA2:AA1005,"&lt;&gt;")*100</f>
        <v>39.38073399</v>
      </c>
    </row>
    <row r="3">
      <c r="A3" s="2" t="s">
        <v>4363</v>
      </c>
      <c r="B3" s="288">
        <f> SUMIF(All_closures!J2:J1005, "&gt;=8/1/2023",  All_closures!V2:V1005)/SUMIFS(All_closures!K2:K1005, All_closures!J2:J1005, "&gt;=8/1/2023",All_closures!U2:U1005,"&lt;&gt;")*100</f>
        <v>16.9513075</v>
      </c>
    </row>
    <row r="4">
      <c r="A4" s="2" t="s">
        <v>4364</v>
      </c>
      <c r="B4" s="288">
        <f> SUMIF(All_closures!J2:J1005, "&gt;=8/1/2023",  All_closures!X2:X1005)/SUMIFS(All_closures!K2:K1005, All_closures!J2:J1005, "&gt;=8/1/2023",All_closures!W2:W1005,"&lt;&gt;")*100</f>
        <v>25.62009609</v>
      </c>
    </row>
    <row r="5">
      <c r="A5" s="2" t="s">
        <v>4365</v>
      </c>
      <c r="B5" s="288">
        <f> SUMIF(All_closures!J2:J1005, "&gt;=8/1/2023",  All_closures!Z2:Z1005)/SUMIFS(All_closures!K2:K1005, All_closures!J2:J1005, "&gt;=8/1/2023",All_closures!Y2:Y1005,"&lt;&gt;")*100</f>
        <v>6.057513095</v>
      </c>
    </row>
    <row r="6">
      <c r="A6" s="2" t="s">
        <v>4366</v>
      </c>
      <c r="B6" s="288">
        <f> SUMIF(All_closures!J2:J1005, "&gt;=8/1/2023",  All_closures!AD2:AD1005)/SUMIFS(All_closures!K2:K1005, All_closures!J2:J1005, "&gt;=8/1/2023",All_closures!AC2:AC1005,"&lt;&gt;")*100</f>
        <v>14.00962126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4362</v>
      </c>
      <c r="B2" s="288">
        <f> SUMIF(All_closures!J2:J1005, "&gt;=8/1/2024",  All_closures!AB2:AB1005)/SUMIFS(All_closures!K2:K1005, All_closures!J2:J1005, "&gt;=8/1/2024",All_closures!AA2:AA1005,"&lt;&gt;")*100</f>
        <v>35.4298368</v>
      </c>
    </row>
    <row r="3">
      <c r="A3" s="2" t="s">
        <v>4363</v>
      </c>
      <c r="B3" s="288">
        <f> SUMIF(All_closures!J2:J1005, "&gt;=8/1/2024",  All_closures!V2:V1005)/SUMIFS(All_closures!K2:K1005, All_closures!J2:J1005, "&gt;=8/1/2024",All_closures!U2:U1005,"&lt;&gt;")*100</f>
        <v>17.24846939</v>
      </c>
    </row>
    <row r="4">
      <c r="A4" s="2" t="s">
        <v>4364</v>
      </c>
      <c r="B4" s="288">
        <f> SUMIF(All_closures!J2:J1005, "&gt;=8/1/2024",  All_closures!X2:X1005)/SUMIFS(All_closures!K2:K1005, All_closures!J2:J1005, "&gt;=8/1/2024",All_closures!W2:W1005,"&lt;&gt;")*100</f>
        <v>28.30702976</v>
      </c>
    </row>
    <row r="5">
      <c r="A5" s="2" t="s">
        <v>4365</v>
      </c>
      <c r="B5" s="288">
        <f> SUMIF(All_closures!J2:J1005, "&gt;=8/1/2024",  All_closures!Z2:Z1005)/SUMIFS(All_closures!K2:K1005, All_closures!J2:J1005, "&gt;=8/1/2024",All_closures!Y2:Y1005,"&lt;&gt;")*100</f>
        <v>5.988736179</v>
      </c>
    </row>
    <row r="6">
      <c r="A6" s="2" t="s">
        <v>4366</v>
      </c>
      <c r="B6" s="288">
        <f> SUMIF(All_closures!J2:J1005, "&gt;=8/1/2024",  All_closures!AD2:AD1005)/SUMIFS(All_closures!K2:K1005, All_closures!J2:J1005, "&gt;=8/1/2024",All_closures!AC2:AC1005,"&lt;&gt;")*100</f>
        <v>14.26135238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sheetData>
    <row r="1">
      <c r="A1" s="289">
        <f> SUMIF(All_closures!J2:J1005, "&gt;=8/1/2025",  All_closures!K2:K1005)*18614       </f>
        <v>160415452</v>
      </c>
    </row>
    <row r="2">
      <c r="A2" s="28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sheetData>
    <row r="1">
      <c r="A1" s="290">
        <f> Closures_summary_since_aug_2025!J3</f>
        <v>126.7352941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sheetData>
    <row r="1">
      <c r="A1" s="291">
        <f> Openings_summary_since_aug_2025!A3- Closures_summary_since_aug_2025!A3</f>
        <v>-3</v>
      </c>
    </row>
    <row r="2">
      <c r="A2" s="291"/>
    </row>
    <row r="3">
      <c r="A3" s="29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  <row r="2">
      <c r="A2" s="289">
        <f> SUMIF(All_closures!J2:J1005, "&gt;=8/1/2023",  All_closures!K2:K1005)*18614       </f>
        <v>451463956</v>
      </c>
      <c r="B2" s="2" t="s">
        <v>4367</v>
      </c>
    </row>
    <row r="3">
      <c r="A3" s="289">
        <f> SUMIF(All_closures!J2:J1006, "&gt;=8/1/2024",  All_closures!K2:K1006)*18614       </f>
        <v>329132748</v>
      </c>
      <c r="B3" s="2" t="s">
        <v>4368</v>
      </c>
    </row>
    <row r="4">
      <c r="A4" s="289">
        <f> SUMIF(All_closures!J3:J1007, "&gt;=8/1/2025",  All_closures!K3:K1007)*18614       </f>
        <v>160415452</v>
      </c>
      <c r="B4" s="2" t="s">
        <v>4369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1">
        <f>opbm_aug_2022!C13-cbm_aug_2022!C13</f>
        <v>-5</v>
      </c>
      <c r="B1" s="2" t="s">
        <v>4370</v>
      </c>
    </row>
    <row r="2">
      <c r="A2" s="291">
        <f> os_aug_2023!A3- cs_aug_2023!A3</f>
        <v>-9</v>
      </c>
      <c r="B2" s="2" t="s">
        <v>4371</v>
      </c>
    </row>
    <row r="3">
      <c r="A3" s="291">
        <f> os_aug_2024!A3- cs_aug_2024!A3</f>
        <v>-11</v>
      </c>
      <c r="B3" s="2" t="s">
        <v>4368</v>
      </c>
    </row>
    <row r="4">
      <c r="A4" s="291">
        <f> Openings_summary_since_aug_2025!A3- Closures_summary_since_aug_2025!A3</f>
        <v>-3</v>
      </c>
      <c r="B4" s="2" t="s">
        <v>4368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25"/>
  </cols>
  <sheetData>
    <row r="1">
      <c r="A1" s="1"/>
      <c r="B1" s="2" t="s">
        <v>1941</v>
      </c>
    </row>
    <row r="2">
      <c r="A2" s="1">
        <f t="shared" ref="A2:A13" si="1">IF(EDATE(DATE(2023,6,1), row(A2))&lt;TODAY(), EDATE(DATE(2023,6,1), Row(A2)), "")</f>
        <v>45139</v>
      </c>
      <c r="B2" s="3">
        <f> IF(A2="","",COUNTIFS(All_openings!$H$2:$H$1034, "&gt;="&amp; EDATE(DATE(2023,6,1), row(A2)),All_openings!$H$2:$H$1034, "&lt;"&amp; EDATE(DATE(2023,7,1), row(A2))))</f>
        <v>6</v>
      </c>
    </row>
    <row r="3">
      <c r="A3" s="1">
        <f t="shared" si="1"/>
        <v>45170</v>
      </c>
      <c r="B3" s="3">
        <f> IF(A3="","",COUNTIFS(All_openings!$H$2:$H$1034, "&gt;="&amp; EDATE(DATE(2023,6,1), row(A3)),All_openings!$H$2:$H$1034, "&lt;"&amp; EDATE(DATE(2023,7,1), row(A3))))</f>
        <v>1</v>
      </c>
    </row>
    <row r="4">
      <c r="A4" s="1">
        <f t="shared" si="1"/>
        <v>45200</v>
      </c>
      <c r="B4" s="3">
        <f> IF(A4="","",COUNTIFS(All_openings!$H$2:$H$1034, "&gt;="&amp; EDATE(DATE(2023,6,1), row(A4)),All_openings!$H$2:$H$1034, "&lt;"&amp; EDATE(DATE(2023,7,1), row(A4))))</f>
        <v>5</v>
      </c>
    </row>
    <row r="5">
      <c r="A5" s="1">
        <f t="shared" si="1"/>
        <v>45231</v>
      </c>
      <c r="B5" s="3">
        <f> IF(A5="","",COUNTIFS(All_openings!$H$2:$H$1034, "&gt;="&amp; EDATE(DATE(2023,6,1), row(A5)),All_openings!$H$2:$H$1034, "&lt;"&amp; EDATE(DATE(2023,7,1), row(A5))))</f>
        <v>3</v>
      </c>
    </row>
    <row r="6">
      <c r="A6" s="1">
        <f t="shared" si="1"/>
        <v>45261</v>
      </c>
      <c r="B6" s="3">
        <f> IF(A6="","",COUNTIFS(All_openings!$H$2:$H$1034, "&gt;="&amp; EDATE(DATE(2023,6,1), row(A6)),All_openings!$H$2:$H$1034, "&lt;"&amp; EDATE(DATE(2023,7,1), row(A6))))</f>
        <v>0</v>
      </c>
    </row>
    <row r="7">
      <c r="A7" s="1">
        <f t="shared" si="1"/>
        <v>45292</v>
      </c>
      <c r="B7" s="3">
        <f> IF(A7="","",COUNTIFS(All_openings!$H$2:$H$1034, "&gt;="&amp; EDATE(DATE(2023,6,1), row(A7)),All_openings!$H$2:$H$1034, "&lt;"&amp; EDATE(DATE(2023,7,1), row(A7))))</f>
        <v>6</v>
      </c>
    </row>
    <row r="8">
      <c r="A8" s="1">
        <f t="shared" si="1"/>
        <v>45323</v>
      </c>
      <c r="B8" s="3">
        <f> IF(A8="","",COUNTIFS(All_openings!$H$2:$H$1034, "&gt;="&amp; EDATE(DATE(2023,6,1), row(A8)),All_openings!$H$2:$H$1034, "&lt;"&amp; EDATE(DATE(2023,7,1), row(A8))))</f>
        <v>4</v>
      </c>
    </row>
    <row r="9">
      <c r="A9" s="1">
        <f t="shared" si="1"/>
        <v>45352</v>
      </c>
      <c r="B9" s="3">
        <f> IF(A9="","",COUNTIFS(All_openings!$H$2:$H$1034, "&gt;="&amp; EDATE(DATE(2023,6,1), row(A9)),All_openings!$H$2:$H$1034, "&lt;"&amp; EDATE(DATE(2023,7,1), row(A9))))</f>
        <v>2</v>
      </c>
    </row>
    <row r="10">
      <c r="A10" s="1">
        <f t="shared" si="1"/>
        <v>45383</v>
      </c>
      <c r="B10" s="3">
        <f> IF(A10="","",COUNTIFS(All_openings!$H$2:$H$1034, "&gt;="&amp; EDATE(DATE(2023,6,1), row(A10)),All_openings!$H$2:$H$1034, "&lt;"&amp; EDATE(DATE(2023,7,1), row(A10))))</f>
        <v>5</v>
      </c>
    </row>
    <row r="11">
      <c r="A11" s="1">
        <f t="shared" si="1"/>
        <v>45413</v>
      </c>
      <c r="B11" s="3">
        <f> IF(A11="","",COUNTIFS(All_openings!$H$2:$H$1034, "&gt;="&amp; EDATE(DATE(2023,6,1), row(A11)),All_openings!$H$2:$H$1034, "&lt;"&amp; EDATE(DATE(2023,7,1), row(A11))))</f>
        <v>9</v>
      </c>
    </row>
    <row r="12">
      <c r="A12" s="1">
        <f t="shared" si="1"/>
        <v>45444</v>
      </c>
      <c r="B12" s="3">
        <f> IF(A12="","",COUNTIFS(All_openings!$H$2:$H$1034, "&gt;="&amp; EDATE(DATE(2023,6,1), row(A12)),All_openings!$H$2:$H$1034, "&lt;"&amp; EDATE(DATE(2023,7,1), row(A12))))</f>
        <v>2</v>
      </c>
    </row>
    <row r="13">
      <c r="A13" s="1">
        <f t="shared" si="1"/>
        <v>45474</v>
      </c>
      <c r="B13" s="3">
        <f> IF(A13="","",COUNTIFS(All_openings!$H$2:$H$1034, "&gt;="&amp; EDATE(DATE(2023,6,1), row(A13)),All_openings!$H$2:$H$1034, "&lt;"&amp; EDATE(DATE(2023,7,1), row(A13))))</f>
        <v>8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>
        <f t="shared" ref="A43:A50" si="2">IF(EDATE(DATE(2022,6,1), row(A43))&lt;TODAY(), EDATE(DATE(2022,6,1), Row(A43)), "")</f>
        <v>46023</v>
      </c>
      <c r="B43" s="3">
        <f> IF(A43="","",COUNTIFS(All_openings!$H$2:$H$1034, "&gt;="&amp; EDATE(DATE(2023,6,1), row(A43)),All_openings!$H$2:$H$1034, "&lt;"&amp; EDATE(DATE(2023,7,1), row(A43))))</f>
        <v>0</v>
      </c>
    </row>
    <row r="44">
      <c r="A44" s="1">
        <f t="shared" si="2"/>
        <v>46054</v>
      </c>
      <c r="B44" s="3">
        <f> IF(A44="","",COUNTIFS(All_openings!$H$2:$H$1034, "&gt;="&amp; EDATE(DATE(2023,6,1), row(A44)),All_openings!$H$2:$H$1034, "&lt;"&amp; EDATE(DATE(2023,7,1), row(A44))))</f>
        <v>0</v>
      </c>
    </row>
    <row r="45">
      <c r="A45" s="1">
        <f t="shared" si="2"/>
        <v>46082</v>
      </c>
      <c r="B45" s="3">
        <f> IF(A45="","",COUNTIFS(All_openings!$H$2:$H$1034, "&gt;="&amp; EDATE(DATE(2023,6,1), row(A45)),All_openings!$H$2:$H$1034, "&lt;"&amp; EDATE(DATE(2023,7,1), row(A45))))</f>
        <v>0</v>
      </c>
    </row>
    <row r="46">
      <c r="A46" s="1">
        <f t="shared" si="2"/>
        <v>46113</v>
      </c>
      <c r="B46" s="3">
        <f> IF(A46="","",COUNTIFS(All_openings!$H$2:$H$1034, "&gt;="&amp; EDATE(DATE(2023,6,1), row(A46)),All_openings!$H$2:$H$1034, "&lt;"&amp; EDATE(DATE(2023,7,1), row(A46))))</f>
        <v>0</v>
      </c>
    </row>
    <row r="47">
      <c r="A47" s="1">
        <f t="shared" si="2"/>
        <v>46143</v>
      </c>
      <c r="B47" s="3">
        <f> IF(A47="","",COUNTIFS(All_openings!$H$2:$H$1034, "&gt;="&amp; EDATE(DATE(2023,6,1), row(A47)),All_openings!$H$2:$H$1034, "&lt;"&amp; EDATE(DATE(2023,7,1), row(A47))))</f>
        <v>0</v>
      </c>
    </row>
    <row r="48">
      <c r="A48" s="1">
        <f t="shared" si="2"/>
        <v>46174</v>
      </c>
      <c r="B48" s="3">
        <f> IF(A48="","",COUNTIFS(All_openings!$H$2:$H$1034, "&gt;="&amp; EDATE(DATE(2023,6,1), row(A48)),All_openings!$H$2:$H$1034, "&lt;"&amp; EDATE(DATE(2023,7,1), row(A48))))</f>
        <v>0</v>
      </c>
    </row>
    <row r="49">
      <c r="A49" s="1">
        <f t="shared" si="2"/>
        <v>46204</v>
      </c>
      <c r="B49" s="3">
        <f> IF(A49="","",COUNTIFS(All_openings!$H$2:$H$1034, "&gt;="&amp; EDATE(DATE(2022,6,1), row(A49)),All_openings!$H$2:$H$1034, "&lt;"&amp; EDATE(DATE(2022,7,1), row(A49))))</f>
        <v>5</v>
      </c>
    </row>
    <row r="50">
      <c r="A50" s="1" t="str">
        <f t="shared" si="2"/>
        <v/>
      </c>
      <c r="B50" s="3" t="str">
        <f> IF(A50="","",COUNTIFS(All_openings!$H$2:$H$1034, "&gt;="&amp; EDATE(DATE(2022,6,1), row(A50)),All_openings!$H$2:$H$1034, "&lt;"&amp; EDATE(DATE(2022,7,1), row(A50))))</f>
        <v/>
      </c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25"/>
  </cols>
  <sheetData>
    <row r="1">
      <c r="A1" s="1"/>
      <c r="B1" s="2" t="s">
        <v>1941</v>
      </c>
    </row>
    <row r="2">
      <c r="A2" s="1">
        <f t="shared" ref="A2:A50" si="1">IF(EDATE(DATE(2022,6,1), row(A2))&lt;TODAY(), EDATE(DATE(2022,6,1), Row(A2)), "")</f>
        <v>44774</v>
      </c>
      <c r="B2" s="3">
        <f> IF(A2="","",COUNTIFS(All_openings!$H$2:$H$1034, "&gt;="&amp; EDATE(DATE(2022,6,1), row(A2)),All_openings!$H$2:$H$1034, "&lt;"&amp; EDATE(DATE(2022,7,1), row(A2))))</f>
        <v>11</v>
      </c>
    </row>
    <row r="3">
      <c r="A3" s="1">
        <f t="shared" si="1"/>
        <v>44805</v>
      </c>
      <c r="B3" s="3">
        <f> IF(A3="","",COUNTIFS(All_openings!$H$2:$H$1034, "&gt;="&amp; EDATE(DATE(2022,6,1), row(A3)),All_openings!$H$2:$H$1034, "&lt;"&amp; EDATE(DATE(2022,7,1), row(A3))))</f>
        <v>1</v>
      </c>
    </row>
    <row r="4">
      <c r="A4" s="1">
        <f t="shared" si="1"/>
        <v>44835</v>
      </c>
      <c r="B4" s="3">
        <f> IF(A4="","",COUNTIFS(All_openings!$H$2:$H$1034, "&gt;="&amp; EDATE(DATE(2022,6,1), row(A4)),All_openings!$H$2:$H$1034, "&lt;"&amp; EDATE(DATE(2022,7,1), row(A4))))</f>
        <v>2</v>
      </c>
    </row>
    <row r="5">
      <c r="A5" s="1">
        <f t="shared" si="1"/>
        <v>44866</v>
      </c>
      <c r="B5" s="3">
        <f> IF(A5="","",COUNTIFS(All_openings!$H$2:$H$1034, "&gt;="&amp; EDATE(DATE(2022,6,1), row(A5)),All_openings!$H$2:$H$1034, "&lt;"&amp; EDATE(DATE(2022,7,1), row(A5))))</f>
        <v>2</v>
      </c>
    </row>
    <row r="6">
      <c r="A6" s="1">
        <f t="shared" si="1"/>
        <v>44896</v>
      </c>
      <c r="B6" s="3">
        <f> IF(A6="","",COUNTIFS(All_openings!$H$2:$H$1034, "&gt;="&amp; EDATE(DATE(2022,6,1), row(A6)),All_openings!$H$2:$H$1034, "&lt;"&amp; EDATE(DATE(2022,7,1), row(A6))))</f>
        <v>0</v>
      </c>
    </row>
    <row r="7">
      <c r="A7" s="1">
        <f t="shared" si="1"/>
        <v>44927</v>
      </c>
      <c r="B7" s="3">
        <f> IF(A7="","",COUNTIFS(All_openings!$H$2:$H$1034, "&gt;="&amp; EDATE(DATE(2022,6,1), row(A7)),All_openings!$H$2:$H$1034, "&lt;"&amp; EDATE(DATE(2022,7,1), row(A7))))</f>
        <v>2</v>
      </c>
    </row>
    <row r="8">
      <c r="A8" s="1">
        <f t="shared" si="1"/>
        <v>44958</v>
      </c>
      <c r="B8" s="3">
        <f> IF(A8="","",COUNTIFS(All_openings!$H$2:$H$1034, "&gt;="&amp; EDATE(DATE(2022,6,1), row(A8)),All_openings!$H$2:$H$1034, "&lt;"&amp; EDATE(DATE(2022,7,1), row(A8))))</f>
        <v>4</v>
      </c>
    </row>
    <row r="9">
      <c r="A9" s="1">
        <f t="shared" si="1"/>
        <v>44986</v>
      </c>
      <c r="B9" s="3">
        <f> IF(A9="","",COUNTIFS(All_openings!$H$2:$H$1034, "&gt;="&amp; EDATE(DATE(2022,6,1), row(A9)),All_openings!$H$2:$H$1034, "&lt;"&amp; EDATE(DATE(2022,7,1), row(A9))))</f>
        <v>4</v>
      </c>
    </row>
    <row r="10">
      <c r="A10" s="1">
        <f t="shared" si="1"/>
        <v>45017</v>
      </c>
      <c r="B10" s="3">
        <f> IF(A10="","",COUNTIFS(All_openings!$H$2:$H$1034, "&gt;="&amp; EDATE(DATE(2022,6,1), row(A10)),All_openings!$H$2:$H$1034, "&lt;"&amp; EDATE(DATE(2022,7,1), row(A10))))</f>
        <v>7</v>
      </c>
    </row>
    <row r="11">
      <c r="A11" s="1">
        <f t="shared" si="1"/>
        <v>45047</v>
      </c>
      <c r="B11" s="3">
        <f> IF(A11="","",COUNTIFS(All_openings!$H$2:$H$1034, "&gt;="&amp; EDATE(DATE(2022,6,1), row(A11)),All_openings!$H$2:$H$1034, "&lt;"&amp; EDATE(DATE(2022,7,1), row(A11))))</f>
        <v>3</v>
      </c>
    </row>
    <row r="12">
      <c r="A12" s="1">
        <f t="shared" si="1"/>
        <v>45078</v>
      </c>
      <c r="B12" s="3">
        <f> IF(A12="","",COUNTIFS(All_openings!$H$2:$H$1034, "&gt;="&amp; EDATE(DATE(2022,6,1), row(A12)),All_openings!$H$2:$H$1034, "&lt;"&amp; EDATE(DATE(2022,7,1), row(A12))))</f>
        <v>5</v>
      </c>
    </row>
    <row r="13">
      <c r="A13" s="1">
        <f t="shared" si="1"/>
        <v>45108</v>
      </c>
      <c r="B13" s="3">
        <f> IF(A13="","",COUNTIFS(All_openings!$H$2:$H$1034, "&gt;="&amp; EDATE(DATE(2022,6,1), row(A13)),All_openings!$H$2:$H$1034, "&lt;"&amp; EDATE(DATE(2022,7,1), row(A13))))</f>
        <v>8</v>
      </c>
      <c r="C13" s="3">
        <f>SUM(B2:B13)</f>
        <v>49</v>
      </c>
    </row>
    <row r="14">
      <c r="A14" s="1">
        <f t="shared" si="1"/>
        <v>45139</v>
      </c>
      <c r="B14" s="3">
        <f> IF(A14="","",COUNTIFS(All_openings!$H$2:$H$1034, "&gt;="&amp; EDATE(DATE(2022,6,1), row(A14)),All_openings!$H$2:$H$1034, "&lt;"&amp; EDATE(DATE(2022,7,1), row(A14))))</f>
        <v>6</v>
      </c>
    </row>
    <row r="15">
      <c r="A15" s="1">
        <f t="shared" si="1"/>
        <v>45170</v>
      </c>
      <c r="B15" s="3">
        <f> IF(A15="","",COUNTIFS(All_openings!$H$2:$H$1034, "&gt;="&amp; EDATE(DATE(2022,6,1), row(A15)),All_openings!$H$2:$H$1034, "&lt;"&amp; EDATE(DATE(2022,7,1), row(A15))))</f>
        <v>1</v>
      </c>
    </row>
    <row r="16">
      <c r="A16" s="1">
        <f t="shared" si="1"/>
        <v>45200</v>
      </c>
      <c r="B16" s="3">
        <f> IF(A16="","",COUNTIFS(All_openings!$H$2:$H$1034, "&gt;="&amp; EDATE(DATE(2022,6,1), row(A16)),All_openings!$H$2:$H$1034, "&lt;"&amp; EDATE(DATE(2022,7,1), row(A16))))</f>
        <v>5</v>
      </c>
    </row>
    <row r="17">
      <c r="A17" s="1">
        <f t="shared" si="1"/>
        <v>45231</v>
      </c>
      <c r="B17" s="3">
        <f> IF(A17="","",COUNTIFS(All_openings!$H$2:$H$1034, "&gt;="&amp; EDATE(DATE(2022,6,1), row(A17)),All_openings!$H$2:$H$1034, "&lt;"&amp; EDATE(DATE(2022,7,1), row(A17))))</f>
        <v>3</v>
      </c>
    </row>
    <row r="18">
      <c r="A18" s="1">
        <f t="shared" si="1"/>
        <v>45261</v>
      </c>
      <c r="B18" s="3">
        <f> IF(A18="","",COUNTIFS(All_openings!$H$2:$H$1034, "&gt;="&amp; EDATE(DATE(2022,6,1), row(A18)),All_openings!$H$2:$H$1034, "&lt;"&amp; EDATE(DATE(2022,7,1), row(A18))))</f>
        <v>0</v>
      </c>
    </row>
    <row r="19">
      <c r="A19" s="1">
        <f t="shared" si="1"/>
        <v>45292</v>
      </c>
      <c r="B19" s="3">
        <f> IF(A19="","",COUNTIFS(All_openings!$H$2:$H$1034, "&gt;="&amp; EDATE(DATE(2022,6,1), row(A19)),All_openings!$H$2:$H$1034, "&lt;"&amp; EDATE(DATE(2022,7,1), row(A19))))</f>
        <v>6</v>
      </c>
    </row>
    <row r="20">
      <c r="A20" s="1">
        <f t="shared" si="1"/>
        <v>45323</v>
      </c>
      <c r="B20" s="3">
        <f> IF(A20="","",COUNTIFS(All_openings!$H$2:$H$1034, "&gt;="&amp; EDATE(DATE(2022,6,1), row(A20)),All_openings!$H$2:$H$1034, "&lt;"&amp; EDATE(DATE(2022,7,1), row(A20))))</f>
        <v>4</v>
      </c>
    </row>
    <row r="21">
      <c r="A21" s="1">
        <f t="shared" si="1"/>
        <v>45352</v>
      </c>
      <c r="B21" s="3">
        <f> IF(A21="","",COUNTIFS(All_openings!$H$2:$H$1034, "&gt;="&amp; EDATE(DATE(2022,6,1), row(A21)),All_openings!$H$2:$H$1034, "&lt;"&amp; EDATE(DATE(2022,7,1), row(A21))))</f>
        <v>2</v>
      </c>
    </row>
    <row r="22">
      <c r="A22" s="1">
        <f t="shared" si="1"/>
        <v>45383</v>
      </c>
      <c r="B22" s="3">
        <f> IF(A22="","",COUNTIFS(All_openings!$H$2:$H$1034, "&gt;="&amp; EDATE(DATE(2022,6,1), row(A22)),All_openings!$H$2:$H$1034, "&lt;"&amp; EDATE(DATE(2022,7,1), row(A22))))</f>
        <v>5</v>
      </c>
    </row>
    <row r="23">
      <c r="A23" s="1">
        <f t="shared" si="1"/>
        <v>45413</v>
      </c>
      <c r="B23" s="3">
        <f> IF(A23="","",COUNTIFS(All_openings!$H$2:$H$1034, "&gt;="&amp; EDATE(DATE(2022,6,1), row(A23)),All_openings!$H$2:$H$1034, "&lt;"&amp; EDATE(DATE(2022,7,1), row(A23))))</f>
        <v>9</v>
      </c>
    </row>
    <row r="24">
      <c r="A24" s="1">
        <f t="shared" si="1"/>
        <v>45444</v>
      </c>
      <c r="B24" s="3">
        <f> IF(A24="","",COUNTIFS(All_openings!$H$2:$H$1034, "&gt;="&amp; EDATE(DATE(2022,6,1), row(A24)),All_openings!$H$2:$H$1034, "&lt;"&amp; EDATE(DATE(2022,7,1), row(A24))))</f>
        <v>2</v>
      </c>
    </row>
    <row r="25">
      <c r="A25" s="1">
        <f t="shared" si="1"/>
        <v>45474</v>
      </c>
      <c r="B25" s="3">
        <f> IF(A25="","",COUNTIFS(All_openings!$H$2:$H$1034, "&gt;="&amp; EDATE(DATE(2022,6,1), row(A25)),All_openings!$H$2:$H$1034, "&lt;"&amp; EDATE(DATE(2022,7,1), row(A25))))</f>
        <v>8</v>
      </c>
      <c r="C25" s="3">
        <f>SUM(B14:B25)</f>
        <v>51</v>
      </c>
    </row>
    <row r="26">
      <c r="A26" s="1">
        <f t="shared" si="1"/>
        <v>45505</v>
      </c>
      <c r="B26" s="3">
        <f> IF(A26="","",COUNTIFS(All_openings!$H$2:$H$1034, "&gt;="&amp; EDATE(DATE(2022,6,1), row(A26)),All_openings!$H$2:$H$1034, "&lt;"&amp; EDATE(DATE(2022,7,1), row(A26))))</f>
        <v>9</v>
      </c>
    </row>
    <row r="27">
      <c r="A27" s="1">
        <f t="shared" si="1"/>
        <v>45536</v>
      </c>
      <c r="B27" s="3">
        <f> IF(A27="","",COUNTIFS(All_openings!$H$2:$H$1034, "&gt;="&amp; EDATE(DATE(2022,6,1), row(A27)),All_openings!$H$2:$H$1034, "&lt;"&amp; EDATE(DATE(2022,7,1), row(A27))))</f>
        <v>2</v>
      </c>
    </row>
    <row r="28">
      <c r="A28" s="1">
        <f t="shared" si="1"/>
        <v>45566</v>
      </c>
      <c r="B28" s="3">
        <f> IF(A28="","",COUNTIFS(All_openings!$H$2:$H$1034, "&gt;="&amp; EDATE(DATE(2022,6,1), row(A28)),All_openings!$H$2:$H$1034, "&lt;"&amp; EDATE(DATE(2022,7,1), row(A28))))</f>
        <v>2</v>
      </c>
    </row>
    <row r="29">
      <c r="A29" s="1">
        <f t="shared" si="1"/>
        <v>45597</v>
      </c>
      <c r="B29" s="3">
        <f> IF(A29="","",COUNTIFS(All_openings!$H$2:$H$1034, "&gt;="&amp; EDATE(DATE(2022,6,1), row(A29)),All_openings!$H$2:$H$1034, "&lt;"&amp; EDATE(DATE(2022,7,1), row(A29))))</f>
        <v>0</v>
      </c>
    </row>
    <row r="30">
      <c r="A30" s="1">
        <f t="shared" si="1"/>
        <v>45627</v>
      </c>
      <c r="B30" s="3">
        <f> IF(A30="","",COUNTIFS(All_openings!$H$2:$H$1034, "&gt;="&amp; EDATE(DATE(2022,6,1), row(A30)),All_openings!$H$2:$H$1034, "&lt;"&amp; EDATE(DATE(2022,7,1), row(A30))))</f>
        <v>3</v>
      </c>
    </row>
    <row r="31">
      <c r="A31" s="1">
        <f t="shared" si="1"/>
        <v>45658</v>
      </c>
      <c r="B31" s="3">
        <f> IF(A31="","",COUNTIFS(All_openings!$H$2:$H$1034, "&gt;="&amp; EDATE(DATE(2022,6,1), row(A31)),All_openings!$H$2:$H$1034, "&lt;"&amp; EDATE(DATE(2022,7,1), row(A31))))</f>
        <v>2</v>
      </c>
    </row>
    <row r="32">
      <c r="A32" s="1">
        <f t="shared" si="1"/>
        <v>45689</v>
      </c>
      <c r="B32" s="3">
        <f> IF(A32="","",COUNTIFS(All_openings!$H$2:$H$1034, "&gt;="&amp; EDATE(DATE(2022,6,1), row(A32)),All_openings!$H$2:$H$1034, "&lt;"&amp; EDATE(DATE(2022,7,1), row(A32))))</f>
        <v>3</v>
      </c>
    </row>
    <row r="33">
      <c r="A33" s="1">
        <f t="shared" si="1"/>
        <v>45717</v>
      </c>
      <c r="B33" s="3">
        <f> IF(A33="","",COUNTIFS(All_openings!$H$2:$H$1034, "&gt;="&amp; EDATE(DATE(2022,6,1), row(A33)),All_openings!$H$2:$H$1034, "&lt;"&amp; EDATE(DATE(2022,7,1), row(A33))))</f>
        <v>1</v>
      </c>
    </row>
    <row r="34">
      <c r="A34" s="1">
        <f t="shared" si="1"/>
        <v>45748</v>
      </c>
      <c r="B34" s="3">
        <f> IF(A34="","",COUNTIFS(All_openings!$H$2:$H$1034, "&gt;="&amp; EDATE(DATE(2022,6,1), row(A34)),All_openings!$H$2:$H$1034, "&lt;"&amp; EDATE(DATE(2022,7,1), row(A34))))</f>
        <v>0</v>
      </c>
    </row>
    <row r="35">
      <c r="A35" s="1">
        <f t="shared" si="1"/>
        <v>45778</v>
      </c>
      <c r="B35" s="3">
        <f> IF(A35="","",COUNTIFS(All_openings!$H$2:$H$1034, "&gt;="&amp; EDATE(DATE(2022,6,1), row(A35)),All_openings!$H$2:$H$1034, "&lt;"&amp; EDATE(DATE(2022,7,1), row(A35))))</f>
        <v>4</v>
      </c>
    </row>
    <row r="36">
      <c r="A36" s="1">
        <f t="shared" si="1"/>
        <v>45809</v>
      </c>
      <c r="B36" s="3">
        <f> IF(A36="","",COUNTIFS(All_openings!$H$2:$H$1034, "&gt;="&amp; EDATE(DATE(2022,6,1), row(A36)),All_openings!$H$2:$H$1034, "&lt;"&amp; EDATE(DATE(2022,7,1), row(A36))))</f>
        <v>8</v>
      </c>
    </row>
    <row r="37">
      <c r="A37" s="1">
        <f t="shared" si="1"/>
        <v>45839</v>
      </c>
      <c r="B37" s="3">
        <f> IF(A37="","",COUNTIFS(All_openings!$H$2:$H$1034, "&gt;="&amp; EDATE(DATE(2022,6,1), row(A37)),All_openings!$H$2:$H$1034, "&lt;"&amp; EDATE(DATE(2022,7,1), row(A37))))</f>
        <v>10</v>
      </c>
    </row>
    <row r="38">
      <c r="A38" s="1">
        <f t="shared" si="1"/>
        <v>45870</v>
      </c>
      <c r="B38" s="3">
        <f> IF(A38="","",COUNTIFS(All_openings!$H$2:$H$1034, "&gt;="&amp; EDATE(DATE(2022,6,1), row(A38)),All_openings!$H$2:$H$1034, "&lt;"&amp; EDATE(DATE(2022,7,1), row(A38))))</f>
        <v>9</v>
      </c>
    </row>
    <row r="39">
      <c r="A39" s="1">
        <f t="shared" si="1"/>
        <v>45901</v>
      </c>
      <c r="B39" s="3">
        <f> IF(A39="","",COUNTIFS(All_openings!$H$2:$H$1034, "&gt;="&amp; EDATE(DATE(2022,6,1), row(A39)),All_openings!$H$2:$H$1034, "&lt;"&amp; EDATE(DATE(2022,7,1), row(A39))))</f>
        <v>4</v>
      </c>
    </row>
    <row r="40">
      <c r="A40" s="1">
        <f t="shared" si="1"/>
        <v>45931</v>
      </c>
      <c r="B40" s="3">
        <f> IF(A40="","",COUNTIFS(All_openings!$H$2:$H$1034, "&gt;="&amp; EDATE(DATE(2022,6,1), row(A40)),All_openings!$H$2:$H$1034, "&lt;"&amp; EDATE(DATE(2022,7,1), row(A40))))</f>
        <v>1</v>
      </c>
    </row>
    <row r="41">
      <c r="A41" s="1">
        <f t="shared" si="1"/>
        <v>45962</v>
      </c>
      <c r="B41" s="3">
        <f> IF(A41="","",COUNTIFS(All_openings!$H$2:$H$1034, "&gt;="&amp; EDATE(DATE(2022,6,1), row(A41)),All_openings!$H$2:$H$1034, "&lt;"&amp; EDATE(DATE(2022,7,1), row(A41))))</f>
        <v>4</v>
      </c>
    </row>
    <row r="42">
      <c r="A42" s="1">
        <f t="shared" si="1"/>
        <v>45992</v>
      </c>
      <c r="B42" s="3">
        <f> IF(A42="","",COUNTIFS(All_openings!$H$2:$H$1034, "&gt;="&amp; EDATE(DATE(2022,6,1), row(A42)),All_openings!$H$2:$H$1034, "&lt;"&amp; EDATE(DATE(2022,7,1), row(A42))))</f>
        <v>0</v>
      </c>
    </row>
    <row r="43">
      <c r="A43" s="1">
        <f t="shared" si="1"/>
        <v>46023</v>
      </c>
      <c r="B43" s="3">
        <f> IF(A43="","",COUNTIFS(All_openings!$H$2:$H$1034, "&gt;="&amp; EDATE(DATE(2022,6,1), row(A43)),All_openings!$H$2:$H$1034, "&lt;"&amp; EDATE(DATE(2022,7,1), row(A43))))</f>
        <v>6</v>
      </c>
    </row>
    <row r="44">
      <c r="A44" s="1">
        <f t="shared" si="1"/>
        <v>46054</v>
      </c>
      <c r="B44" s="3">
        <f> IF(A44="","",COUNTIFS(All_openings!$H$2:$H$1034, "&gt;="&amp; EDATE(DATE(2022,6,1), row(A44)),All_openings!$H$2:$H$1034, "&lt;"&amp; EDATE(DATE(2022,7,1), row(A44))))</f>
        <v>7</v>
      </c>
    </row>
    <row r="45">
      <c r="A45" s="1">
        <f t="shared" si="1"/>
        <v>46082</v>
      </c>
      <c r="B45" s="3">
        <f> IF(A45="","",COUNTIFS(All_openings!$H$2:$H$1034, "&gt;="&amp; EDATE(DATE(2022,6,1), row(A45)),All_openings!$H$2:$H$1034, "&lt;"&amp; EDATE(DATE(2022,7,1), row(A45))))</f>
        <v>3</v>
      </c>
    </row>
    <row r="46">
      <c r="A46" s="1">
        <f t="shared" si="1"/>
        <v>46113</v>
      </c>
      <c r="B46" s="3">
        <f> IF(A46="","",COUNTIFS(All_openings!$H$2:$H$1034, "&gt;="&amp; EDATE(DATE(2022,6,1), row(A46)),All_openings!$H$2:$H$1034, "&lt;"&amp; EDATE(DATE(2022,7,1), row(A46))))</f>
        <v>6</v>
      </c>
    </row>
    <row r="47">
      <c r="A47" s="1">
        <f t="shared" si="1"/>
        <v>46143</v>
      </c>
      <c r="B47" s="3">
        <f> IF(A47="","",COUNTIFS(All_openings!$H$2:$H$1034, "&gt;="&amp; EDATE(DATE(2022,6,1), row(A47)),All_openings!$H$2:$H$1034, "&lt;"&amp; EDATE(DATE(2022,7,1), row(A47))))</f>
        <v>10</v>
      </c>
    </row>
    <row r="48">
      <c r="A48" s="1">
        <f t="shared" si="1"/>
        <v>46174</v>
      </c>
      <c r="B48" s="3">
        <f> IF(A48="","",COUNTIFS(All_openings!$H$2:$H$1034, "&gt;="&amp; EDATE(DATE(2022,6,1), row(A48)),All_openings!$H$2:$H$1034, "&lt;"&amp; EDATE(DATE(2022,7,1), row(A48))))</f>
        <v>10</v>
      </c>
    </row>
    <row r="49">
      <c r="A49" s="1">
        <f t="shared" si="1"/>
        <v>46204</v>
      </c>
      <c r="B49" s="3">
        <f> IF(A49="","",COUNTIFS(All_openings!$H$2:$H$1034, "&gt;="&amp; EDATE(DATE(2022,6,1), row(A49)),All_openings!$H$2:$H$1034, "&lt;"&amp; EDATE(DATE(2022,7,1), row(A49))))</f>
        <v>5</v>
      </c>
    </row>
    <row r="50">
      <c r="A50" s="1" t="str">
        <f t="shared" si="1"/>
        <v/>
      </c>
      <c r="B50" s="3" t="str">
        <f> IF(A50="","",COUNTIFS(All_openings!$H$2:$H$1034, "&gt;="&amp; EDATE(DATE(2022,6,1), row(A50)),All_openings!$H$2:$H$1034, "&lt;"&amp; EDATE(DATE(2022,7,1), row(A50))))</f>
        <v/>
      </c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25"/>
  </cols>
  <sheetData>
    <row r="1">
      <c r="A1" s="1"/>
      <c r="B1" s="2" t="s">
        <v>1941</v>
      </c>
    </row>
    <row r="2">
      <c r="A2" s="1">
        <f t="shared" ref="A2:A14" si="1">IF(EDATE(DATE(2024,6,1), row(A2))&lt;TODAY(), EDATE(DATE(2024,6,1), Row(A2)), "")</f>
        <v>45505</v>
      </c>
      <c r="B2" s="3">
        <f> IF(A2="","",COUNTIFS(All_openings!$H$2:$H$1034, "&gt;="&amp; EDATE(DATE(2024,6,1), row(A2)),All_openings!$H$2:$H$1034, "&lt;"&amp; EDATE(DATE(2024,7,1), row(A2))))</f>
        <v>9</v>
      </c>
    </row>
    <row r="3">
      <c r="A3" s="1">
        <f t="shared" si="1"/>
        <v>45536</v>
      </c>
      <c r="B3" s="3">
        <f> IF(A3="","",COUNTIFS(All_openings!$H$2:$H$1034, "&gt;="&amp; EDATE(DATE(2024,6,1), row(A3)),All_openings!$H$2:$H$1034, "&lt;"&amp; EDATE(DATE(2024,7,1), row(A3))))</f>
        <v>2</v>
      </c>
    </row>
    <row r="4">
      <c r="A4" s="1">
        <f t="shared" si="1"/>
        <v>45566</v>
      </c>
      <c r="B4" s="3">
        <f> IF(A4="","",COUNTIFS(All_openings!$H$2:$H$1034, "&gt;="&amp; EDATE(DATE(2024,6,1), row(A4)),All_openings!$H$2:$H$1034, "&lt;"&amp; EDATE(DATE(2024,7,1), row(A4))))</f>
        <v>2</v>
      </c>
    </row>
    <row r="5">
      <c r="A5" s="1">
        <f t="shared" si="1"/>
        <v>45597</v>
      </c>
      <c r="B5" s="3">
        <f> IF(A5="","",COUNTIFS(All_openings!$H$2:$H$1034, "&gt;="&amp; EDATE(DATE(2024,6,1), row(A5)),All_openings!$H$2:$H$1034, "&lt;"&amp; EDATE(DATE(2024,7,1), row(A5))))</f>
        <v>0</v>
      </c>
    </row>
    <row r="6">
      <c r="A6" s="1">
        <f t="shared" si="1"/>
        <v>45627</v>
      </c>
      <c r="B6" s="3">
        <f> IF(A6="","",COUNTIFS(All_openings!$H$2:$H$1034, "&gt;="&amp; EDATE(DATE(2024,6,1), row(A6)),All_openings!$H$2:$H$1034, "&lt;"&amp; EDATE(DATE(2024,7,1), row(A6))))</f>
        <v>3</v>
      </c>
    </row>
    <row r="7">
      <c r="A7" s="1">
        <f t="shared" si="1"/>
        <v>45658</v>
      </c>
      <c r="B7" s="3">
        <f> IF(A7="","",COUNTIFS(All_openings!$H$2:$H$1034, "&gt;="&amp; EDATE(DATE(2024,6,1), row(A7)),All_openings!$H$2:$H$1034, "&lt;"&amp; EDATE(DATE(2024,7,1), row(A7))))</f>
        <v>2</v>
      </c>
    </row>
    <row r="8">
      <c r="A8" s="1">
        <f t="shared" si="1"/>
        <v>45689</v>
      </c>
      <c r="B8" s="3">
        <f> IF(A8="","",COUNTIFS(All_openings!$H$2:$H$1034, "&gt;="&amp; EDATE(DATE(2024,6,1), row(A8)),All_openings!$H$2:$H$1034, "&lt;"&amp; EDATE(DATE(2024,7,1), row(A8))))</f>
        <v>3</v>
      </c>
    </row>
    <row r="9">
      <c r="A9" s="1">
        <f t="shared" si="1"/>
        <v>45717</v>
      </c>
      <c r="B9" s="3">
        <f> IF(A9="","",COUNTIFS(All_openings!$H$2:$H$1034, "&gt;="&amp; EDATE(DATE(2024,6,1), row(A9)),All_openings!$H$2:$H$1034, "&lt;"&amp; EDATE(DATE(2024,7,1), row(A9))))</f>
        <v>1</v>
      </c>
    </row>
    <row r="10">
      <c r="A10" s="1">
        <f t="shared" si="1"/>
        <v>45748</v>
      </c>
      <c r="B10" s="3">
        <f> IF(A10="","",COUNTIFS(All_openings!$H$2:$H$1034, "&gt;="&amp; EDATE(DATE(2024,6,1), row(A10)),All_openings!$H$2:$H$1034, "&lt;"&amp; EDATE(DATE(2024,7,1), row(A10))))</f>
        <v>0</v>
      </c>
    </row>
    <row r="11">
      <c r="A11" s="1">
        <f t="shared" si="1"/>
        <v>45778</v>
      </c>
      <c r="B11" s="3">
        <f> IF(A11="","",COUNTIFS(All_openings!$H$2:$H$1034, "&gt;="&amp; EDATE(DATE(2024,6,1), row(A11)),All_openings!$H$2:$H$1034, "&lt;"&amp; EDATE(DATE(2024,7,1), row(A11))))</f>
        <v>4</v>
      </c>
    </row>
    <row r="12">
      <c r="A12" s="1">
        <f t="shared" si="1"/>
        <v>45809</v>
      </c>
      <c r="B12" s="3">
        <f> IF(A12="","",COUNTIFS(All_openings!$H$2:$H$1034, "&gt;="&amp; EDATE(DATE(2024,6,1), row(A12)),All_openings!$H$2:$H$1034, "&lt;"&amp; EDATE(DATE(2024,7,1), row(A12))))</f>
        <v>8</v>
      </c>
    </row>
    <row r="13">
      <c r="A13" s="1">
        <f t="shared" si="1"/>
        <v>45839</v>
      </c>
      <c r="B13" s="3">
        <f> IF(A13="","",COUNTIFS(All_openings!$H$2:$H$1034, "&gt;="&amp; EDATE(DATE(2024,6,1), row(A13)),All_openings!$H$2:$H$1034, "&lt;"&amp; EDATE(DATE(2024,7,1), row(A13))))</f>
        <v>10</v>
      </c>
    </row>
    <row r="14">
      <c r="A14" s="1">
        <f t="shared" si="1"/>
        <v>45870</v>
      </c>
      <c r="B14" s="3">
        <f> IF(A14="","",COUNTIFS(All_openings!$H$2:$H$1034, "&gt;="&amp; EDATE(DATE(2024,6,1), row(A14)),All_openings!$H$2:$H$1034, "&lt;"&amp; EDATE(DATE(2024,7,1), row(A14))))</f>
        <v>9</v>
      </c>
    </row>
    <row r="15">
      <c r="A15" s="1"/>
      <c r="B15" s="3" t="str">
        <f> IF(A15="","",COUNTIFS(All_openings!$H$2:$H$1034, "&gt;="&amp; EDATE(DATE(2024,6,1), row(A15)),All_openings!$H$2:$H$1034, "&lt;"&amp; EDATE(DATE(2024,7,1), row(A15))))</f>
        <v/>
      </c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1936</v>
      </c>
      <c r="B1" s="102" t="s">
        <v>6</v>
      </c>
      <c r="I1" s="101"/>
      <c r="J1" s="101"/>
      <c r="K1" s="102"/>
      <c r="L1" s="103"/>
      <c r="M1" s="103"/>
      <c r="N1" s="103"/>
      <c r="O1" s="103"/>
      <c r="P1" s="103"/>
      <c r="Q1" s="103"/>
      <c r="R1" s="103"/>
      <c r="S1" s="103"/>
      <c r="T1" s="103"/>
    </row>
    <row r="2">
      <c r="A2" s="104" t="s">
        <v>1937</v>
      </c>
      <c r="B2" s="105" t="s">
        <v>1938</v>
      </c>
      <c r="C2" s="105" t="s">
        <v>1939</v>
      </c>
      <c r="D2" s="105" t="s">
        <v>506</v>
      </c>
      <c r="E2" s="105" t="s">
        <v>68</v>
      </c>
      <c r="F2" s="105" t="s">
        <v>1338</v>
      </c>
      <c r="G2" s="104" t="s">
        <v>237</v>
      </c>
      <c r="H2" s="105" t="s">
        <v>1940</v>
      </c>
      <c r="I2" s="106"/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</row>
    <row r="3">
      <c r="A3" s="105">
        <f> COUNTIFS(All_openings!H2:H1033, "&gt;=8/1/2023", All_openings!H2:H1033, "&lt;=7/31/2024")</f>
        <v>51</v>
      </c>
      <c r="B3" s="105">
        <f> COUNTIFS(All_openings!H2:H1033, "&gt;=8/1/2023", All_openings!H2:H1033, "&lt;=7/31/2024", All_openings!G2:G1033, "Roman Catholic")</f>
        <v>13</v>
      </c>
      <c r="C3" s="105">
        <f> COUNTIFS(All_openings!H2:H1033, "&gt;=8/1/2023", All_openings!H2:H1033, "&lt;=7/31/2024",All_openings!G2:G1033, "Episcopal")</f>
        <v>0</v>
      </c>
      <c r="D3" s="105">
        <f> COUNTIFS(All_openings!H2:H1033, "&gt;=8/1/2023", All_openings!H2:H1033, "&lt;=7/31/2024",All_openings!G2:G1033, "Lutheran")</f>
        <v>0</v>
      </c>
      <c r="E3" s="105">
        <f> COUNTIFS(All_openings!H2:H1033, "&gt;=8/1/2023", All_openings!H2:H1033, "&lt;=7/31/2024",All_openings!G2:G1033,  "Christian")</f>
        <v>23</v>
      </c>
      <c r="F3" s="105">
        <f> COUNTIFS(All_openings!H2:H1033, "&gt;=8/1/2023", All_openings!H2:H1033, "&lt;=7/31/2024",All_openings!G2:G1033,  "Jewish")</f>
        <v>0</v>
      </c>
      <c r="G3" s="105">
        <f> COUNTIFS(All_openings!H2:H1033, "&gt;=8/1/2023", All_openings!H2:H1033, "&lt;=7/31/2024",All_openings!G2:G1033,  "Special needs")</f>
        <v>0</v>
      </c>
      <c r="H3" s="105">
        <f> COUNTIFS(All_openings!H2:H1033, "&gt;=8/1/2023", All_openings!H2:H1033, "&lt;=7/31/2024",All_openings!G2:G1033,  "Independent")</f>
        <v>15</v>
      </c>
      <c r="I3" s="108"/>
      <c r="J3" s="108"/>
      <c r="K3" s="108"/>
      <c r="L3" s="109"/>
      <c r="M3" s="109"/>
      <c r="N3" s="109"/>
      <c r="O3" s="109"/>
      <c r="P3" s="109"/>
      <c r="Q3" s="110"/>
      <c r="R3" s="111"/>
      <c r="S3" s="111"/>
      <c r="T3" s="111"/>
    </row>
  </sheetData>
  <mergeCells count="1">
    <mergeCell ref="B1:H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1936</v>
      </c>
      <c r="B1" s="102" t="s">
        <v>6</v>
      </c>
      <c r="I1" s="101"/>
      <c r="J1" s="101"/>
      <c r="K1" s="102"/>
      <c r="L1" s="103"/>
      <c r="M1" s="103"/>
      <c r="N1" s="103"/>
      <c r="O1" s="103"/>
      <c r="P1" s="103"/>
      <c r="Q1" s="103"/>
      <c r="R1" s="103"/>
      <c r="S1" s="103"/>
      <c r="T1" s="103"/>
    </row>
    <row r="2">
      <c r="A2" s="104" t="s">
        <v>1937</v>
      </c>
      <c r="B2" s="105" t="s">
        <v>1938</v>
      </c>
      <c r="C2" s="105" t="s">
        <v>1939</v>
      </c>
      <c r="D2" s="105" t="s">
        <v>506</v>
      </c>
      <c r="E2" s="105" t="s">
        <v>68</v>
      </c>
      <c r="F2" s="105" t="s">
        <v>1338</v>
      </c>
      <c r="G2" s="104" t="s">
        <v>237</v>
      </c>
      <c r="H2" s="105" t="s">
        <v>1940</v>
      </c>
      <c r="I2" s="106"/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</row>
    <row r="3">
      <c r="A3" s="105">
        <f> COUNTIF(All_openings!H2:H1033, "&gt;=8/1/2024")</f>
        <v>109</v>
      </c>
      <c r="B3" s="105">
        <f> COUNTIFS(All_openings!H2:H1033, "&gt;=8/1/2024",All_openings!G2:G1033, "Roman Catholic")</f>
        <v>20</v>
      </c>
      <c r="C3" s="105">
        <f> COUNTIFS(All_openings!H2:H1033, "&gt;=8/1/2024",All_openings!G2:G1033, "Episcopal")</f>
        <v>0</v>
      </c>
      <c r="D3" s="105">
        <f> COUNTIFS(All_openings!H2:H1033, "&gt;=8/1/2024",All_openings!G2:G1033, "Lutheran")</f>
        <v>2</v>
      </c>
      <c r="E3" s="105">
        <f> COUNTIFS(All_openings!H2:H1033, "&gt;=8/1/2024",All_openings!G2:G1033,  "Christian")</f>
        <v>24</v>
      </c>
      <c r="F3" s="105">
        <f> COUNTIFS(All_openings!H2:H1033, "&gt;=8/1/2024",All_openings!G2:G1033,  "Jewish")</f>
        <v>5</v>
      </c>
      <c r="G3" s="105">
        <f> COUNTIFS(All_openings!H2:H1033, "&gt;=8/1/2024",All_openings!G2:G1033,  "Special needs")</f>
        <v>7</v>
      </c>
      <c r="H3" s="105">
        <f> COUNTIFS(All_openings!H2:H1033, "&gt;=8/1/2024",All_openings!G2:G1033,  "Independent")</f>
        <v>47</v>
      </c>
      <c r="I3" s="108"/>
      <c r="J3" s="108"/>
      <c r="K3" s="108"/>
      <c r="L3" s="109"/>
      <c r="M3" s="109"/>
      <c r="N3" s="109"/>
      <c r="O3" s="109"/>
      <c r="P3" s="109"/>
      <c r="Q3" s="110"/>
      <c r="R3" s="111"/>
      <c r="S3" s="111"/>
      <c r="T3" s="111"/>
    </row>
  </sheetData>
  <mergeCells count="1">
    <mergeCell ref="B1:H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